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https://cpkcrail.sharepoint.com/teams/3_22025InformationServices/Shared Documents/Rail360 Product Development/02. Planning &amp; Design/Other documents/Product(UI &amp; Table PoC)/"/>
    </mc:Choice>
  </mc:AlternateContent>
  <xr:revisionPtr revIDLastSave="4284" documentId="11_33BD407430B19B24E293C7EE0973BD437E5E2F40" xr6:coauthVersionLast="47" xr6:coauthVersionMax="47" xr10:uidLastSave="{D00ABC76-D59B-47BD-85AC-B891756BF71E}"/>
  <bookViews>
    <workbookView xWindow="28680" yWindow="-120" windowWidth="29040" windowHeight="15720" tabRatio="1000" firstSheet="3" activeTab="3" xr2:uid="{00000000-000D-0000-FFFF-FFFF00000000}"/>
  </bookViews>
  <sheets>
    <sheet name="Sheet3" sheetId="31" state="hidden" r:id="rId1"/>
    <sheet name="Proposed Data Tables (2 tables)" sheetId="2" r:id="rId2"/>
    <sheet name="NETWORK_COVERAGE" sheetId="30" r:id="rId3"/>
    <sheet name="Jira" sheetId="29" r:id="rId4"/>
    <sheet name="members" sheetId="33" r:id="rId5"/>
    <sheet name="Data_Dictionary" sheetId="24" r:id="rId6"/>
    <sheet name="AWS_TrainEvent" sheetId="25" r:id="rId7"/>
    <sheet name="AWS_LocoEvent" sheetId="27" r:id="rId8"/>
    <sheet name="Data Product" sheetId="12" state="hidden" r:id="rId9"/>
    <sheet name="Data Product UI" sheetId="21" r:id="rId10"/>
    <sheet name="AI Search Prompts" sheetId="14" r:id="rId11"/>
    <sheet name="dataprofiling" sheetId="20" r:id="rId12"/>
    <sheet name="Concept" sheetId="18" r:id="rId13"/>
    <sheet name="DataTable" sheetId="15" r:id="rId14"/>
    <sheet name="Business INput" sheetId="16" r:id="rId15"/>
    <sheet name="Product Catalog" sheetId="1" r:id="rId16"/>
    <sheet name="Engineering" sheetId="17" r:id="rId17"/>
    <sheet name="VS001" sheetId="13" r:id="rId18"/>
    <sheet name="DS001" sheetId="9" r:id="rId19"/>
    <sheet name="DS002" sheetId="10" r:id="rId20"/>
    <sheet name="RG001" sheetId="3" r:id="rId21"/>
    <sheet name="RG002" sheetId="4" r:id="rId22"/>
    <sheet name="RG003" sheetId="6" r:id="rId23"/>
    <sheet name="RG004" sheetId="7" r:id="rId24"/>
    <sheet name="Sheet1" sheetId="28" r:id="rId25"/>
    <sheet name="RG005" sheetId="8" r:id="rId26"/>
  </sheets>
  <definedNames>
    <definedName name="_xlnm._FilterDatabase" localSheetId="6" hidden="1">AWS_TrainEvent!$A$1:$AH$1</definedName>
    <definedName name="_xlnm._FilterDatabase" localSheetId="5" hidden="1">Data_Dictionary!$A$1:$K$221</definedName>
    <definedName name="_xlnm._FilterDatabase" localSheetId="11" hidden="1">dataprofiling!$A$1:$I$204</definedName>
    <definedName name="_xlnm._FilterDatabase" localSheetId="1" hidden="1">'Proposed Data Tables (2 tables)'!$A$1:$U$279</definedName>
    <definedName name="_xlnm._FilterDatabase" localSheetId="3" hidden="1">Jira!$A$1:$G$46</definedName>
  </definedNames>
  <calcPr calcId="191028"/>
  <pivotCaches>
    <pivotCache cacheId="1523" r:id="rId27"/>
    <pivotCache cacheId="1524"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29" l="1"/>
  <c r="B46" i="29"/>
  <c r="C46" i="29"/>
  <c r="D46" i="29"/>
  <c r="E46" i="29"/>
  <c r="F46" i="29"/>
  <c r="G46" i="29"/>
  <c r="A47" i="29"/>
  <c r="B47" i="29"/>
  <c r="C47" i="29"/>
  <c r="D47" i="29"/>
  <c r="E47" i="29"/>
  <c r="F47" i="29"/>
  <c r="G47" i="29"/>
  <c r="A48" i="29"/>
  <c r="B48" i="29"/>
  <c r="C48" i="29"/>
  <c r="D48" i="29"/>
  <c r="E48" i="29"/>
  <c r="F48" i="29"/>
  <c r="G48" i="29"/>
  <c r="A49" i="29"/>
  <c r="B49" i="29"/>
  <c r="C49" i="29"/>
  <c r="D49" i="29"/>
  <c r="E49" i="29"/>
  <c r="F49" i="29"/>
  <c r="G49" i="29"/>
  <c r="A50" i="29"/>
  <c r="B50" i="29"/>
  <c r="C50" i="29"/>
  <c r="D50" i="29"/>
  <c r="E50" i="29"/>
  <c r="F50" i="29"/>
  <c r="G50" i="29"/>
  <c r="A51" i="29"/>
  <c r="B51" i="29"/>
  <c r="C51" i="29"/>
  <c r="D51" i="29"/>
  <c r="E51" i="29"/>
  <c r="F51" i="29"/>
  <c r="G51" i="29"/>
  <c r="A52" i="29"/>
  <c r="B52" i="29"/>
  <c r="C52" i="29"/>
  <c r="D52" i="29"/>
  <c r="E52" i="29"/>
  <c r="F52" i="29"/>
  <c r="G52" i="29"/>
  <c r="A53" i="29"/>
  <c r="B53" i="29"/>
  <c r="C53" i="29"/>
  <c r="D53" i="29"/>
  <c r="E53" i="29"/>
  <c r="F53" i="29"/>
  <c r="G5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3" i="29"/>
  <c r="C2" i="29"/>
  <c r="G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2" i="29"/>
  <c r="F3" i="29"/>
  <c r="F4" i="29"/>
  <c r="F5"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2" i="29"/>
  <c r="A3" i="29"/>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2" i="29"/>
  <c r="B3" i="29"/>
  <c r="B4" i="29"/>
  <c r="B5"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2" i="29"/>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2" i="29"/>
  <c r="E3" i="29"/>
  <c r="E4" i="29"/>
  <c r="E5" i="29"/>
  <c r="E6" i="29"/>
  <c r="E7" i="29"/>
  <c r="E8" i="29"/>
  <c r="E9" i="29"/>
  <c r="E10" i="29"/>
  <c r="E11" i="29"/>
  <c r="E12" i="29"/>
  <c r="E13" i="29"/>
  <c r="E15" i="29"/>
  <c r="E16" i="29"/>
  <c r="E17" i="29"/>
  <c r="E18" i="29"/>
  <c r="E19" i="29"/>
  <c r="E20" i="29"/>
  <c r="E21" i="29"/>
  <c r="E22" i="29"/>
  <c r="E23" i="29"/>
  <c r="E24" i="29"/>
  <c r="E25" i="29"/>
  <c r="E26" i="29"/>
  <c r="E27" i="29"/>
  <c r="E29" i="29"/>
  <c r="E30" i="29"/>
  <c r="E31" i="29"/>
  <c r="E32" i="29"/>
  <c r="E33" i="29"/>
  <c r="E34" i="29"/>
  <c r="E35" i="29"/>
  <c r="E36" i="29"/>
  <c r="E37" i="29"/>
  <c r="E38" i="29"/>
  <c r="E39" i="29"/>
  <c r="E40" i="29"/>
  <c r="E41" i="29"/>
  <c r="E42" i="29"/>
  <c r="E43" i="29"/>
  <c r="E44" i="29"/>
  <c r="E45" i="29"/>
  <c r="E2" i="29"/>
  <c r="J6" i="30"/>
  <c r="J7" i="30"/>
  <c r="J8" i="30"/>
  <c r="J9" i="30"/>
  <c r="J10" i="30"/>
  <c r="J11" i="30"/>
  <c r="J12" i="30"/>
  <c r="J13" i="30"/>
  <c r="J14" i="30"/>
  <c r="J15" i="30"/>
  <c r="J16" i="30"/>
  <c r="J5" i="30"/>
  <c r="D16" i="30"/>
  <c r="D15" i="30"/>
  <c r="D14" i="30"/>
  <c r="D13" i="30"/>
  <c r="D12" i="30"/>
  <c r="D11" i="30"/>
  <c r="D10" i="30"/>
  <c r="D9" i="30"/>
  <c r="D8" i="30"/>
  <c r="D7" i="30"/>
  <c r="D6" i="30"/>
  <c r="D5" i="30"/>
  <c r="E72" i="18"/>
  <c r="E73" i="18" s="1"/>
  <c r="E74" i="18" s="1"/>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I161" i="20"/>
  <c r="I160" i="20"/>
  <c r="I159" i="20"/>
  <c r="I158" i="20"/>
  <c r="I157" i="20"/>
  <c r="I156" i="20"/>
  <c r="I155" i="20"/>
  <c r="I154" i="20"/>
  <c r="I153" i="20"/>
  <c r="I152" i="20"/>
  <c r="I151" i="20"/>
  <c r="I150" i="20"/>
  <c r="I149" i="20"/>
  <c r="I148" i="20"/>
  <c r="I147" i="20"/>
  <c r="I146" i="20"/>
  <c r="I145" i="20"/>
  <c r="I144" i="20"/>
  <c r="I143" i="20"/>
  <c r="I142" i="20"/>
  <c r="I141" i="20"/>
  <c r="I140" i="20"/>
  <c r="I139" i="20"/>
  <c r="I138" i="20"/>
  <c r="I137" i="20"/>
  <c r="I136" i="20"/>
  <c r="I135" i="20"/>
  <c r="I134" i="20"/>
  <c r="I133" i="20"/>
  <c r="I132" i="20"/>
  <c r="I131" i="20"/>
  <c r="I130" i="20"/>
  <c r="I129" i="20"/>
  <c r="I128" i="20"/>
  <c r="I127" i="20"/>
  <c r="I126" i="20"/>
  <c r="I125" i="20"/>
  <c r="I124" i="20"/>
  <c r="I123" i="20"/>
  <c r="I122" i="20"/>
  <c r="I121" i="20"/>
  <c r="I120" i="20"/>
  <c r="I119" i="20"/>
  <c r="I118" i="20"/>
  <c r="I117" i="20"/>
  <c r="I116" i="20"/>
  <c r="I115" i="20"/>
  <c r="I114" i="20"/>
  <c r="I113" i="20"/>
  <c r="I112" i="20"/>
  <c r="I111" i="20"/>
  <c r="I110" i="20"/>
  <c r="I109" i="20"/>
  <c r="I108" i="20"/>
  <c r="I107" i="20"/>
  <c r="I106" i="20"/>
  <c r="I105" i="20"/>
  <c r="I104" i="20"/>
  <c r="I103" i="20"/>
  <c r="I102" i="20"/>
  <c r="I101" i="20"/>
  <c r="I100" i="20"/>
  <c r="I99" i="20"/>
  <c r="I98" i="20"/>
  <c r="I97" i="20"/>
  <c r="I96" i="20"/>
  <c r="I95" i="20"/>
  <c r="I94" i="20"/>
  <c r="I93" i="20"/>
  <c r="I92" i="20"/>
  <c r="I91" i="20"/>
  <c r="I90" i="20"/>
  <c r="I89" i="20"/>
  <c r="I88" i="20"/>
  <c r="I87" i="20"/>
  <c r="I86" i="20"/>
  <c r="I85" i="20"/>
  <c r="I84" i="20"/>
  <c r="I83" i="20"/>
  <c r="I82" i="20"/>
  <c r="I81" i="20"/>
  <c r="I80" i="20"/>
  <c r="I79" i="20"/>
  <c r="I78" i="20"/>
  <c r="I77" i="20"/>
  <c r="I76" i="20"/>
  <c r="I75" i="20"/>
  <c r="I74" i="20"/>
  <c r="I73" i="20"/>
  <c r="I72" i="20"/>
  <c r="I71" i="20"/>
  <c r="I70" i="20"/>
  <c r="I69" i="20"/>
  <c r="I68" i="20"/>
  <c r="I67" i="20"/>
  <c r="I66" i="20"/>
  <c r="I65" i="20"/>
  <c r="I64" i="20"/>
  <c r="I63" i="20"/>
  <c r="I62" i="20"/>
  <c r="I61" i="20"/>
  <c r="I60" i="20"/>
  <c r="I59" i="20"/>
  <c r="I58" i="20"/>
  <c r="I57" i="20"/>
  <c r="I56" i="20"/>
  <c r="I55" i="20"/>
  <c r="I54" i="20"/>
  <c r="I53" i="20"/>
  <c r="I52" i="20"/>
  <c r="I51" i="20"/>
  <c r="I50" i="20"/>
  <c r="I49" i="20"/>
  <c r="I48" i="20"/>
  <c r="I47" i="20"/>
  <c r="I46" i="20"/>
  <c r="I45" i="20"/>
  <c r="I44" i="20"/>
  <c r="I43" i="20"/>
  <c r="I42" i="20"/>
  <c r="I41" i="20"/>
  <c r="I40" i="20"/>
  <c r="I39" i="20"/>
  <c r="I38" i="20"/>
  <c r="I37"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10" i="20"/>
  <c r="I9" i="20"/>
  <c r="I8" i="20"/>
  <c r="I7" i="20"/>
  <c r="I6" i="20"/>
  <c r="I5" i="20"/>
  <c r="I4" i="20"/>
  <c r="I3" i="20"/>
  <c r="I2" i="20"/>
  <c r="Q5" i="18"/>
  <c r="N322" i="3"/>
  <c r="M322" i="3"/>
  <c r="L322" i="3"/>
  <c r="K322" i="3"/>
  <c r="J322" i="3"/>
  <c r="I322" i="3"/>
  <c r="H322" i="3"/>
  <c r="G322" i="3"/>
  <c r="F322" i="3"/>
  <c r="N321" i="3"/>
  <c r="M321" i="3"/>
  <c r="L321" i="3"/>
  <c r="K321" i="3"/>
  <c r="J321" i="3"/>
  <c r="I321" i="3"/>
  <c r="H321" i="3"/>
  <c r="G321" i="3"/>
  <c r="G324" i="3" s="1"/>
  <c r="F321" i="3"/>
  <c r="F324" i="3" s="1"/>
  <c r="N312" i="3"/>
  <c r="M312" i="3"/>
  <c r="L312" i="3"/>
  <c r="K312" i="3"/>
  <c r="J312" i="3"/>
  <c r="I312" i="3"/>
  <c r="H312" i="3"/>
  <c r="G312" i="3"/>
  <c r="F312" i="3"/>
  <c r="N311" i="3"/>
  <c r="M311" i="3"/>
  <c r="L311" i="3"/>
  <c r="K311" i="3"/>
  <c r="J311" i="3"/>
  <c r="I311" i="3"/>
  <c r="H311" i="3"/>
  <c r="G311" i="3"/>
  <c r="F311" i="3"/>
  <c r="N310" i="3"/>
  <c r="M310" i="3"/>
  <c r="L310" i="3"/>
  <c r="K310" i="3"/>
  <c r="J310" i="3"/>
  <c r="I310" i="3"/>
  <c r="H310" i="3"/>
  <c r="G310" i="3"/>
  <c r="F310" i="3"/>
  <c r="N309" i="3"/>
  <c r="M309" i="3"/>
  <c r="L309" i="3"/>
  <c r="K309" i="3"/>
  <c r="J309" i="3"/>
  <c r="I309" i="3"/>
  <c r="H309" i="3"/>
  <c r="G309" i="3"/>
  <c r="F309" i="3"/>
  <c r="N308" i="3"/>
  <c r="M308" i="3"/>
  <c r="L308" i="3"/>
  <c r="K308" i="3"/>
  <c r="J308" i="3"/>
  <c r="I308" i="3"/>
  <c r="H308" i="3"/>
  <c r="G308" i="3"/>
  <c r="F308" i="3"/>
  <c r="N307" i="3"/>
  <c r="M307" i="3"/>
  <c r="L307" i="3"/>
  <c r="K307" i="3"/>
  <c r="J307" i="3"/>
  <c r="I307" i="3"/>
  <c r="H307" i="3"/>
  <c r="G307" i="3"/>
  <c r="F307" i="3"/>
  <c r="N306" i="3"/>
  <c r="M306" i="3"/>
  <c r="L306" i="3"/>
  <c r="K306" i="3"/>
  <c r="J306" i="3"/>
  <c r="I306" i="3"/>
  <c r="H306" i="3"/>
  <c r="G306" i="3"/>
  <c r="F306" i="3"/>
  <c r="N305" i="3"/>
  <c r="M305" i="3"/>
  <c r="L305" i="3"/>
  <c r="K305" i="3"/>
  <c r="J305" i="3"/>
  <c r="I305" i="3"/>
  <c r="H305" i="3"/>
  <c r="G305" i="3"/>
  <c r="F305" i="3"/>
  <c r="N304" i="3"/>
  <c r="M304" i="3"/>
  <c r="L304" i="3"/>
  <c r="K304" i="3"/>
  <c r="J304" i="3"/>
  <c r="I304" i="3"/>
  <c r="H304" i="3"/>
  <c r="G304" i="3"/>
  <c r="F304" i="3"/>
  <c r="N303" i="3"/>
  <c r="M303" i="3"/>
  <c r="L303" i="3"/>
  <c r="K303" i="3"/>
  <c r="J303" i="3"/>
  <c r="I303" i="3"/>
  <c r="H303" i="3"/>
  <c r="G303" i="3"/>
  <c r="F303" i="3"/>
  <c r="N302" i="3"/>
  <c r="M302" i="3"/>
  <c r="L302" i="3"/>
  <c r="K302" i="3"/>
  <c r="J302" i="3"/>
  <c r="I302" i="3"/>
  <c r="H302" i="3"/>
  <c r="G302" i="3"/>
  <c r="F302" i="3"/>
  <c r="O302" i="3" l="1"/>
  <c r="N324" i="3"/>
  <c r="K324" i="3"/>
  <c r="I324" i="3"/>
  <c r="F314" i="3"/>
  <c r="K314" i="3"/>
  <c r="O311" i="3"/>
  <c r="O304" i="3"/>
  <c r="O321" i="3"/>
  <c r="O306" i="3"/>
  <c r="M324" i="3"/>
  <c r="O310" i="3"/>
  <c r="L324" i="3"/>
  <c r="G314" i="3"/>
  <c r="O308" i="3"/>
  <c r="O303" i="3"/>
  <c r="H324" i="3"/>
  <c r="O312" i="3"/>
  <c r="O322" i="3"/>
  <c r="L314" i="3"/>
  <c r="O307" i="3"/>
  <c r="M314" i="3"/>
  <c r="H314" i="3"/>
  <c r="I314" i="3"/>
  <c r="N314" i="3"/>
  <c r="O309" i="3"/>
  <c r="J314" i="3"/>
  <c r="J324" i="3"/>
  <c r="O305" i="3"/>
  <c r="O324" i="3" l="1"/>
  <c r="O3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Stedman</author>
  </authors>
  <commentList>
    <comment ref="K51" authorId="0" shapeId="0" xr:uid="{C05CE2A2-5A3D-4790-8BB3-C8175B0C009A}">
      <text>
        <r>
          <rPr>
            <sz val="11"/>
            <color theme="1"/>
            <rFont val="Aptos Narrow"/>
            <family val="2"/>
            <scheme val="minor"/>
          </rPr>
          <t xml:space="preserve">Paul Stedman:
All will be present for empty traffic as well
</t>
        </r>
      </text>
    </comment>
    <comment ref="K63" authorId="0" shapeId="0" xr:uid="{4D9FF899-67CF-43F5-9190-6C907898DB35}">
      <text>
        <r>
          <rPr>
            <sz val="11"/>
            <color theme="1"/>
            <rFont val="Aptos Narrow"/>
            <family val="2"/>
            <scheme val="minor"/>
          </rPr>
          <t>Paul Stedman:
Will be null on most shipments</t>
        </r>
      </text>
    </comment>
    <comment ref="K65" authorId="0" shapeId="0" xr:uid="{3E53C639-ABDA-426C-9FE6-98A027646857}">
      <text>
        <r>
          <rPr>
            <sz val="11"/>
            <color theme="1"/>
            <rFont val="Aptos Narrow"/>
            <family val="2"/>
            <scheme val="minor"/>
          </rPr>
          <t xml:space="preserve">Paul Stedman:
Add PRVS_STCC_CD as well and use that as the mapping for the fields below for the empty traffic based on the last commodity contained.
</t>
        </r>
      </text>
    </comment>
  </commentList>
</comments>
</file>

<file path=xl/sharedStrings.xml><?xml version="1.0" encoding="utf-8"?>
<sst xmlns="http://schemas.openxmlformats.org/spreadsheetml/2006/main" count="16410" uniqueCount="3226">
  <si>
    <t>Validation_Requried</t>
  </si>
  <si>
    <t>Y</t>
  </si>
  <si>
    <t>Count of PoC
(TrnDtl)</t>
  </si>
  <si>
    <t>Source</t>
  </si>
  <si>
    <t>Consist</t>
  </si>
  <si>
    <t>Equipment</t>
  </si>
  <si>
    <t>Location</t>
  </si>
  <si>
    <t>Mechanical</t>
  </si>
  <si>
    <t>Miles</t>
  </si>
  <si>
    <t>Time</t>
  </si>
  <si>
    <t>TonneMiles</t>
  </si>
  <si>
    <t>Train</t>
  </si>
  <si>
    <t>Waybill</t>
  </si>
  <si>
    <t>Weight</t>
  </si>
  <si>
    <t>Table</t>
  </si>
  <si>
    <t>Dimension</t>
  </si>
  <si>
    <t>BMR</t>
  </si>
  <si>
    <t>BrandNew</t>
  </si>
  <si>
    <t>TrnCnstDtl</t>
  </si>
  <si>
    <t>TrnLvlSmry</t>
  </si>
  <si>
    <t>Grand Total</t>
  </si>
  <si>
    <t>Validity</t>
  </si>
  <si>
    <t>Train_Detail</t>
  </si>
  <si>
    <t>Completeness</t>
  </si>
  <si>
    <t>Consistency</t>
  </si>
  <si>
    <t>Integrity</t>
  </si>
  <si>
    <t>Timeliness</t>
  </si>
  <si>
    <t>Currency</t>
  </si>
  <si>
    <t>Reasonableness</t>
  </si>
  <si>
    <t>Uniqueness</t>
  </si>
  <si>
    <t>Accuracy</t>
  </si>
  <si>
    <t>Train_Detail Total</t>
  </si>
  <si>
    <t>Train_Summary</t>
  </si>
  <si>
    <t>Train_Summary Total</t>
  </si>
  <si>
    <t>SEQ</t>
  </si>
  <si>
    <t>Code</t>
  </si>
  <si>
    <t>Validation_Priority</t>
  </si>
  <si>
    <t>PoC
(TrnDtl)</t>
  </si>
  <si>
    <t>Field_Type</t>
  </si>
  <si>
    <t>Field_Name</t>
  </si>
  <si>
    <t>Validation_Logic_Approach</t>
  </si>
  <si>
    <t>Data Dictionary</t>
  </si>
  <si>
    <t>Example or Methodology</t>
  </si>
  <si>
    <t>Active Data?
(Y/N)</t>
  </si>
  <si>
    <t>Source Schema.Table.Column Name // Vicky's Comments</t>
  </si>
  <si>
    <t>Future Sources</t>
  </si>
  <si>
    <t>Transformations  / Validation / If/else</t>
  </si>
  <si>
    <t>ExpectedResult</t>
  </si>
  <si>
    <t>Count of NULl</t>
  </si>
  <si>
    <t>Count of TTL Rows</t>
  </si>
  <si>
    <t>% of NULL</t>
  </si>
  <si>
    <t>Train142</t>
  </si>
  <si>
    <t>LOW</t>
  </si>
  <si>
    <t>N</t>
  </si>
  <si>
    <t>Train Year</t>
  </si>
  <si>
    <t>Calendar year of the actual departure from origin for this train instance.</t>
  </si>
  <si>
    <t>eqpmv.eqpmv_rfeqp_mvmnt_event.report_tms</t>
  </si>
  <si>
    <t>N/A</t>
  </si>
  <si>
    <t>Train143</t>
  </si>
  <si>
    <t>Train Quarter</t>
  </si>
  <si>
    <t>Quarter that a train departed from its origin</t>
  </si>
  <si>
    <t>Train144</t>
  </si>
  <si>
    <t>Train Month</t>
  </si>
  <si>
    <t>Month that a train departed from its origin</t>
  </si>
  <si>
    <t>Train145</t>
  </si>
  <si>
    <t>Train Day</t>
  </si>
  <si>
    <t>Day that a train departed from its origin</t>
  </si>
  <si>
    <t>Train009</t>
  </si>
  <si>
    <t>HIGH</t>
  </si>
  <si>
    <t>SADB_RECEIVING_DT</t>
  </si>
  <si>
    <t>Data Freshnesss: SADB_RECEIVING_DT = ARRIVE_TMS BY DATE</t>
  </si>
  <si>
    <t>Reporting time stamp for most recent events at the time train was reported</t>
  </si>
  <si>
    <t>8/2/25 0:00</t>
  </si>
  <si>
    <t>eqpmv.eqpmv_rfeqp_mvmnt_event
lcmtv.lcmtv_mvmnt_event</t>
  </si>
  <si>
    <t>Train001</t>
  </si>
  <si>
    <t>MEDIUM</t>
  </si>
  <si>
    <t>System</t>
  </si>
  <si>
    <t>SRC_SYS</t>
  </si>
  <si>
    <t>Source systems such as KCS = MCS or CP = TYES</t>
  </si>
  <si>
    <t>KCS</t>
  </si>
  <si>
    <t>Exact Source not identified yet</t>
  </si>
  <si>
    <t>Train048</t>
  </si>
  <si>
    <t>TRAIN_SERIES</t>
  </si>
  <si>
    <t>Train series identifier</t>
  </si>
  <si>
    <t>Derived from Train_Name</t>
  </si>
  <si>
    <t>Train050</t>
  </si>
  <si>
    <t>TRAIN_SYMBOL</t>
  </si>
  <si>
    <t>Train symbol code</t>
  </si>
  <si>
    <t>Train011</t>
  </si>
  <si>
    <t>TRAIN_NAME</t>
  </si>
  <si>
    <t>Train name</t>
  </si>
  <si>
    <t xml:space="preserve"> 181-01</t>
  </si>
  <si>
    <t>train.train_cnst_smry.train_nm</t>
  </si>
  <si>
    <t>Train051</t>
  </si>
  <si>
    <t>TRAIN_TYPE_CD</t>
  </si>
  <si>
    <t>Train type code</t>
  </si>
  <si>
    <t>FRT</t>
  </si>
  <si>
    <t>atm_train.train_plan.train_type_cd
atm_train.optrn.train_type_cd</t>
  </si>
  <si>
    <t>Train052</t>
  </si>
  <si>
    <t>TRAIN_KIND_CD</t>
  </si>
  <si>
    <t>Train kind code</t>
  </si>
  <si>
    <t>PRIM</t>
  </si>
  <si>
    <t>atm_train.train_plan.train_kind_cd
atm_train.optrn.train_kind_cd</t>
  </si>
  <si>
    <t>Train059</t>
  </si>
  <si>
    <t>BMR(Qlik)</t>
  </si>
  <si>
    <t>TYPE</t>
  </si>
  <si>
    <t>Train operational type</t>
  </si>
  <si>
    <t>OP</t>
  </si>
  <si>
    <t>Train013</t>
  </si>
  <si>
    <t>DEPART_FSAC</t>
  </si>
  <si>
    <t>1. Segment Validation: ARRIVE_FSAC &lt;&gt; DEPART_FSAC
2. Network Coverage: List of Unique FSAC's by Titan_Nbr&amp;Trn_Leg_ID should cover list of FSAC's from Linked Node Table (GIS teams) sequentially" - all intermediate stations as per Linked Node Table should be covered by sequence of segments</t>
  </si>
  <si>
    <t>Departure FSAC code</t>
  </si>
  <si>
    <t>trkfc.trkfc_trstn.fsac_cd /eqpmv.eqpmv_rfeqp_mvmnt_event.scac_cd</t>
  </si>
  <si>
    <t>Train014</t>
  </si>
  <si>
    <t>ARRIVE_FSAC</t>
  </si>
  <si>
    <t>Arrival FSAC code</t>
  </si>
  <si>
    <t>trkfc.trkfc_trstn.fsac_cd /eqpmv.eqpmv_rfeqp_mvmnt_event.fsac_cd</t>
  </si>
  <si>
    <t>SADB</t>
  </si>
  <si>
    <t>Train007</t>
  </si>
  <si>
    <t>ARRIVE_TMS</t>
  </si>
  <si>
    <t>Continuity: ARRIVE_TMS &gt; DEPART TMS by Titan&amp;Train_Leg_ID
Row 1's ARRIVE_TMS &lt;= Row 2's DEPART_TMS sorted by Titan&amp;Train_Leg_ID&amp;Mark_CD&amp;EQPMTP_NBR and order by Arrivs_TMS ASC</t>
  </si>
  <si>
    <t>Arrival timestamp</t>
  </si>
  <si>
    <t>Train008</t>
  </si>
  <si>
    <t>DEPART_TMS</t>
  </si>
  <si>
    <t>Departure timestamp</t>
  </si>
  <si>
    <t>Train010</t>
  </si>
  <si>
    <t>TITAN_NBR</t>
  </si>
  <si>
    <t>Titan number for train</t>
  </si>
  <si>
    <t>train.train_plan_leg.mtp_titan_nbr
train.optrn_leg.mtp_titan_nbr</t>
  </si>
  <si>
    <t>Train021</t>
  </si>
  <si>
    <t>TRAIN_MILES</t>
  </si>
  <si>
    <t>1. Train Speed for segment is between 0 and 80mph (regulation) by each segment
2. if EQPMT_MILES &gt;0, TRAIN_MILES&gt;0
3. if GTM=0, TRAIN_MILES=0
4. TRAIN_MILES &lt;= LIVE_LOCO_MILES (because there will be at least 1 live loco to move a train)
5. Trend analysis for DoW (Last 8 weeks vs. yesterday) and L28 vs L7 by subdivision, district, division, region, and railine to detect +/- 20% value 
6. Train mile = sum of lead locomotive miles</t>
  </si>
  <si>
    <t>Total train miles run by a lead locomotive</t>
  </si>
  <si>
    <t>ctnapp.ctng_line_dn.gmtry</t>
  </si>
  <si>
    <t>Train026</t>
  </si>
  <si>
    <t>CONTENT_TON_MILES</t>
  </si>
  <si>
    <t>if Load_Empty_IND = 'Y' and EQPTMT_MILES &gt;0, then CONTENT_TON_MILES&gt;0</t>
  </si>
  <si>
    <t>Content ton miles</t>
  </si>
  <si>
    <t>train.train_cnst_dtl_rail_eqpt.net_weight_tons_qty</t>
  </si>
  <si>
    <t>Train081</t>
  </si>
  <si>
    <t>TARE_WEIGHT_TONS_QTY</t>
  </si>
  <si>
    <t>&gt;15 tons for Rail car, &gt;100 tons for Loco (muse min /max from history for proxy test)</t>
  </si>
  <si>
    <t>Tare weight in tons</t>
  </si>
  <si>
    <t>66</t>
  </si>
  <si>
    <t>train.train_cnst_dtl_rail_eqpt.tare_weight_tons_qty</t>
  </si>
  <si>
    <t>Train088</t>
  </si>
  <si>
    <t>NET_WEIGHT_TONS_QTY</t>
  </si>
  <si>
    <t>If Load_Empty_IND = L and  &gt;0, Pass, False</t>
  </si>
  <si>
    <t>Net weight in tons</t>
  </si>
  <si>
    <t>104</t>
  </si>
  <si>
    <t>Train025</t>
  </si>
  <si>
    <t>LOCO_FULL_WEIGHT</t>
  </si>
  <si>
    <t>LOCO_FULL_WEIGHT/TOTAL_UNITS is between 100 and 250 tons</t>
  </si>
  <si>
    <t>Locomotive full weight</t>
  </si>
  <si>
    <t>lcmtv.lcmtv_emis.full_weight_qty</t>
  </si>
  <si>
    <t>Train027</t>
  </si>
  <si>
    <t>TARE_TONS</t>
  </si>
  <si>
    <t>1. if asset_type = 'Locomotive", TARE_TONS = LOCO_FULL_WEIGHT
2. if asset_type = 'Railcar", TARE_TONS is between 15 and 100 tons (flatcar to heavy equipment)</t>
  </si>
  <si>
    <t>Total tare tons</t>
  </si>
  <si>
    <t>lcmtv.lcmtv_emis.full_weight_qty
train.train_cnst_dtl_rail_eqpt.tare_weight_tons_qty</t>
  </si>
  <si>
    <t>Train015</t>
  </si>
  <si>
    <t>TRAIN_HRS</t>
  </si>
  <si>
    <t>Resonableness in speed: TRAIN_MILES / TRAIN HOURS is between 0 and 80 (mph)</t>
  </si>
  <si>
    <t>Train hours</t>
  </si>
  <si>
    <t>ctnapp.ctng_line_dn.gmtry 
mvmnt_type hard coded as 'lcmtv' or 'eqpmv'
train.train_cnst_dtl_rail_eqpt.lead_lcmtv_ind
train.train_cnst_dtl_rail_eqpt.lcmtv_cnst_status_cd</t>
  </si>
  <si>
    <t>Train016</t>
  </si>
  <si>
    <t>TRAIN_MINS</t>
  </si>
  <si>
    <t>Train minutes</t>
  </si>
  <si>
    <t>Derived from ARRIVAL_TMS, DEPARTURE_TMS, TOT_MILES, TRAIN_MILES</t>
  </si>
  <si>
    <t>Train020</t>
  </si>
  <si>
    <t>EQPMT_MILES</t>
  </si>
  <si>
    <t>if TRAIN_MILES&gt;0, then EQPMT_MILES &gt;0</t>
  </si>
  <si>
    <t>Equipment miles</t>
  </si>
  <si>
    <t>Train028</t>
  </si>
  <si>
    <t>TARE_TON_MILES</t>
  </si>
  <si>
    <t>1. TARE_TONS VALIDITY (loco between 100-250 tons, railcar between 10 and 100 tons)
2. Validation of TARE_TON_MILES (95% PROXIMITY NEEDED)
(TARE_TONS X  EQPMT_MILES (for Railcars)) + (TARE_TONS X  LIVE_LOCO_MILES (for loco))</t>
  </si>
  <si>
    <t>Tare ton miles</t>
  </si>
  <si>
    <t xml:space="preserve">lcmtv.lcmtv_emis.full_weight_qty
train.train_cnst_dtl_rail_eqpt.tare_weight_tons_qty
ctnapp.ctng_line_dn.gmtry </t>
  </si>
  <si>
    <t>Train029</t>
  </si>
  <si>
    <t>Calculated field</t>
  </si>
  <si>
    <t>GROSS_TON_MILES</t>
  </si>
  <si>
    <t xml:space="preserve">Use multiple ways to apply regression testing
1. Sum(Contents Tons + Tare Tons from railcars, live and deadhead locomotives) X Train Miles should be within 95% proximity to GROSS_TON_MILES (CONTENTS_TON_MILES + TARE_TON_MILES + DH_TARE_TON_MILES + LOCO_TARE_TON_MILES)
2. Historical consistency: check last 28 days' GTM/CONTENT_TON_MILE ratio by Suddivision vs. last 7 days (check variance over 20% (Absolute value based)
3. Historical trend: check subdivision level GTM average for the last 8 weeks' same Day of Week in comparison to yesterday's GTM excluding stat holidays (e.g. Xmas, Cinco De Mayo)
4. Train level estimates: TRAIN_NM based 
5. TRAIN_MILES &gt; 0, LIVE_LOC_MILES &gt;0, and EQPMT_MILES &gt;0
6. For railcar (by car by car) equipment mile should be within 95% proximity to lead locomotive miles
7. Trend analysis for DoW (Last 8 weeks vs. yesterday) and L28 vs L7 by subdivision, district, division, region, and railine to detect +/- 20% value </t>
  </si>
  <si>
    <t>Gross ton miles</t>
  </si>
  <si>
    <t>Derived from TARE_TON_MILES, DH_TARE_TON_MILES, CONTENT_TON_MILES</t>
  </si>
  <si>
    <t>Train023</t>
  </si>
  <si>
    <t>DH_TARE_TON_MILES</t>
  </si>
  <si>
    <t>Deadhead tare ton miles</t>
  </si>
  <si>
    <t>Train024</t>
  </si>
  <si>
    <t>LOCO_TARE_TON_MILES</t>
  </si>
  <si>
    <t>&gt;0</t>
  </si>
  <si>
    <t>Locomotive tare ton miles</t>
  </si>
  <si>
    <t>Train032</t>
  </si>
  <si>
    <t>REV_CAR_MILES_LOADED</t>
  </si>
  <si>
    <t>if Load_Empty_IND = 'Y' and EQPTMT_MILES &gt;0, then &gt;0)
Loaded railcars equipment miles (sum)</t>
  </si>
  <si>
    <t>Revenue car miles loaded</t>
  </si>
  <si>
    <t xml:space="preserve">eqpmt.eqpmnt_aar_base.aar_car_cd
train.train_cnst_dtl_rail_eqpt.net_weight_tons_qty
ctnapp.ctng_line_dn.gmtry </t>
  </si>
  <si>
    <t>Train033</t>
  </si>
  <si>
    <t>REV_CAR_MILES_EMPTY</t>
  </si>
  <si>
    <t>if Load_Empty_IND = 'N' and EQPTMT_MILES &gt;0, then &gt;0)
non loaded railcars equipment miles (sum)</t>
  </si>
  <si>
    <t>Revenue car miles empty</t>
  </si>
  <si>
    <t>Train034</t>
  </si>
  <si>
    <t>LIVE_LOCO_MILES</t>
  </si>
  <si>
    <t>if TRAIN_MILES&gt;0, then &gt;0</t>
  </si>
  <si>
    <t>Live locomotive miles</t>
  </si>
  <si>
    <t>ctnapp.ctng_line_dn.gmtry 
dm_dim.gis_orgn_dstntn_mlg_by_stprv.miles</t>
  </si>
  <si>
    <t>Train035</t>
  </si>
  <si>
    <t>DH_LOCO_MILES</t>
  </si>
  <si>
    <t>Deadhead locomotive miles</t>
  </si>
  <si>
    <t>?</t>
  </si>
  <si>
    <t>Train036</t>
  </si>
  <si>
    <t>PASS_BUS_MILES</t>
  </si>
  <si>
    <t>if PASS_BUS_IND = 'Y' and EQPMT_MILES &gt; 0, then PASS_BUS_MILES &gt; 0</t>
  </si>
  <si>
    <t>Passenger business miles</t>
  </si>
  <si>
    <t>Train037</t>
  </si>
  <si>
    <t>WORK_CAR_MILES</t>
  </si>
  <si>
    <t>if WORK_CAR_IND = 'Y and EQPMT_MILES &gt;0, then WORK_CAR_MILES &gt;0</t>
  </si>
  <si>
    <t>Work car miles</t>
  </si>
  <si>
    <t>eqpmt.eqpmnt_aar_base.aar_car_cd
ctnapp.ctng_line_dn.gmtry 
trkfc.trkfcg_sbdvsn.sbdvsn_id
trkfc.trkfcg_fxpla_track_lctn_dn.rfrnc_low_miles_qty
dm_dim.gis_orgn_dstntn_mlg_by_stprv.miles
dm_dim.dim_subdvsn_zone.high_track_mile
dm_dim.dim_subdvsn_zone.low_track_mile</t>
  </si>
  <si>
    <t>Train038</t>
  </si>
  <si>
    <t>X</t>
  </si>
  <si>
    <t>CABOOSE_MILES</t>
  </si>
  <si>
    <t>Caboose miles</t>
  </si>
  <si>
    <t>eqpmt.eqpmnt_aar_base.aar_car_cd
ctnapp.ctng_line_dn.gmtry
dm_dim.gis_orgn_dstntn_mlg_by_stprv.miles</t>
  </si>
  <si>
    <t>Train039</t>
  </si>
  <si>
    <t>LIVE_LOCO_HP_MILES</t>
  </si>
  <si>
    <t>if TRAIN_MILES&gt;0, LIVE_LOCO_HP_MILES &gt;0</t>
  </si>
  <si>
    <t>Live locomotive horsepower miles</t>
  </si>
  <si>
    <t>lcmtv.lcmtv_emis.hrspwr_qty
ctnapp.ctng_line_dn.gmtry
dm_dim.gis_orgn_dstntn_mlg_by_stprv.miles</t>
  </si>
  <si>
    <t>Train040</t>
  </si>
  <si>
    <t>DH_LOCO_HP_MILES</t>
  </si>
  <si>
    <t>Deadhead locomotive horsepower miles</t>
  </si>
  <si>
    <t>Train041</t>
  </si>
  <si>
    <t>Length</t>
  </si>
  <si>
    <t>LIVE_LOCO_FOOT_MILES</t>
  </si>
  <si>
    <t>Live locomotive foot miles</t>
  </si>
  <si>
    <t>eqpmt.eqpmnt_aar_base.otsd_length_qty
ctnapp.ctng_line_dn.gmtry
dm_dim.gis_orgn_dstntn_mlg_by_stprv.miles</t>
  </si>
  <si>
    <t>Train042</t>
  </si>
  <si>
    <t>DH_LOCO_FOOT_MILES</t>
  </si>
  <si>
    <t>Deadhead locomotive foot miles</t>
  </si>
  <si>
    <t>Train043</t>
  </si>
  <si>
    <t>CAR_FOOT_MILES</t>
  </si>
  <si>
    <t>Car foot miles</t>
  </si>
  <si>
    <t>eqpmt.eqpmnt_aar_base.otsd_length_qty</t>
  </si>
  <si>
    <t>Train044</t>
  </si>
  <si>
    <t>TOTAL_TRAIN_FOOT_MILES</t>
  </si>
  <si>
    <t>Total train foot miles</t>
  </si>
  <si>
    <t>Train146</t>
  </si>
  <si>
    <t>Train DoW</t>
  </si>
  <si>
    <t>Validity: 3 letter (MON/TUE/WED/THU/FRI/SAT/SUN)</t>
  </si>
  <si>
    <t>Day of the week that a train departed from its origin</t>
  </si>
  <si>
    <t>Based on DFLC TMS at Origin(Mon)</t>
  </si>
  <si>
    <t>Train150</t>
  </si>
  <si>
    <t>SQNC_NBR</t>
  </si>
  <si>
    <t>1.# of equiments = maximum SQNC, Count of unique MARK_CD&amp;EQPUN_NBR = MAX(SQNC_NBR)
2. Every single segment will have SQNC&gt;0
3. SQNC = 1 should not be Asset_type = 'railcar' but 'locomotive'
4. Missing consist handling
     a. missing lead locomotive: bring back lead locomotive ID from previous FSAC point
     b. missing railcar consist: TBD</t>
  </si>
  <si>
    <t>Sequence of equipment from a train</t>
  </si>
  <si>
    <t>Current logic or enhacement</t>
  </si>
  <si>
    <t>train.train_cnst_dtl_rail_eqpt.sqnc_nbr</t>
  </si>
  <si>
    <t>Train070</t>
  </si>
  <si>
    <t>MARK_CD</t>
  </si>
  <si>
    <t>Equipment mark code</t>
  </si>
  <si>
    <t>AOK</t>
  </si>
  <si>
    <t>train.train_cnst_dtl_rail_eqpt.mark_cd</t>
  </si>
  <si>
    <t>Train071</t>
  </si>
  <si>
    <t>EQPUN_NBR</t>
  </si>
  <si>
    <t>Equipment number</t>
  </si>
  <si>
    <t>55688</t>
  </si>
  <si>
    <t>train.train_cnst_dtl_rail_eqpt.eqpun_nbr</t>
  </si>
  <si>
    <t>Train177</t>
  </si>
  <si>
    <t>Load_Empty_Ind</t>
  </si>
  <si>
    <t>L or E for Railcar, Loco will be E</t>
  </si>
  <si>
    <t>Load or empty indicator of equipment on a train</t>
  </si>
  <si>
    <t>eqpmv.eqpmv_rfeqp_mvmnt_event.load_empty_ind</t>
  </si>
  <si>
    <t>Train185</t>
  </si>
  <si>
    <t>Cycle_Serial_Nbr</t>
  </si>
  <si>
    <t xml:space="preserve">1. if No CSN's found -&gt; default value must be entered e.g. 9999999... or -9999999
2. CSN - under single shipment (Wybl_ID&amp;Mark_CD&amp;EQPUN_NBR), only one unique CSN's should be found 
3. Multiple CSN's for single shipment -&gt; gold-silver layer is designed to fix issues by using maximum CSN version number as current version ID on the Wybl
4. Single CSN's for multiple shipments -&gt; gold-silver layer is designed to fix issues by creating a unique identifier such as ((A. CSN's+OriginFSAC+OrigDFLC_DT,  B CSN's+Version#,  C.CSN&amp;CAR_ID&amp;Orig_DFLC_DT D.CSN&amp;TrainID&amp;Titan)
</t>
  </si>
  <si>
    <t>Shipment cycle serial number</t>
  </si>
  <si>
    <t>SAP HANA if revenue waybills</t>
  </si>
  <si>
    <t>Train183</t>
  </si>
  <si>
    <t>WYBL_NBR</t>
  </si>
  <si>
    <t>if LOAD_EMPTY_IND = 'L', NOT NULL</t>
  </si>
  <si>
    <t>Waybill number</t>
  </si>
  <si>
    <t>Train182</t>
  </si>
  <si>
    <t>Wybl_ID</t>
  </si>
  <si>
    <t>Waybill internal ID</t>
  </si>
  <si>
    <t>Train082</t>
  </si>
  <si>
    <t>ORIGIN_SCAC_CD</t>
  </si>
  <si>
    <t>Origin SCAC code</t>
  </si>
  <si>
    <t>KCSM</t>
  </si>
  <si>
    <t>train.train_cnst_dtl_rail_eqpt.origin_scac_cd</t>
  </si>
  <si>
    <t>Train085</t>
  </si>
  <si>
    <t>DSTNTN_SCAC_CD</t>
  </si>
  <si>
    <t>Destination SCAC code</t>
  </si>
  <si>
    <t>CPRS</t>
  </si>
  <si>
    <t>train.train_cnst_dtl_rail_eqpt.dstntn_scac_cd</t>
  </si>
  <si>
    <t>Train083</t>
  </si>
  <si>
    <t>ORIGIN_FSAC_CD</t>
  </si>
  <si>
    <t>Origin FSAC code</t>
  </si>
  <si>
    <t>426</t>
  </si>
  <si>
    <t>train.train_cnst_dtl_rail_eqpt.origin_fsac_cd</t>
  </si>
  <si>
    <t>Train086</t>
  </si>
  <si>
    <t>DSTNTN_FSAC_CD</t>
  </si>
  <si>
    <t>Destination FSAC code</t>
  </si>
  <si>
    <t>4541</t>
  </si>
  <si>
    <t>train.train_cnst_dtl_rail_eqpt.dstntn_fsac_cd</t>
  </si>
  <si>
    <t>Train173</t>
  </si>
  <si>
    <t>ORIGIN_STN_NM</t>
  </si>
  <si>
    <t>Origin station name of equipment</t>
  </si>
  <si>
    <t>If this is shipment route origin at the car level, then we can leverage stnwyb_msg_dn</t>
  </si>
  <si>
    <t>Train174</t>
  </si>
  <si>
    <t>DSTNTN_STN_NM</t>
  </si>
  <si>
    <t>Destination station name of equipment</t>
  </si>
  <si>
    <t>Train084</t>
  </si>
  <si>
    <t>ORIGIN_TRSTN_VRSN_NBR</t>
  </si>
  <si>
    <t>Origin transition version number</t>
  </si>
  <si>
    <t>3</t>
  </si>
  <si>
    <t>train.train_cnst_dtl_rail_eqpt.origin_trstn_vrsn_nbr</t>
  </si>
  <si>
    <t>Train087</t>
  </si>
  <si>
    <t>DSTNTN_TRSTN_VRSN_NBR</t>
  </si>
  <si>
    <t>Destination transition version number</t>
  </si>
  <si>
    <t>10</t>
  </si>
  <si>
    <t>train.train_cnst_dtl_rail_eqpt.dstntn_trstn_vrsn_nbr</t>
  </si>
  <si>
    <t>Train092</t>
  </si>
  <si>
    <t>SHPR_CPRS_CSTMR_ID</t>
  </si>
  <si>
    <t>Shipper customer ID</t>
  </si>
  <si>
    <t>CPINTSER</t>
  </si>
  <si>
    <t>train.train_cnst_dtl_rail_eqpt.shppr_cprs_cstmr_id</t>
  </si>
  <si>
    <t>Train093</t>
  </si>
  <si>
    <t>CNSGN_CPRS_CSTMR_ID</t>
  </si>
  <si>
    <t>Consignee customer ID</t>
  </si>
  <si>
    <t>train.train_cnst_dtl_rail_eqpt.cnsgn_cprs_cstmr_id</t>
  </si>
  <si>
    <t>Train130</t>
  </si>
  <si>
    <t>CARE_OF_PARTY_CPRS_CSTMR_ID</t>
  </si>
  <si>
    <t>Care of party customer ID</t>
  </si>
  <si>
    <t>NULL</t>
  </si>
  <si>
    <t>train.train_cnst_dtl_rail_eqpt.care_of_party_cprs_cstmr_id</t>
  </si>
  <si>
    <t>Train089</t>
  </si>
  <si>
    <t>CLRNC_PLATE_CD</t>
  </si>
  <si>
    <t>Clearance plate code</t>
  </si>
  <si>
    <t>H</t>
  </si>
  <si>
    <t>train.train_cnst_dtl_rail_eqpt.clrnc_plate_cd</t>
  </si>
  <si>
    <t>Train096</t>
  </si>
  <si>
    <t>STCC_CD</t>
  </si>
  <si>
    <t>Standard Transportation Commodity Code</t>
  </si>
  <si>
    <t>9980205</t>
  </si>
  <si>
    <t>train.train_cnst_dtl_rail_eqpt.stcc_cd</t>
  </si>
  <si>
    <t>Train186</t>
  </si>
  <si>
    <t>SUB-LOB</t>
  </si>
  <si>
    <t>Detailed line of business</t>
  </si>
  <si>
    <t>PULP</t>
  </si>
  <si>
    <t>Need to know source to ascertain whether this is active or not</t>
  </si>
  <si>
    <t>Train187</t>
  </si>
  <si>
    <t>LOB</t>
  </si>
  <si>
    <t>Line of business</t>
  </si>
  <si>
    <t>FOREST_PRODUCTS</t>
  </si>
  <si>
    <t>Can be pulled from SAP HANA</t>
  </si>
  <si>
    <t>Train097</t>
  </si>
  <si>
    <t>HZCMD_MTRL_RSPNS_CD</t>
  </si>
  <si>
    <t>Hazardous material response code</t>
  </si>
  <si>
    <t>train.train_cnst_dtl_rail_eqpt.hzcmd_mtrl_rspns_cd</t>
  </si>
  <si>
    <t>Train094</t>
  </si>
  <si>
    <t>FSTWY_WYBL_NBR</t>
  </si>
  <si>
    <t>First waybill number</t>
  </si>
  <si>
    <t>train.train_cnst_dtl_rail_eqpt.fstwy_wybl_nbr</t>
  </si>
  <si>
    <t>Train175</t>
  </si>
  <si>
    <t>*Revenue in CAD? (active version)</t>
  </si>
  <si>
    <t>if LOAD_EMPTY_IND = 'L', REVENUE &gt; = 0 (NOT NULL)</t>
  </si>
  <si>
    <t>Revenue in Canadian funds</t>
  </si>
  <si>
    <t>Do we need to know how much revenue each train generates?</t>
  </si>
  <si>
    <t>this is a good metric for business; if we need it, and we need, can we bring from existing data sources is the question as revenue may involve RMS, SAP-Finance, SAP FCC etc.</t>
  </si>
  <si>
    <t>Train188</t>
  </si>
  <si>
    <t>DG/HZD Indicator?</t>
  </si>
  <si>
    <t>Dangerous or Hazardous content indicator</t>
  </si>
  <si>
    <t>NON HZD</t>
  </si>
  <si>
    <t>Lookup from dm_dim.dim_commodity with the stcc number</t>
  </si>
  <si>
    <t>Train189</t>
  </si>
  <si>
    <t>REV_CAR_MILES_LOADED_IND</t>
  </si>
  <si>
    <t>Indicator for revenue car miles loaded</t>
  </si>
  <si>
    <t>Train190</t>
  </si>
  <si>
    <t>REV_CAR_MILES_EMPTY_IND</t>
  </si>
  <si>
    <t>Indicator for revenue car miles empty</t>
  </si>
  <si>
    <t>Train139</t>
  </si>
  <si>
    <t>EQPMT_ASGNMN_ID</t>
  </si>
  <si>
    <t>Equipment assignment ID</t>
  </si>
  <si>
    <t>5933239369</t>
  </si>
  <si>
    <t>train.train_cnst_dtl_rail_eqpt.eqpmt_asgnmn_id</t>
  </si>
  <si>
    <t>Train140</t>
  </si>
  <si>
    <t>SHPMT_ID</t>
  </si>
  <si>
    <t>Shipment ID</t>
  </si>
  <si>
    <t>5933239360</t>
  </si>
  <si>
    <t>train.train_cnst_dtl_rail_eqpt.shpmt_id</t>
  </si>
  <si>
    <t>Train126</t>
  </si>
  <si>
    <t>CNST_CHNG_MVMNT_EVENT_ID</t>
  </si>
  <si>
    <t>Consist change movement event ID</t>
  </si>
  <si>
    <t>train.train_cnst_dtl_rail_eqpt.cnst_chng_mvmnt_event_id</t>
  </si>
  <si>
    <t>Train127</t>
  </si>
  <si>
    <t>CNST_CHNG_SCAC_CD</t>
  </si>
  <si>
    <t>Consist change SCAC code</t>
  </si>
  <si>
    <t>train.train_cnst_dtl_rail_eqpt.cnst_chng_scac_cd</t>
  </si>
  <si>
    <t>Train128</t>
  </si>
  <si>
    <t>CNST_CHNG_FSAC_CD</t>
  </si>
  <si>
    <t>Consist change FSAC code</t>
  </si>
  <si>
    <t>5770</t>
  </si>
  <si>
    <t>train.train_cnst_dtl_rail_eqpt.cnst_chng_fsac_cd</t>
  </si>
  <si>
    <t>Train129</t>
  </si>
  <si>
    <t>CNST_CHNG_TRSTN_VRSN_NBR</t>
  </si>
  <si>
    <t>Consist change transition version number</t>
  </si>
  <si>
    <t>1</t>
  </si>
  <si>
    <t>train.train_cnst_dtl_rail_eqpt.cnst_chng_trstn_vrsn_nbr</t>
  </si>
  <si>
    <t>Train141</t>
  </si>
  <si>
    <t>CNST_LCM_OPRSTS_ID</t>
  </si>
  <si>
    <t>Consist LCM operations ID</t>
  </si>
  <si>
    <t>train.train_cnst_dtl_rail_eqpt.cnst_lcm_oprsts_id</t>
  </si>
  <si>
    <t>Train045</t>
  </si>
  <si>
    <t>SUBDIVISION</t>
  </si>
  <si>
    <t>Both DEPART_FSAC and ARRIVE_FSAC belongs to correct location group</t>
  </si>
  <si>
    <t>Subdivision name</t>
  </si>
  <si>
    <t>LAREDO</t>
  </si>
  <si>
    <t>dm_dim.gis_orgn_dstntn_mlg_by_stprv.sbdvsn_nm</t>
  </si>
  <si>
    <t>MDM</t>
  </si>
  <si>
    <t>Train058</t>
  </si>
  <si>
    <t>District</t>
  </si>
  <si>
    <t>District name</t>
  </si>
  <si>
    <t>Southwest</t>
  </si>
  <si>
    <t>dm_dim.dim_subdvsn_zone</t>
  </si>
  <si>
    <t>Train054</t>
  </si>
  <si>
    <t>ZONE</t>
  </si>
  <si>
    <t>Zone name</t>
  </si>
  <si>
    <t>SOUTHWEST</t>
  </si>
  <si>
    <t>dm_dim.dim_subdvsn_zone.zone
dm_dim.dim_subdvsn .zone</t>
  </si>
  <si>
    <t>Train047</t>
  </si>
  <si>
    <t>DIVISION</t>
  </si>
  <si>
    <t>Division name</t>
  </si>
  <si>
    <t>South West</t>
  </si>
  <si>
    <t>dm_dim.dim_subdvsn_zone.division_nm
dm_dim.dim_subdvsn .division_nm</t>
  </si>
  <si>
    <t>Train046</t>
  </si>
  <si>
    <t>REGION</t>
  </si>
  <si>
    <t>Region name</t>
  </si>
  <si>
    <t>Mexico</t>
  </si>
  <si>
    <t>dm_dim.dim_subdvsn_zone.region
dm_dim.dim_subdvsn .region</t>
  </si>
  <si>
    <t>Train057</t>
  </si>
  <si>
    <t>Country</t>
  </si>
  <si>
    <t>Country name</t>
  </si>
  <si>
    <t>US</t>
  </si>
  <si>
    <t>trkfc.trkfc_trstn.fsac_cd
dm_dim.dim_location</t>
  </si>
  <si>
    <t>Train055</t>
  </si>
  <si>
    <t>Company</t>
  </si>
  <si>
    <t>Company name</t>
  </si>
  <si>
    <t>KCSR</t>
  </si>
  <si>
    <t>TBA</t>
  </si>
  <si>
    <t>Company name same as rail line</t>
  </si>
  <si>
    <t>Train056</t>
  </si>
  <si>
    <t>RAIL_LINE</t>
  </si>
  <si>
    <t>Rail line name</t>
  </si>
  <si>
    <t>dm_dim.dim_location</t>
  </si>
  <si>
    <t>Train098</t>
  </si>
  <si>
    <t>ON_JNCTN_SCAC_CD</t>
  </si>
  <si>
    <t>On junction SCAC code</t>
  </si>
  <si>
    <t>train.train_cnst_dtl_rail_eqpt.on_jnctn_scac_cd</t>
  </si>
  <si>
    <t>Train102</t>
  </si>
  <si>
    <t>OFF_JNCTN_SCAC_CD</t>
  </si>
  <si>
    <t>Off junction SCAC code</t>
  </si>
  <si>
    <t>train.train_cnst_dtl_rail_eqpt.off_jnctn_scac_cd</t>
  </si>
  <si>
    <t>Train099</t>
  </si>
  <si>
    <t>ON_JNCTN_FSAC_CD</t>
  </si>
  <si>
    <t>On junction FSAC code</t>
  </si>
  <si>
    <t>train.train_cnst_dtl_rail_eqpt.on_jnctn_fsac_cd</t>
  </si>
  <si>
    <t>Train103</t>
  </si>
  <si>
    <t>OFF_JNCTN_FSAC_CD</t>
  </si>
  <si>
    <t>Off junction FSAC code</t>
  </si>
  <si>
    <t>train.train_cnst_dtl_rail_eqpt.off_jnctn_fsac_cd</t>
  </si>
  <si>
    <t>Train100</t>
  </si>
  <si>
    <t>ON_JNCTN_TRSTN_VRSN_NBR</t>
  </si>
  <si>
    <t>On junction transition version number</t>
  </si>
  <si>
    <t>train.train_cnst_dtl_rail_eqpt.on_jnctn_trstn_vrsn_nbr</t>
  </si>
  <si>
    <t>Train104</t>
  </si>
  <si>
    <t>OFF_JNCTN_TRSTN_VRSN_NBR</t>
  </si>
  <si>
    <t>Off junction transition version number</t>
  </si>
  <si>
    <t>train.train_cnst_dtl_rail_eqpt.off_jnctn_trstn_vrsn_nbr</t>
  </si>
  <si>
    <t>Train101</t>
  </si>
  <si>
    <t>RCVD_FROM_SCAC_CD</t>
  </si>
  <si>
    <t>Received from SCAC code</t>
  </si>
  <si>
    <t>train.train_cnst_dtl_rail_eqpt.rcvd_from_scac_cd</t>
  </si>
  <si>
    <t>Train105</t>
  </si>
  <si>
    <t>DLVR_TO_SCAC_CD</t>
  </si>
  <si>
    <t>Deliver to SCAC code</t>
  </si>
  <si>
    <t>train.train_cnst_dtl_rail_eqpt.dlvr_to_scac_cd</t>
  </si>
  <si>
    <t>Train110</t>
  </si>
  <si>
    <t>ORNTN_CD</t>
  </si>
  <si>
    <t>Orientation code</t>
  </si>
  <si>
    <t>train.train_cnst_dtl_rail_eqpt.orntn_cd</t>
  </si>
  <si>
    <t>Train063</t>
  </si>
  <si>
    <t>Depart Station</t>
  </si>
  <si>
    <t>Depart Station &lt;&gt; Arrive Statoin in same row of data</t>
  </si>
  <si>
    <t>Departure station name</t>
  </si>
  <si>
    <t>LAREDO BRIDGE</t>
  </si>
  <si>
    <t>Could be added in silver layer via lookup from dim_location</t>
  </si>
  <si>
    <t>Train064</t>
  </si>
  <si>
    <t>Arrival Station</t>
  </si>
  <si>
    <t>Arrival station name</t>
  </si>
  <si>
    <t>LAREDO YARD</t>
  </si>
  <si>
    <t>Train151</t>
  </si>
  <si>
    <t>DEPART_RAIL_LINE</t>
  </si>
  <si>
    <t>DEPART_FSAC belongs to correct location dimension</t>
  </si>
  <si>
    <t>Rail line name of the station where train segment started</t>
  </si>
  <si>
    <t>Lookup from dim_location in silver layer</t>
  </si>
  <si>
    <t>Train152</t>
  </si>
  <si>
    <t>ARRIVE_RAIL_LINE</t>
  </si>
  <si>
    <t>ARRIVE_FSAC belongs to correct location dimension</t>
  </si>
  <si>
    <t>Rail line name of the station where train segment ended</t>
  </si>
  <si>
    <t>Train153</t>
  </si>
  <si>
    <t>DEPART_SUBDIVISION</t>
  </si>
  <si>
    <t>Subdivision name of the station where train segment started</t>
  </si>
  <si>
    <t>Based on FSAC</t>
  </si>
  <si>
    <t>CTN Tables &amp; MDW Tables.. 
TRKFC.TRSTN_TRSTN
TRKFC.TRKFC_STN_HRCHY.. To be explored further..
MDQ Tables --
DM_DIM.DIM_SUBDVSN_ZONE</t>
  </si>
  <si>
    <t>TBD</t>
  </si>
  <si>
    <t>Train154</t>
  </si>
  <si>
    <t>ARRIVE_SUBDIVISOIN</t>
  </si>
  <si>
    <t>Subdivision name of the station where train segment ended</t>
  </si>
  <si>
    <t>Train155</t>
  </si>
  <si>
    <t>DEPART_DISTRICT</t>
  </si>
  <si>
    <t>District name of the station where train segment started</t>
  </si>
  <si>
    <t>Train156</t>
  </si>
  <si>
    <t>ARRIVE_DISTRICT</t>
  </si>
  <si>
    <t>District name of the station where train segment ended</t>
  </si>
  <si>
    <t>Train157</t>
  </si>
  <si>
    <t>DEPART_DIVISION</t>
  </si>
  <si>
    <t>Division name of the station where train segment started</t>
  </si>
  <si>
    <t>Train158</t>
  </si>
  <si>
    <t>ARRIVE_DIVISION</t>
  </si>
  <si>
    <t>Division name of the station where train segment ended</t>
  </si>
  <si>
    <t>Train159</t>
  </si>
  <si>
    <t>DEPART_ZONE</t>
  </si>
  <si>
    <t>Zone name of the station where train segment started</t>
  </si>
  <si>
    <t>Train160</t>
  </si>
  <si>
    <t>ARRIVE_ZONE</t>
  </si>
  <si>
    <t>Zone name of the station where train segment ended</t>
  </si>
  <si>
    <t>Train161</t>
  </si>
  <si>
    <t>DEPART_REGION</t>
  </si>
  <si>
    <t>Region name of the station where train segment started</t>
  </si>
  <si>
    <t>Train162</t>
  </si>
  <si>
    <t>ARRIVE_REGION</t>
  </si>
  <si>
    <t>Region name of the station where train segment ended</t>
  </si>
  <si>
    <t>Train163</t>
  </si>
  <si>
    <t>DEPART_STPRV</t>
  </si>
  <si>
    <t>Province/State name of the station where train segment started</t>
  </si>
  <si>
    <t>Train164</t>
  </si>
  <si>
    <t>ARRIVE_STPRV</t>
  </si>
  <si>
    <t>Province/State name of the station where train segment ended</t>
  </si>
  <si>
    <t>Train165</t>
  </si>
  <si>
    <t>DEPART_COUNTRY</t>
  </si>
  <si>
    <t>Country name of the station where train segment started</t>
  </si>
  <si>
    <t>trkfc.trkfc_trstn.fsac_cd</t>
  </si>
  <si>
    <t>Train166</t>
  </si>
  <si>
    <t>ARRIVE_COUNTRY</t>
  </si>
  <si>
    <t>Country name of the station where train segment ended</t>
  </si>
  <si>
    <t>Train169</t>
  </si>
  <si>
    <t>DEPART_UPDATED_BY(SRC SYS NM AEI/SENTINNEL/GEOFENCE/WITRO)</t>
  </si>
  <si>
    <t>Source system updated entity where train segement started</t>
  </si>
  <si>
    <t>MCS</t>
  </si>
  <si>
    <t>Source TBD  (transformation needs to be done in silver layer based on source of data)</t>
  </si>
  <si>
    <t>Train170</t>
  </si>
  <si>
    <t>ARRIVE_UPDATED_BY(SRC SYS NM AEI/SENTINNEL/GEOFENCE/WITRO)</t>
  </si>
  <si>
    <t>Source system updated entity where train segement ended</t>
  </si>
  <si>
    <t>TYES</t>
  </si>
  <si>
    <t>Train078</t>
  </si>
  <si>
    <t>AAR_CAR_TYPE_CD</t>
  </si>
  <si>
    <t>Mandatory field, Not Null</t>
  </si>
  <si>
    <t>AAR car type code</t>
  </si>
  <si>
    <t>S635</t>
  </si>
  <si>
    <t>train.train_cnst_dtl_rail_eqpt.aar_car_type_cd</t>
  </si>
  <si>
    <t>Train079</t>
  </si>
  <si>
    <t>OTSD_LENGTH_FEET_QTY</t>
  </si>
  <si>
    <t>Outside length in feet</t>
  </si>
  <si>
    <t>204</t>
  </si>
  <si>
    <t>train.train_cnst_dtl_rail_eqpt.otsd_length_feet_qty</t>
  </si>
  <si>
    <t>Train080</t>
  </si>
  <si>
    <t>OTSD_LENGTH_INCHES_QTY</t>
  </si>
  <si>
    <t>Outside length in inches</t>
  </si>
  <si>
    <t>2</t>
  </si>
  <si>
    <t>train.train_cnst_dtl_rail_eqpt.otsd_length_inches_qty</t>
  </si>
  <si>
    <t>Train149</t>
  </si>
  <si>
    <t>Railcar ETA</t>
  </si>
  <si>
    <t>NULL or Greater than Today 0001 local time</t>
  </si>
  <si>
    <t>Estimated time of arrival for railcar</t>
  </si>
  <si>
    <t>Logic TBC</t>
  </si>
  <si>
    <t>Train176</t>
  </si>
  <si>
    <t>Asset Type (Loco/Railcar/Container/EoT)</t>
  </si>
  <si>
    <t>Asset type</t>
  </si>
  <si>
    <t>Multiple SADB tables inluding stnwyb_msg_dn; UMLER/EMIS tables</t>
  </si>
  <si>
    <t>Train178</t>
  </si>
  <si>
    <t>Equipment_Type(Box car)</t>
  </si>
  <si>
    <t>Equipment type description</t>
  </si>
  <si>
    <t>Train179</t>
  </si>
  <si>
    <t>Ownership</t>
  </si>
  <si>
    <t>Ownership type</t>
  </si>
  <si>
    <t>dim_equipment</t>
  </si>
  <si>
    <t>Train180</t>
  </si>
  <si>
    <t>AAR_Car_Kind</t>
  </si>
  <si>
    <t>AAR car kind code</t>
  </si>
  <si>
    <t>BXA</t>
  </si>
  <si>
    <t>Train181</t>
  </si>
  <si>
    <t>AAR_Pool_NBR</t>
  </si>
  <si>
    <t>AAR pool number</t>
  </si>
  <si>
    <t>115* (first 3 digigts - company name)</t>
  </si>
  <si>
    <t>LIVE_LOCO_IND</t>
  </si>
  <si>
    <t>&gt;0  for unique train by each segment (each segment must have at least 1 live_loco_IND='Y")</t>
  </si>
  <si>
    <t>Live locomotive indicator</t>
  </si>
  <si>
    <t>DH_LOCO_IND</t>
  </si>
  <si>
    <t>Deadhead locomotive indicator</t>
  </si>
  <si>
    <t>Train194</t>
  </si>
  <si>
    <t>WORK_CAR_IND</t>
  </si>
  <si>
    <t>Work car indicator</t>
  </si>
  <si>
    <t>Train195</t>
  </si>
  <si>
    <t>OT57_Registered_IND</t>
  </si>
  <si>
    <t>If ownership = Private (P), mandatory field (Y or N)</t>
  </si>
  <si>
    <t>OT57 registered indicator</t>
  </si>
  <si>
    <t>are cars authorized to move in CPKC? registered in Railinc OT57 registry</t>
  </si>
  <si>
    <t>Train196</t>
  </si>
  <si>
    <t>Registered_IND</t>
  </si>
  <si>
    <t>Registered indicator in Umler</t>
  </si>
  <si>
    <t>are cars registered in Umler? / DIM equipment</t>
  </si>
  <si>
    <t>Train030</t>
  </si>
  <si>
    <t>LIVE_LOCO_COUNT</t>
  </si>
  <si>
    <t>&gt;=1. in order to move train, there should be at least 1 live locomotive to report the movement</t>
  </si>
  <si>
    <t>Count of live locomotives</t>
  </si>
  <si>
    <t>M/EDW -- INFA Sequence: DM_DIM.DIM_LOCOMOTIVE.DIM_LOCOMOTIVE_ID</t>
  </si>
  <si>
    <t>Train031</t>
  </si>
  <si>
    <t>DH_LOCO_COUNT</t>
  </si>
  <si>
    <t>Count of deadhead locomotives</t>
  </si>
  <si>
    <t>Train111</t>
  </si>
  <si>
    <t>LEAD_LCMTV_IND</t>
  </si>
  <si>
    <t>Context: Every unique segments (titan&amp;trn_leg_ID&amp;depart_FSAC&amp;arrive_FSAC) must have one (single) LEAD_LCMTV_IND='Y'
1. count of case where LCMTV_CNST_STATUS_CD = 'Y'  = 1 ( by above key )</t>
  </si>
  <si>
    <t>Lead locomotive Indicator where SQNC equals 1</t>
  </si>
  <si>
    <t>Y or N
Only 157474 of 15M records have this as not null, for the rest of the records this is null</t>
  </si>
  <si>
    <t>train.train_cnst_dtl_rail_eqpt.lead_lcmtv_ind</t>
  </si>
  <si>
    <t>Train112</t>
  </si>
  <si>
    <t>LCMTV_CNST_STATUS_CD</t>
  </si>
  <si>
    <t>Y or N
Only 120575 of 15M records have this as not null, for the rest of the records this is null</t>
  </si>
  <si>
    <t>train.train_cnst_dtl_rail_eqpt.lcmtv_cnst_status_cd</t>
  </si>
  <si>
    <t>Train115</t>
  </si>
  <si>
    <t>LIFT_MVMNT_EVENT_ID</t>
  </si>
  <si>
    <t>train.train_cnst_dtl_rail_eqpt.lift_mvmnt_event_id</t>
  </si>
  <si>
    <t>Train120</t>
  </si>
  <si>
    <t>SET_MVMNT_EVENT_ID</t>
  </si>
  <si>
    <t>train.train_cnst_dtl_rail_eqpt.set_mvmnt_event_id</t>
  </si>
  <si>
    <t>Train116</t>
  </si>
  <si>
    <t>LIFT_EVENT_TMS</t>
  </si>
  <si>
    <t>train.train_cnst_dtl_rail_eqpt.lift_event_tms</t>
  </si>
  <si>
    <t>Train121</t>
  </si>
  <si>
    <t>SET_EVENT_TMS</t>
  </si>
  <si>
    <t>train.train_cnst_dtl_rail_eqpt.set_event_tms</t>
  </si>
  <si>
    <t>Train117</t>
  </si>
  <si>
    <t>LIFT_SCAC_CD</t>
  </si>
  <si>
    <t>train.train_cnst_dtl_rail_eqpt.lift_scac_cd</t>
  </si>
  <si>
    <t>Train122</t>
  </si>
  <si>
    <t>SET_SCAC_CD</t>
  </si>
  <si>
    <t>train.train_cnst_dtl_rail_eqpt.set_scac_cd</t>
  </si>
  <si>
    <t>Train118</t>
  </si>
  <si>
    <t>LIFT_FSAC_CD</t>
  </si>
  <si>
    <t>train.train_cnst_dtl_rail_eqpt.lift_fsac_cd</t>
  </si>
  <si>
    <t>Train123</t>
  </si>
  <si>
    <t>SET_FSAC_CD</t>
  </si>
  <si>
    <t>train.train_cnst_dtl_rail_eqpt.set_fsac_cd</t>
  </si>
  <si>
    <t>Train119</t>
  </si>
  <si>
    <t>LIFT_TRSTN_VRSN_NBR</t>
  </si>
  <si>
    <t>train.train_cnst_dtl_rail_eqpt.lift_trstn_vrsn_nbr</t>
  </si>
  <si>
    <t>Train124</t>
  </si>
  <si>
    <t>SET_TRSTN_VRSN_NBR</t>
  </si>
  <si>
    <t>train.train_cnst_dtl_rail_eqpt.set_trstn_vrsn_nbr</t>
  </si>
  <si>
    <t>Train131</t>
  </si>
  <si>
    <t>LIFT_RPRTNG_TM_ZN_CD</t>
  </si>
  <si>
    <t>train.train_cnst_dtl_rail_eqpt.lift_rprtng_tm_zn_cd</t>
  </si>
  <si>
    <t>Train132</t>
  </si>
  <si>
    <t>LIFT_RPRTNG_TM_ZN_YR_NBR</t>
  </si>
  <si>
    <t>train.train_cnst_dtl_rail_eqpt.lift_rprtng_tm_zn_yr_nbr</t>
  </si>
  <si>
    <t>Train012</t>
  </si>
  <si>
    <t>CONSIST_NBR</t>
  </si>
  <si>
    <t>Consist number</t>
  </si>
  <si>
    <t>train.train_cnst_smry.source_system_train_cnst_nbr</t>
  </si>
  <si>
    <t>Train053</t>
  </si>
  <si>
    <t>Key</t>
  </si>
  <si>
    <t>RUN_NBR</t>
  </si>
  <si>
    <t>NULL (not used)</t>
  </si>
  <si>
    <t>No source found</t>
  </si>
  <si>
    <t>NA</t>
  </si>
  <si>
    <t>Train072</t>
  </si>
  <si>
    <t>TRAIN_CNST_SMRY_ID</t>
  </si>
  <si>
    <t>15469189991</t>
  </si>
  <si>
    <t>train.train_cnst_dtl_rail_eqpt.train_cnst_smry_id</t>
  </si>
  <si>
    <t>Train073</t>
  </si>
  <si>
    <t>TRAIN_CNST_SMRY_VRSN_NBR</t>
  </si>
  <si>
    <t>train.train_cnst_dtl_rail_eqpt.train_cnst_smry_vrsn_nbr</t>
  </si>
  <si>
    <t>Train106</t>
  </si>
  <si>
    <t>RFEQP_ASGN_NBR</t>
  </si>
  <si>
    <t>NULL (DECISION PENDING IF THIS IS NEEDED)</t>
  </si>
  <si>
    <t>Y or N 
only  603 records out of 15M records had this as not null</t>
  </si>
  <si>
    <t>train.train_cnst_dtl_rail_eqpt.rfeqp_asgn_nbr</t>
  </si>
  <si>
    <t>Train107</t>
  </si>
  <si>
    <t>RFEQP_DATA_BASE_CN</t>
  </si>
  <si>
    <t>train.train_cnst_dtl_rail_eqpt.rfeqp_data_base_cn</t>
  </si>
  <si>
    <t>Train108</t>
  </si>
  <si>
    <t>SHPMT_NBR</t>
  </si>
  <si>
    <t>train.train_cnst_dtl_rail_eqpt.shpmt_nbr</t>
  </si>
  <si>
    <t>Train109</t>
  </si>
  <si>
    <t>SHPMT_DATA_BASE_CN</t>
  </si>
  <si>
    <t>train.train_cnst_dtl_rail_eqpt.shpmt_data_base_cn</t>
  </si>
  <si>
    <t>Train137</t>
  </si>
  <si>
    <t>INTRCH_MVMNT_ATHRTY_CD</t>
  </si>
  <si>
    <t>train.train_cnst_dtl_rail_eqpt.intrch_mvmnt_athrty_cd</t>
  </si>
  <si>
    <t>Train135</t>
  </si>
  <si>
    <t>CNST_CHNG_RPRTNG_TM_ZN_CD</t>
  </si>
  <si>
    <t>CT</t>
  </si>
  <si>
    <t>train.train_cnst_dtl_rail_eqpt.cnst_chng_rprtng_tm_zn_cd</t>
  </si>
  <si>
    <t>Train136</t>
  </si>
  <si>
    <t>CNST_CHNG_RPRTNG_TM_ZN_YR_NBR</t>
  </si>
  <si>
    <t>2025</t>
  </si>
  <si>
    <t>train.train_cnst_dtl_rail_eqpt.cnst_chng_rprtng_tm_zn_yr_nbr</t>
  </si>
  <si>
    <t>Train095</t>
  </si>
  <si>
    <t>WYBL_TMS</t>
  </si>
  <si>
    <t>Validity: if (LOAD_EMPTY_IND = 'L', NOT NULL)</t>
  </si>
  <si>
    <t>train.train_cnst_dtl_rail_eqpt.wybl_tms</t>
  </si>
  <si>
    <t>Train125</t>
  </si>
  <si>
    <t>CNST_CHNG_EVENT_TMS</t>
  </si>
  <si>
    <t>if set out or lift occured for the cars, not NULL</t>
  </si>
  <si>
    <t>45870.7604166667</t>
  </si>
  <si>
    <t>train.train_cnst_dtl_rail_eqpt.cnst_chng_event_tms</t>
  </si>
  <si>
    <t>Train133</t>
  </si>
  <si>
    <t>SET_RPRTNG_TM_ZN_CD</t>
  </si>
  <si>
    <t>train.train_cnst_dtl_rail_eqpt.set_rprtng_tm_zn_cd</t>
  </si>
  <si>
    <t>Train134</t>
  </si>
  <si>
    <t>SET_RPRTNG_TM_ZN_YR_NBR</t>
  </si>
  <si>
    <t>train.train_cnst_dtl_rail_eqpt.set_rprtng_tm_zn_yr_nbr</t>
  </si>
  <si>
    <t>Train148</t>
  </si>
  <si>
    <t>Train ETA</t>
  </si>
  <si>
    <t>Estimated time of arrival for train</t>
  </si>
  <si>
    <t>Train022</t>
  </si>
  <si>
    <t>SUM_HRSPWR_QTY</t>
  </si>
  <si>
    <t>Average HRSPWR per locomotive should be between 500 and 6500
1. For Live loco, HRSPWR is between 500 and 6500
2. For non Live loco, do not validate</t>
  </si>
  <si>
    <t>Sum of horsepower quantity</t>
  </si>
  <si>
    <t>lcmtv.lcmtv_emis.hrspwr_qty</t>
  </si>
  <si>
    <t>Train049</t>
  </si>
  <si>
    <t>NS_TRAIN_TYPE</t>
  </si>
  <si>
    <t>NS train type code</t>
  </si>
  <si>
    <t>Derived from Train_Series</t>
  </si>
  <si>
    <t>Train060</t>
  </si>
  <si>
    <t>Previous Train Series</t>
  </si>
  <si>
    <t>Previous train series</t>
  </si>
  <si>
    <t>100</t>
  </si>
  <si>
    <t>Need to find the source to map these and identify whether these are active or not</t>
  </si>
  <si>
    <t>Train061</t>
  </si>
  <si>
    <t>Previous Train Symbol</t>
  </si>
  <si>
    <t>Previous train symbol</t>
  </si>
  <si>
    <t>181</t>
  </si>
  <si>
    <t>Train062</t>
  </si>
  <si>
    <t>Previous Train Type</t>
  </si>
  <si>
    <t>Previous train type</t>
  </si>
  <si>
    <t>Train090</t>
  </si>
  <si>
    <t>BAD_ORDER_CAR_GRADE_CD</t>
  </si>
  <si>
    <t>train.train_cnst_dtl_rail_eqpt.bad_order_car_grade_cd</t>
  </si>
  <si>
    <t>Train091</t>
  </si>
  <si>
    <t>BAD_ORDER_REASON_CD</t>
  </si>
  <si>
    <t>train.train_cnst_dtl_rail_eqpt.bad_order_reason_cd</t>
  </si>
  <si>
    <t>Train113</t>
  </si>
  <si>
    <t>LCMTV_MCHNCL_STATUS_CD</t>
  </si>
  <si>
    <t>train.train_cnst_dtl_rail_eqpt.lcmtv_mchncl_status_cd</t>
  </si>
  <si>
    <t>Train114</t>
  </si>
  <si>
    <t>BRNG_TYPE_CD</t>
  </si>
  <si>
    <t>train.train_cnst_dtl_rail_eqpt.brng_type_cd</t>
  </si>
  <si>
    <t>Train138</t>
  </si>
  <si>
    <t>OCS_UPDATE_CD</t>
  </si>
  <si>
    <t>train.train_cnst_dtl_rail_eqpt.ocs_update_cd</t>
  </si>
  <si>
    <t>Train147</t>
  </si>
  <si>
    <t>Key Train Indicator</t>
  </si>
  <si>
    <t>Y or N and not NULL</t>
  </si>
  <si>
    <t>Indicator if train meets key criteria</t>
  </si>
  <si>
    <t>Train193</t>
  </si>
  <si>
    <t>PASS_BUS_IND</t>
  </si>
  <si>
    <t>Train203</t>
  </si>
  <si>
    <t>TRAVEL_DRCTN_CD</t>
  </si>
  <si>
    <t>N/S/E/W only</t>
  </si>
  <si>
    <t>Travel direction code</t>
  </si>
  <si>
    <t>N/W/E/S</t>
  </si>
  <si>
    <t>ATM_EQPMV.EQPMV_HFEQP_MVMNT_EVENT</t>
  </si>
  <si>
    <t>Container</t>
  </si>
  <si>
    <t>Can be reduced to get it from a single source</t>
  </si>
  <si>
    <t>Train204</t>
  </si>
  <si>
    <t>ATM_EQPMV.EQPMV_RFEQP_MVMNT_EVENT</t>
  </si>
  <si>
    <t>Railcar</t>
  </si>
  <si>
    <t>Train205</t>
  </si>
  <si>
    <t>ATM_EQPMV.EQPMV_RFEQP_MVMNT_EVENT_KCSM_INTERCHANGE</t>
  </si>
  <si>
    <t>Interchange movement of railcar (specific trains only applicable)</t>
  </si>
  <si>
    <t>Train206</t>
  </si>
  <si>
    <t>ATM_LCMTV.LCMTV_MVMNT_EVENT</t>
  </si>
  <si>
    <t>locmotive</t>
  </si>
  <si>
    <t>Train207</t>
  </si>
  <si>
    <t>ATM_TRAIN.OPTRN_EVENT</t>
  </si>
  <si>
    <t>181-01</t>
  </si>
  <si>
    <t xml:space="preserve">Can be a calculated field in Snowflake </t>
  </si>
  <si>
    <t>ARRIVE_FSAC &lt;&gt; DEPART_FSAC</t>
  </si>
  <si>
    <t>All FSAC's within train routes must be reported</t>
  </si>
  <si>
    <t>Continuity: ARRIVE_TMS &gt; DEPART TMS by Titan&amp;Train_Leg_ID
Row 1's ARRIVE_TMS &lt;= Row 2's DEPART_TMS by sorted by Titan&amp;Train_Leg_ID and order by Arrive_TMS ASC</t>
  </si>
  <si>
    <t>covered by ETL process level?</t>
  </si>
  <si>
    <t xml:space="preserve">does not make sense at car level </t>
  </si>
  <si>
    <t>1. if asset_type = 'Locomotive", TARE_TONS = LOCO_FULL_WEIGHT
2. if asset_type = 'Railcar", TARE_TONS / Count of Empty Railcars is between 15 and 100 tons (flatcar to heavy equipment)</t>
  </si>
  <si>
    <t>Applicable for locos only</t>
  </si>
  <si>
    <t>if TRAIN_MILES&gt;0, LOCO_TARE_TON_MILES&gt;0</t>
  </si>
  <si>
    <t>if LOAD_EMPTY_IND = 'L' and EQPTMT_MILES &gt;0, REV_CAR_MILES_LOADED &gt;0</t>
  </si>
  <si>
    <t>if LOAD_EMPTY_IND = 'E' and Revenue ($) &gt;0 and EQPTMT_MILES &gt;0, REV_CAR_MILES_EMPTY &gt;0</t>
  </si>
  <si>
    <t>Country (where last reported)</t>
  </si>
  <si>
    <t>KCSR (CP,KCSR,KCSM)</t>
  </si>
  <si>
    <t>Need to find the source to map to</t>
  </si>
  <si>
    <t>is company same as owner mark ? - will check column mapping</t>
  </si>
  <si>
    <t>1. Segment Validation: ARRIVE_FSAC &lt;&gt; DEPART_FSAC
2. Network Coverage: List of Unique FSAC's by Titan_Nbr&amp;Trn_Leg_ID should cover list of FSAC's from Linked Node Table (GIS teams) sequentially" - all intermediate stations as per Linked Node Table should be covered by sequence of segments
3. ROW 1'S ARRIVE_FSAC = ROW 2'S DEPART_FSAC SORTED BY TITAN&amp;TRN_LEG_ID</t>
  </si>
  <si>
    <t>Source TBD</t>
  </si>
  <si>
    <t>car eta ?</t>
  </si>
  <si>
    <t>Average HRSPWR per locomotive should be between 500 and 6500
1.AVG HRSPWR per Unit  ( SUM_HRSPWR_QTY/SUM OF LIVE_LOCO) is between 500 and 6000
2. SUM_HRSPWR_QTY &gt; 500 
3. SUM_HRSPWR_QTY &lt;&gt; NULL</t>
  </si>
  <si>
    <t>do we need previous train for the specfic car /Loco?</t>
  </si>
  <si>
    <t>do we need previous train symbol for the specfic car /Loco?</t>
  </si>
  <si>
    <t>do we need previous train type for the specfic car /Loco?</t>
  </si>
  <si>
    <t>Train019</t>
  </si>
  <si>
    <t>CARS_TOTAL</t>
  </si>
  <si>
    <t>if asset_type = "railcar", count unique MARK_CD&amp;EQPUN_NBR BY TITAN_NBR&amp;TRN_LEG_ID&amp;SEGMENT</t>
  </si>
  <si>
    <t>Total cars in consist</t>
  </si>
  <si>
    <t>Train018</t>
  </si>
  <si>
    <t>CARS_LOADED</t>
  </si>
  <si>
    <t>if asset_type = "railcar" and LOAD_EMPTY_IND = 'L', count unique MARK_CD&amp;EQPUN_NBR BY TITAN_NBR&amp;TRN_LEG_ID&amp;SEGMENT</t>
  </si>
  <si>
    <t>Loaded cars in consist</t>
  </si>
  <si>
    <t>Train017</t>
  </si>
  <si>
    <t>LIVE_UNIT</t>
  </si>
  <si>
    <t>Live units in consist</t>
  </si>
  <si>
    <t>Train065</t>
  </si>
  <si>
    <t>Daily Average Gross Ton Miles</t>
  </si>
  <si>
    <t>covered in GROSS_TON_MILES</t>
  </si>
  <si>
    <t>Daily average gross ton miles</t>
  </si>
  <si>
    <t>25423</t>
  </si>
  <si>
    <t>Train066</t>
  </si>
  <si>
    <t>Daily Average Train Weight</t>
  </si>
  <si>
    <t>Daily average train weight</t>
  </si>
  <si>
    <t>3183</t>
  </si>
  <si>
    <t>Train067</t>
  </si>
  <si>
    <t>Daily Average Train Length</t>
  </si>
  <si>
    <t>Daily average train length</t>
  </si>
  <si>
    <t>3759</t>
  </si>
  <si>
    <t>Train068</t>
  </si>
  <si>
    <t>Daily Average Train Miles</t>
  </si>
  <si>
    <t>Train Speed for segment is between 0 and 80mph (regulation)</t>
  </si>
  <si>
    <t>Daily average train miles</t>
  </si>
  <si>
    <t>8</t>
  </si>
  <si>
    <t>Train069</t>
  </si>
  <si>
    <t>Daily Average Total Car Miles</t>
  </si>
  <si>
    <t>Total car miles / # of cars should between between 0 and 80 mph (regulation)</t>
  </si>
  <si>
    <t>Daily average total car miles</t>
  </si>
  <si>
    <t>168</t>
  </si>
  <si>
    <t>Train197</t>
  </si>
  <si>
    <t>UNIT_TOTAL</t>
  </si>
  <si>
    <t>Total units</t>
  </si>
  <si>
    <t>exists in train level smry</t>
  </si>
  <si>
    <t>Train198</t>
  </si>
  <si>
    <t>UNIT_LIVE</t>
  </si>
  <si>
    <t>Live units</t>
  </si>
  <si>
    <t>Train199</t>
  </si>
  <si>
    <t>UNIT_NON_LIVE</t>
  </si>
  <si>
    <t>Non-live units</t>
  </si>
  <si>
    <t>can calculate from unit_total - unit_live</t>
  </si>
  <si>
    <t>Train200</t>
  </si>
  <si>
    <t>CARS_TOTAL = CARS_LOADED + CARS_EMPTY</t>
  </si>
  <si>
    <t>Train201</t>
  </si>
  <si>
    <t>Train202</t>
  </si>
  <si>
    <t>CARS_EMPTY</t>
  </si>
  <si>
    <t>Empty cars</t>
  </si>
  <si>
    <t>can calculate from total-empty within train level smry</t>
  </si>
  <si>
    <t>FREIGHT_IND</t>
  </si>
  <si>
    <t>Flag for freight/non-freight trains</t>
  </si>
  <si>
    <t>LEAD_LCMTV_UNIT</t>
  </si>
  <si>
    <t>each row has to be 1 (each train has to show 1 lead_lcmtv_unit count)
1. if LEAD_LCMTV_UNIT = 0, FAIL
2. if LEAD_LCMTV_UNIT &gt;= 2, FAIL</t>
  </si>
  <si>
    <t>use LEAD_LCMTV_IND from train detail table as roll up/ aggregate</t>
  </si>
  <si>
    <t>PoC - Network Coverage</t>
  </si>
  <si>
    <t>Sub</t>
  </si>
  <si>
    <t>STATION</t>
  </si>
  <si>
    <t>SEGMENT</t>
  </si>
  <si>
    <t>DIRECTION</t>
  </si>
  <si>
    <t>FSAC</t>
  </si>
  <si>
    <t>MILES</t>
  </si>
  <si>
    <t>ELAPSED_HRS</t>
  </si>
  <si>
    <t>Time_Audit</t>
  </si>
  <si>
    <t>SPEED</t>
  </si>
  <si>
    <t>Speed Audit
(0 - 80mph)</t>
  </si>
  <si>
    <t>AWS</t>
  </si>
  <si>
    <t>AWS Audit</t>
  </si>
  <si>
    <t>SADB &amp; AZURE</t>
  </si>
  <si>
    <t>SADB Audit</t>
  </si>
  <si>
    <t>UNIONED NETWORK</t>
  </si>
  <si>
    <t>Network
Audit</t>
  </si>
  <si>
    <t>CASCADE</t>
  </si>
  <si>
    <t>VANCOUVER</t>
  </si>
  <si>
    <t>E</t>
  </si>
  <si>
    <t>Fail</t>
  </si>
  <si>
    <t>Pass</t>
  </si>
  <si>
    <t>DUNLEVY</t>
  </si>
  <si>
    <t>HEATLEY</t>
  </si>
  <si>
    <t>WILLISTON</t>
  </si>
  <si>
    <t>RENFREW</t>
  </si>
  <si>
    <t>SECOND NARROWS</t>
  </si>
  <si>
    <t>BARNET</t>
  </si>
  <si>
    <t>CASSIN</t>
  </si>
  <si>
    <t>PORT MOODY</t>
  </si>
  <si>
    <t>SETO</t>
  </si>
  <si>
    <t>WESTWOOD</t>
  </si>
  <si>
    <t>MACAULAY</t>
  </si>
  <si>
    <t>COQUITLAM</t>
  </si>
  <si>
    <t>FOUND ONLY IN SADB</t>
  </si>
  <si>
    <t>FOUND ONLY IN AWS</t>
  </si>
  <si>
    <t>Team</t>
  </si>
  <si>
    <t>Assignee</t>
  </si>
  <si>
    <t>Issue-key</t>
  </si>
  <si>
    <t>Status</t>
  </si>
  <si>
    <t>ETA</t>
  </si>
  <si>
    <t>Summary</t>
  </si>
  <si>
    <t>Description</t>
  </si>
  <si>
    <t>Issue key</t>
  </si>
  <si>
    <t>Issue id</t>
  </si>
  <si>
    <t>Parent id</t>
  </si>
  <si>
    <t>Issue Type</t>
  </si>
  <si>
    <t>Project key</t>
  </si>
  <si>
    <t>Project name</t>
  </si>
  <si>
    <t>Project type</t>
  </si>
  <si>
    <t>Project lead</t>
  </si>
  <si>
    <t>Project description</t>
  </si>
  <si>
    <t>Project url</t>
  </si>
  <si>
    <t>Priority</t>
  </si>
  <si>
    <t>Resolution</t>
  </si>
  <si>
    <t>Reporter</t>
  </si>
  <si>
    <t>Creator</t>
  </si>
  <si>
    <t>Created</t>
  </si>
  <si>
    <t>Updated</t>
  </si>
  <si>
    <t>Last Viewed</t>
  </si>
  <si>
    <t>Resolved</t>
  </si>
  <si>
    <t>Affects Version/s</t>
  </si>
  <si>
    <t>Fix Version/s</t>
  </si>
  <si>
    <t>Component/s</t>
  </si>
  <si>
    <t>Due Date</t>
  </si>
  <si>
    <t>Votes</t>
  </si>
  <si>
    <t>Labels</t>
  </si>
  <si>
    <t>Watchers</t>
  </si>
  <si>
    <t>Log Work</t>
  </si>
  <si>
    <t>Original Estimate</t>
  </si>
  <si>
    <t>Remaining Estimate</t>
  </si>
  <si>
    <t>Time Spent</t>
  </si>
  <si>
    <t>Work Ratio</t>
  </si>
  <si>
    <t>Σ Original Estimate</t>
  </si>
  <si>
    <t>Σ Remaining Estimate</t>
  </si>
  <si>
    <t>Σ Time Spent</t>
  </si>
  <si>
    <t>Inward issue link (Blocks)</t>
  </si>
  <si>
    <t>Outward issue link (Relates)</t>
  </si>
  <si>
    <t>Attachment</t>
  </si>
  <si>
    <t>Custom field (Acceptance Criteria)</t>
  </si>
  <si>
    <t>Custom field (Build Number)</t>
  </si>
  <si>
    <t>Custom field (Business Value)</t>
  </si>
  <si>
    <t>Custom field (Defect Type)</t>
  </si>
  <si>
    <t>Custom field (DeployToTest)</t>
  </si>
  <si>
    <t>Custom field (Epic Link)</t>
  </si>
  <si>
    <t>Custom field (Epic/Theme)</t>
  </si>
  <si>
    <t>Custom field (External Story Number)</t>
  </si>
  <si>
    <t>Custom field (External issue ID)</t>
  </si>
  <si>
    <t>Custom field (Flagged)</t>
  </si>
  <si>
    <t>Custom field (Original story points)</t>
  </si>
  <si>
    <t>Custom field (Parent Link)</t>
  </si>
  <si>
    <t>Custom field (Rank)</t>
  </si>
  <si>
    <t>Custom field (Requested by)</t>
  </si>
  <si>
    <t>Sprint</t>
  </si>
  <si>
    <t>Custom field (Story Points)</t>
  </si>
  <si>
    <t>Custom field (Target end)</t>
  </si>
  <si>
    <t>Custom field (Target start)</t>
  </si>
  <si>
    <t>Custom field (Team)</t>
  </si>
  <si>
    <t>Custom field (qTest Defect Code)</t>
  </si>
  <si>
    <t>Comment</t>
  </si>
  <si>
    <t>DIM equipment mapping document provision to QE team (VishnuB)</t>
  </si>
  <si>
    <t>RPD-82</t>
  </si>
  <si>
    <t>Sub-task</t>
  </si>
  <si>
    <t>To Do</t>
  </si>
  <si>
    <t>RPD</t>
  </si>
  <si>
    <t>Rail360 Product Development</t>
  </si>
  <si>
    <t>software</t>
  </si>
  <si>
    <t>las0044</t>
  </si>
  <si>
    <t>3-High</t>
  </si>
  <si>
    <t>seh0018</t>
  </si>
  <si>
    <t>woo0234</t>
  </si>
  <si>
    <t>Rail360</t>
  </si>
  <si>
    <t>[~seh0018] to provide mapping documents to [~bor0475]  [~sid0070]  and [~sel0052] </t>
  </si>
  <si>
    <t>1|i0i838:</t>
  </si>
  <si>
    <t>Data Ingestion based on Squadron's analysis</t>
  </si>
  <si>
    <t>RPD-79</t>
  </si>
  <si>
    <t>Task</t>
  </si>
  <si>
    <t>In Progress</t>
  </si>
  <si>
    <t>knxn12</t>
  </si>
  <si>
    <t>[~knxn12]  to complete by working with Squadron for data ingestion.</t>
  </si>
  <si>
    <t>1|i0i63g:</t>
  </si>
  <si>
    <t>10/Dec/25 11:24 AM;woo0234;[~knxn12]  to discuss with [~ngu0018] for injection options regarding historical data refreshing strategies. regarding Oracle/ IICS / CDC;;;</t>
  </si>
  <si>
    <t>10/Dec/25 11:25 AM;woo0234;[~mor0460]  supports work sametime for tables that has less sensitivity [~tha0073]  [~pat0606]  to work together.;;;</t>
  </si>
  <si>
    <t>ER Diagram for Gold Layer fields</t>
  </si>
  <si>
    <t>RPD-69</t>
  </si>
  <si>
    <t>cvps10</t>
  </si>
  <si>
    <t>Data model needed</t>
  </si>
  <si>
    <t>1|i0i1z8:</t>
  </si>
  <si>
    <t>09/Dec/25 11:10 AM;woo0234;[~cvps10] provided ER diagram to [~pat0606]  on 12/8 for review_x000D_
_x000D_
 ;;;</t>
  </si>
  <si>
    <t>11/Dec/25 10:31 AM;cvps10;Will create data model for the entire gold layer fields. That's why putting it in progress. Awaiting access to Erwin;;;</t>
  </si>
  <si>
    <t>MDM set up - Snowflake account and its representative needed</t>
  </si>
  <si>
    <t>RPD-73</t>
  </si>
  <si>
    <t>[~seh0018] requires an answer from Squadron to identify whom in Squadron covered / worked out to set up connection (this is about dimension table such as dim equipment, dim location, dim commodity, and dim customers)_x000D_
_x000D_
 _x000D_
_x000D_
[~knxn12]  / [~seh0018]  / [~tha0073]  / [~dan0243]  to discuss 12/5</t>
  </si>
  <si>
    <t>dan0243</t>
  </si>
  <si>
    <t>1|i0i57w:</t>
  </si>
  <si>
    <t>10/Dec/25 10:32 AM;dan0243;[~knxn12] - Can you please help here to create a service account and provide the details to Nikhil. Kindly let us know in case you need any help in creation of SA.;;;</t>
  </si>
  <si>
    <t>10/Dec/25 11:13 AM;woo0234;Naveen to own provision of account to MDM team for both public and private keys for Squadron members.;;;</t>
  </si>
  <si>
    <t>SnowFlake ETL Plan - Bronze to Silver solution to provide - document / email needed</t>
  </si>
  <si>
    <t>RPD-65</t>
  </si>
  <si>
    <t>pat0606</t>
  </si>
  <si>
    <t>Document that_x000D_
_x000D_
includes methodologies out of below example options._x000D_
_x000D_
include data models for Silver Layers_x000D_
_x000D_
 _x000D_
_x000D_
1) DBT_x000D_
_x000D_
2) Store Procedures_x000D_
_x000D_
3) Snow Park</t>
  </si>
  <si>
    <t>10/Dec/25 10:11 AM;dan0243;Snowflake Native Capabilities_v2.docx;https://jira.cpr.ca/secure/attachment/166180/Snowflake+Native+Capabilities_v2.docx</t>
  </si>
  <si>
    <t>1|i0i064:</t>
  </si>
  <si>
    <t>03/Dec/25 11:07 AM;cvps10;Awaiting transformation plan and ETL tool;;;</t>
  </si>
  <si>
    <t>09/Dec/25 10:09 AM;dan0243;9/12 - This is dependent on the data modeling documents which we are closing working on.;;;</t>
  </si>
  <si>
    <t>09/Dec/25 11:23 AM;woo0234;[~pat0606]  will share document today 12/9;;;</t>
  </si>
  <si>
    <t>10/Dec/25 10:09 AM;dan0243;10/12 - The detailed documents on the transformation part have been sent across once we finalized the approach based on data model readiness._x000D_
_x000D_
 _x000D_
_x000D_
I am attaching the sheet here as well for reference.[^Snowflake Native Capabilities_v2.docx];;;</t>
  </si>
  <si>
    <t>10/Dec/25 11:09 AM;woo0234;follow up a call 12/11 among [~ngu0018] [~moh0106] including both architect and Squadron/Celebal members;;;</t>
  </si>
  <si>
    <t>Data injection job to start from source to bronze</t>
  </si>
  <si>
    <t>RPD-81</t>
  </si>
  <si>
    <t>1|i0i78c:</t>
  </si>
  <si>
    <t>Identifying solutions to bring track/mileage info for Regulatory Tonnage Proj.</t>
  </si>
  <si>
    <t>RPD-29</t>
  </si>
  <si>
    <t>sin0404</t>
  </si>
  <si>
    <t>in the past, during the development of reg tonnage with FTI, csv file was created in order to provide detailed mapping of mileages and types of track information in CPKC network._x000D_
_x000D_
[~sin0404] to interview key stakeholders (Karthik / Jincy) to obtain source file._x000D_
_x000D_
 _x000D_
_x000D_
Track level reporting is mainly sourcing legacy BMR data as per [~sau0093] so track information from business team are not fully incorporated in CPKC's data set.</t>
  </si>
  <si>
    <t>1|i0hkbg:</t>
  </si>
  <si>
    <t>03/Dec/25 11:24 AM;cvps10;Phase 1 only 2 canadian subs, so difficult to test proximity with regulatory tonnage. Will look at it after first draft of tonnage is ready. We can compare two canadian subdivision data mid Jan (after Rail360 is ready for UAT);;;</t>
  </si>
  <si>
    <t>Product Design review from Squadron</t>
  </si>
  <si>
    <t>RPD-50</t>
  </si>
  <si>
    <t>ana0017</t>
  </si>
  <si>
    <t>1|i0hub8:</t>
  </si>
  <si>
    <t>02/Dec/25 11:34 AM;cvps10;In progress - regulatory reporting info to be fulfilled;;;</t>
  </si>
  <si>
    <t>CSN review for direction (regarding issues)</t>
  </si>
  <si>
    <t>RPD-67</t>
  </si>
  <si>
    <t>rav0018</t>
  </si>
  <si>
    <t>plan to navigate our options regarding_x000D_
_x000D_
duplicates_x000D_
_x000D_
changes in CSN during single trip</t>
  </si>
  <si>
    <t>1|i0i0fo:</t>
  </si>
  <si>
    <t>UAT related ideas gathering / high level scenarios</t>
  </si>
  <si>
    <t>RPD-42</t>
  </si>
  <si>
    <t>sel0052</t>
  </si>
  <si>
    <t>[~sel0052]  [~sid0070]  will contact/introduce QA team to start getting involved. (test strategy sharing may be starting point)_x000D_
_x000D_
[~woo0234]  will set up 40-45 mins call with [~ste0370] 's team and QA team by 2nd week of November.</t>
  </si>
  <si>
    <t>1|i0hpxw:</t>
  </si>
  <si>
    <t>13/Nov/25 11:06 AM;ana0017;Team is Meeting with Business at 1030 MST 13/11 to discuss._x000D_
_x000D_
 ;;;</t>
  </si>
  <si>
    <t>19/Nov/25 11:22 AM;cvps10;Awaiting feedback on data quality from Paul's team_x000D_
And UAT discussion yet to be done;;;</t>
  </si>
  <si>
    <t>02/Dec/25 11:32 AM;cvps10;Metrics threshold discussion with Paul and team - Sangtae;;;</t>
  </si>
  <si>
    <t>Service Account SET UP request</t>
  </si>
  <si>
    <t>RPD-55</t>
  </si>
  <si>
    <t>ACC/DEV/PROD_x000D_
 * MDW ( A8087)_x000D_
 * EDW (ORAA414)_x000D_
 * SADB (ORAA430)_x000D_
 * Snowflake_x000D_
 * Azure_x000D_
 * AWS_x000D_
_x000D_
 </t>
  </si>
  <si>
    <t>1|i0hy1g:</t>
  </si>
  <si>
    <t>20/Nov/25 1:29 PM;woo0234;requested as RAILSDC name to be approved by [~gho0014]  / followed by [~las0044] ;;;</t>
  </si>
  <si>
    <t>21/Nov/25 11:11 AM;woo0234;[~knxn12]  to re-create request based on service team's format.;;;</t>
  </si>
  <si>
    <t>24/Nov/25 11:23 AM;woo0234;SADB/EDW DEV created_x000D_
_x000D_
MDW to be created;;;</t>
  </si>
  <si>
    <t>25/Nov/25 11:18 AM;woo0234;Oracle: use same account_x000D_
_x000D_
In discussion with Service Fulfillment Team.;;;</t>
  </si>
  <si>
    <t>AWS access grant for Rail 360</t>
  </si>
  <si>
    <t>RPD-8</t>
  </si>
  <si>
    <t>Done</t>
  </si>
  <si>
    <t>gue0154</t>
  </si>
  <si>
    <t>Obtain Access to AWS for 3 core data sources, Wi-Tronics, Sentinel, and Geo-fence for all participants (need an access to table)</t>
  </si>
  <si>
    <t>1|i0hj38:</t>
  </si>
  <si>
    <t>28/Oct/25 11:40 AM;woo0234;[~gue0154]  and [~bry0059]  will provide 2 table access that includes train and locomotive information. ;;;</t>
  </si>
  <si>
    <t>19/Nov/25 11:11 AM;cvps10;AWS access to be granted to Squadron folks.;;;</t>
  </si>
  <si>
    <t>Raheel to discuss with Jatinder/Naveen for Source to Bronze pipeline builiding</t>
  </si>
  <si>
    <t>RPD-68</t>
  </si>
  <si>
    <t>sid0070</t>
  </si>
  <si>
    <t>there should be threshold and monitoring of performance related to data transfer from sources to bronze layer monitored/governed by CPKC's system/employees._x000D_
_x000D_
need input / plan and employees in charge prior to developing.</t>
  </si>
  <si>
    <t>1|i0i0fw:</t>
  </si>
  <si>
    <t>01/Dec/25 11:06 AM;woo0234;meeting to be held for available testing options prior to all data pipeline is built mainly bronze side data but not limited to led by [~sid0070]  with [~knxn12] ;;;</t>
  </si>
  <si>
    <t>Data Modeling Session among Architect, Celebal, and Squadron</t>
  </si>
  <si>
    <t>RPD-76</t>
  </si>
  <si>
    <t>ngu0018</t>
  </si>
  <si>
    <t>[~ngu0018]  to work with celebal and squadron to understand their approaches regarding transition from bronze to gold....</t>
  </si>
  <si>
    <t>1|i0i62c:</t>
  </si>
  <si>
    <t>10/Dec/25 10:18 AM;ngu0018;Had to reschedule meeting to Dec 16th due to conflicts on the original schedule on Dec 6th.  Reason to push all the way to next week is Karthik is on AV from Dec 10 -12 and we need his participation and input.  ;;;</t>
  </si>
  <si>
    <t>Logic review with Manzoor</t>
  </si>
  <si>
    <t>RPD-62</t>
  </si>
  <si>
    <t>[~sau0093] and [~cvps10]  to reach out to [~bab0040]  to review set/lift logic_x000D_
_x000D_
Use workorder information_x000D_
_x000D_
consider using OPTRN TABLE and TRAIN.TRAIN_ACTUAL_WORK_x000D_
_x000D_
YARD_RPRTNG_IND = 'Y' for b-flag station in TRAIN_PLAN_EVENT table</t>
  </si>
  <si>
    <t>bab0040</t>
  </si>
  <si>
    <t>1|i0hyf8:</t>
  </si>
  <si>
    <t>21/Nov/25 3:59 PM;bab0040;this is the query used in train semantic for lift setoff in p8087:_x000D_
_x000D_
 _x000D_
_x000D_
select LIFT_SET_IND,taw.TYES_TRAIN_ID, tll.TRAIN_CNST_ID,  FSAC_CD, SCAC_CD, ROUTE_POINT_SQNC_NBR, _x000D_
coalesce(INTRMD_ROUTE_POINT_SQNC_NBR,0) as INTRMD_ROUTE_POINT_SQNC_NBR , count(*) as CNT_x000D_
from atm_train.TRAIN_ACTUAL_WORK taw with (nolock)   --P89_x000D_
join (select * from DM_TRAIN.TRAIN_LAST_LCTN with (nolock) where EDW_UPDATE_TMS&gt;=  getdate()-1_x000D_
) tll _x000D_
on taw.TYES_TRAIN_ID=tll.TYES_TRAIN_ID_x000D_
where taw.cnvyng_mark_cd is null_x000D_
group by LIFT_SET_IND, taw.TYES_TRAIN_ID, FSAC_CD,SCAC_CD, tll.TRAIN_CNST_ID,INTRMD_ROUTE_POINT_SQNC_NBR,    ROUTE_POINT_SQNC_NBR;;;</t>
  </si>
  <si>
    <t>Identifying SAP tables for Rail360</t>
  </si>
  <si>
    <t>RPD-70</t>
  </si>
  <si>
    <t>Story</t>
  </si>
  <si>
    <t>Backlog</t>
  </si>
  <si>
    <t>[~dan0243]  to check with [~che0157] </t>
  </si>
  <si>
    <t>1|i0i4qs:</t>
  </si>
  <si>
    <t>08/Dec/25 11:07 AM;woo0234;SAP BW is part of it;;;</t>
  </si>
  <si>
    <t>Snowflake Data Model Creation - Bronze to Silver</t>
  </si>
  <si>
    <t>RPD-78</t>
  </si>
  <si>
    <t>tha0073</t>
  </si>
  <si>
    <t>[~tha0073]  to update data model within snowflake_x000D_
_x000D_
 </t>
  </si>
  <si>
    <t>1|i0i630:</t>
  </si>
  <si>
    <t>AI - Foundation building check list to be completed</t>
  </si>
  <si>
    <t>RPD-75</t>
  </si>
  <si>
    <t>aro0027</t>
  </si>
  <si>
    <t>[~aro0027] to complete AI foundation checklist for Rail 360's (all layers)</t>
  </si>
  <si>
    <t>1|i0i59w:</t>
  </si>
  <si>
    <t>08/Dec/25 8:22 AM;aro0027;I have created the AI Foundation Checklist for Rail 360's_x000D_
_x000D_
1.Created a detailed document explaining the process that how we will govern the status of data readiness for AI use cases.[AI Foundation Building Check List.docx|https://cpkcrail.sharepoint.com/:w:/t/3_22025InformationServices/EZ5m8UgIkmVAv4gofW3JW7sBMaDKiz8JMPDrO_CssrQgQQ?e=vtELVH]_x000D_
_x000D_
2.Created a checklist divided into 6 major sections and 35 subpoints to validate the alignment of the data platform for AI use cases.[AI Foundation Building Check List.ods|https://cpkcrail.sharepoint.com/:x:/t/3_22025InformationServices/ESTh5YZeE0BOsjyPg2PXbkUBbSY0Bay0nLIfFyCp6f-PKw?e=wswYGk]_x000D_
_x000D_
 ;;;</t>
  </si>
  <si>
    <t>09/Dec/25 11:07 AM;woo0234;feedback required for [~aro0027] ;;;</t>
  </si>
  <si>
    <t>AI - Foundation building</t>
  </si>
  <si>
    <t>RPD-74</t>
  </si>
  <si>
    <t>building and monitoring foundation of AI platform for Rail 360 led by [~aro0027] </t>
  </si>
  <si>
    <t>1|i0i59o:</t>
  </si>
  <si>
    <t>09/Dec/25 9:14 AM;aro0027;I have created the AI Foundation Checklist for Rail 360's_x000D_
_x000D_
1.Created a detailed document explaining the process that how we will govern the status of data readiness for AI use cases.[AI Foundation Building Check List.docx|https://cpkcrail.sharepoint.com/:w:/t/3_22025InformationServices/EZ5m8UgIkmVAv4gofW3JW7sBMaDKiz8JMPDrO_CssrQgQQ?e=vtELVH]_x000D_
_x000D_
2.Created a checklist divided into 6 major sections and 35 subpoints to validate the alignment of the data platform for AI use cases.[AI Foundation Building Check List.ods|https://cpkcrail.sharepoint.com/:x:/t/3_22025InformationServices/ESTh5YZeE0BOsjyPg2PXbkUBbSY0Bay0nLIfFyCp6f-PKw?e=wswYGk];;;</t>
  </si>
  <si>
    <t>ER diagram review</t>
  </si>
  <si>
    <t>RPD-77</t>
  </si>
  <si>
    <t>[~pat0606]  [~tha0073]  to complete review of ER diagram files</t>
  </si>
  <si>
    <t>1|i0i62s:</t>
  </si>
  <si>
    <t>09/Dec/25 10:21 AM;dan0243;9/12 - we started deep dive into the doc shared by Vishu Priya we are doing Initial analysis of the existing system based on this we have identify two approaches 1. Dynamic table 2. Stored Proc. ;;;</t>
  </si>
  <si>
    <t>10/Dec/25 10:23 AM;dan0243;we would like to get the 4 queries in text form.[~cvps10] ;;;</t>
  </si>
  <si>
    <t>10/Dec/25 11:15 AM;woo0234;is being reviewed by Squadron team and architect;;;</t>
  </si>
  <si>
    <t>10/Dec/25 11:17 AM;woo0234;[~moh0106]  has documents that depicts individual query for each table associated with the data flow for [~pat0606] and squadron team.;;;</t>
  </si>
  <si>
    <t>MDM entity testing - DIM commodity DIM customer DIM equipment tables.</t>
  </si>
  <si>
    <t>RPD-80</t>
  </si>
  <si>
    <t>bor0475</t>
  </si>
  <si>
    <t>[~bor0475] and [~sid0070] to initiate and take on...  checking and automating tables related to DIM commodity DIM customer DIM equipment tables._x000D_
_x000D_
ensure [~seh0018]  and [~ric0230]  are involved and aligned</t>
  </si>
  <si>
    <t>RPD-83</t>
  </si>
  <si>
    <t>10/Dec/25 10:45 AM;bor0475;DIM_CUSTOMER -QA Findings.docx;https://jira.cpr.ca/secure/attachment/166191/DIM_CUSTOMER+-QA+Findings.docx</t>
  </si>
  <si>
    <t>1|i0i63w:</t>
  </si>
  <si>
    <t>09/Dec/25 10:45 AM;bor0475;Testing/Automation started with DIM_CUSTOMER, will be targeting by 12/10/2025. ;;;</t>
  </si>
  <si>
    <t>10/Dec/25 10:46 AM;bor0475;Performed testing on the DIM_COMMODITY and communicated the findings to [~seh0018] _x000D_
_x000D_
[^DIM_CUSTOMER -QA Findings.docx];;;</t>
  </si>
  <si>
    <t>11/Dec/25 10:51 AM;bor0475;Started testing with DIM_COMMODITY.;;;</t>
  </si>
  <si>
    <t>Test Planning Phase 2 (P415) - Conversion of requirement into Task Cases from P140</t>
  </si>
  <si>
    <t>RPD-5</t>
  </si>
  <si>
    <t>Test Planning Phase 2 - Conversion of requirement into Task Cases from P140 requirement document_x000D_
(e.g. SADB transformation into Snowflake loading -&gt; what transformation we do -&gt; multiple subtask and testing cases to be followed)_x000D_
complete test plan with access to AWS and Cloud platforms</t>
  </si>
  <si>
    <t>sau0093</t>
  </si>
  <si>
    <t>1|i0hj2k:</t>
  </si>
  <si>
    <t>27/Oct/25 11:41 AM;woo0234;require a high-level solution from source to bronze (partially defined) and bronze to siliver (not started) and silver to gold (gold is defined but not the data pipeline)_x000D_
_x000D_
this requires update from [~kvxg11], [~cvps10]  supported by [~sin0404]  and [~sau0093] _x000D_
_x000D_
 ;;;</t>
  </si>
  <si>
    <t>19/Nov/25 11:20 AM;cvps10;Dependent on P220 and P219;;;</t>
  </si>
  <si>
    <t>26/Nov/25 11:23 AM;sau0093;Waiting for P220.;;;</t>
  </si>
  <si>
    <t>02/Dec/25 11:10 AM;sid0070;Development can be started on current data in P220;;;</t>
  </si>
  <si>
    <t>03/Dec/25 11:03 AM;cvps10;Initial draft started;;;</t>
  </si>
  <si>
    <t>04/Dec/25 11:15 AM;bor0475;I started drafting P415 and targeting by Dec 8th , after I'll send to Automation/Performance teams for updates. Thanks!;;;</t>
  </si>
  <si>
    <t>10/Dec/25 10:41 AM;bor0475;I have updated Initial test plan and Automation updates are in progress.;;;</t>
  </si>
  <si>
    <t>10/Dec/25 11:29 AM;woo0234;MDM - dim equipment table mapping document is missing to progress as per [~bor0475] . discussion needed with MDM team.;;;</t>
  </si>
  <si>
    <t>11/Dec/25 10:53 AM;bor0475;Automation updates have been incorporated with the test plan. I will share them for review today.;;;</t>
  </si>
  <si>
    <t>P310 LogicGate System Security Documentation (solution architect)</t>
  </si>
  <si>
    <t>RPD-30</t>
  </si>
  <si>
    <t>[~ngu0018]  could you review and update proper ETA? this is part of required docu for stage gate purposes.</t>
  </si>
  <si>
    <t>04/Dec/25 11:04 PM;ngu0018;LogicGate P310 - Rail 360 SG2.pdf;https://jira.cpr.ca/secure/attachment/165818/LogicGate+P310+-+Rail+360+SG2.pdf</t>
  </si>
  <si>
    <t>10/Dec/25 10:23 AM;ngu0018;LogicGate P310 - Rail 360 SG2-1.pdf;https://jira.cpr.ca/secure/attachment/166183/LogicGate+P310+-+Rail+360+SG2-1.pdf</t>
  </si>
  <si>
    <t>1|i0hkc4:</t>
  </si>
  <si>
    <t>27/Oct/25 11:14 AM;woo0234;[~ngu0018] can you share estimated timeline/ effort for this document for us?_x000D_
_x000D_
 ;;;</t>
  </si>
  <si>
    <t>04/Nov/25 9:42 AM;ngu0018;P310 is data recorded into LogicGate application for Enterprise Security to review the proposed solution for potential risk areas.  This is done when the P219 has been reviewed and approved by EA, as the same data from P219 is transferred into LogicGate for ES.  My target date to have the P219 completed, reviewed and approved by Nov 14th, provided that any/all outstanding questions regarding Snowflake and integration details have been answered.  ;;;</t>
  </si>
  <si>
    <t>12/Nov/25 10:38 AM;ana0017;Will have it Complete. Next week after P219 Completion.;;;</t>
  </si>
  <si>
    <t>02/Dec/25 11:11 AM;sid0070;P219 is updated. can be used for this task;;;</t>
  </si>
  <si>
    <t>03/Dec/25 11:04 AM;cvps10;[~ngu0018] any progress on this?;;;</t>
  </si>
  <si>
    <t>03/Dec/25 11:27 AM;ngu0018;I will have the LogicGate record submitted today since we have decided to use IDMC and no longer waiting for a decision on Openflow for this phase of the project.  ;;;</t>
  </si>
  <si>
    <t>04/Dec/25 7:18 PM;ngu0018;LogicGate P310 submitted for ES review and assessment.  Assignee from ES is Bayo Oladele.  Will provide update once ES assessment is complete.;;;</t>
  </si>
  <si>
    <t>04/Dec/25 11:06 PM;ngu0018;ES Assessment completed with no risks identified.  can proceed with SG2.  ;;;</t>
  </si>
  <si>
    <t>10/Dec/25 10:24 AM;ngu0018;LogicGate P310 has been assessed by Enterprise Security and no risks identified.  The project can proceed with PMO SG2 when ready.  ;;;</t>
  </si>
  <si>
    <t xml:space="preserve">Base Table - Setting Secure Agent and Testing jobs </t>
  </si>
  <si>
    <t>RPD-54</t>
  </si>
  <si>
    <t>once rpd-53 decision is made by architect._x000D_
_x000D_
start setting secure agent and testing jobs._x000D_
_x000D_
 _x000D_
_x000D_
start today 11/20 for EXISTING JOBS._x000D_
_x000D_
 _x000D_
_x000D_
if we go with openflow, there are different jobs to be followed.</t>
  </si>
  <si>
    <t>1|i0hxzw:</t>
  </si>
  <si>
    <t>Create Informatica Secure Agent account for Squadron</t>
  </si>
  <si>
    <t>RPD-58</t>
  </si>
  <si>
    <t>meantime, start working via existing secure agent DEV</t>
  </si>
  <si>
    <t>1|i0hxz4:</t>
  </si>
  <si>
    <t>02/Dec/25 11:39 AM;cvps10;For now, existing secure agent is used. Naveen working on creating new secure agent. Dependent on multiple teams - might take 2 weeks;;;</t>
  </si>
  <si>
    <t>Schema Testing (SADB) using existing module</t>
  </si>
  <si>
    <t>RPD-59</t>
  </si>
  <si>
    <t>[~ngu0018]  asked ETL team to test connection for SADB by creating jobs. [~sin0404]  [~knxn12]  to follow.</t>
  </si>
  <si>
    <t>1|i0hy50:</t>
  </si>
  <si>
    <t>26/Nov/25 11:12 AM;sau0093;Openflow steup is still pending. ;;;</t>
  </si>
  <si>
    <t>SnowFlake ETL Plan - Silver to Gold solution to provide - document / email needed</t>
  </si>
  <si>
    <t>RPD-66</t>
  </si>
  <si>
    <t>10/Dec/25 10:17 AM;dan0243;Snowflake Native Capabilities_v2.docx;https://jira.cpr.ca/secure/attachment/166182/Snowflake+Native+Capabilities_v2.docx</t>
  </si>
  <si>
    <t>1|i0i06c:</t>
  </si>
  <si>
    <t>09/Dec/25 10:10 AM;dan0243;9/12 - Since it a dependent on data modeling document;;;</t>
  </si>
  <si>
    <t>10/Dec/25 10:21 AM;dan0243;Once we decide the silver layer approach and bring up the data from all sources. we will then finalize the silver to gold. but for the better understanding i have attached the document ;;;</t>
  </si>
  <si>
    <t>allocate to celebal team with KT by 12/2 Tuesday</t>
  </si>
  <si>
    <t>RPD-64</t>
  </si>
  <si>
    <t>[~cvps10]  to KT to Celebal team [~moh0106] and [~bab0060] / [~aro0027] </t>
  </si>
  <si>
    <t>1|i0hzck:</t>
  </si>
  <si>
    <t>02/Dec/25 11:37 AM;cvps10;KT completed with the help of documents and recordings by Sangtae and team for Rail 360;;;</t>
  </si>
  <si>
    <t>Base Table DEV environment setting (Bronze data)</t>
  </si>
  <si>
    <t>RPD-52</t>
  </si>
  <si>
    <t>[~knxn12] / [~sin0404]  to work with [~tha0073]  to confirm base table environment (bronze data) is set (access is granted but job needs to be set up) such as dedicated server for CDC work._x000D_
_x000D_
 </t>
  </si>
  <si>
    <t>1|i0hube:</t>
  </si>
  <si>
    <t>03/Dec/25 11:26 AM;cvps10;Dev load tested from SADB to Bronze using IICS;;;</t>
  </si>
  <si>
    <t>Set up/Lift Logic Review</t>
  </si>
  <si>
    <t>RPD-51</t>
  </si>
  <si>
    <t>[~cvps10]  to schedule a meeting to Review Logic with Karthik and Kishore.</t>
  </si>
  <si>
    <t>1|i0hubc:</t>
  </si>
  <si>
    <t>08/Dec/25 11:10 AM;woo0234;follow up with saurabh and celable by 12/9;;;</t>
  </si>
  <si>
    <t>11/Dec/25 10:30 AM;cvps10;email sent to Kishore and Karthik to review the set off/lift logic. Will await their response;;;</t>
  </si>
  <si>
    <t>Base table - injection tool options decision (e.g. IDMC / Openflow)</t>
  </si>
  <si>
    <t>RPD-53</t>
  </si>
  <si>
    <t>[~sin0404]  / [~knxn12]  / [~tha0073]  to reach out architect to make a decision on tool options between idmc vs. openflow_x000D_
_x000D_
[~ngu0018]  / [~tig0002]  to make a decision which tool will be used for MDM, SADB/ORACLE, AZURE, AWS. AND SAP BW, GIS, to be added/documented once decision is made_x000D_
_x000D_
[~cvps10]  to reflect data setting changes into technical document._x000D_
_x000D_
 _x000D_
_x000D_
 </t>
  </si>
  <si>
    <t>1|i0hxzg:</t>
  </si>
  <si>
    <t>20/Nov/25 1:05 PM;woo0234;Open flow is not an option due to timing as per [~ngu0018]  11/20;;;</t>
  </si>
  <si>
    <t>20/Nov/25 1:06 PM;woo0234;Use Informatica to get into SnowFlake for phase 1 and build Open flow for future base data ENV setting.;;;</t>
  </si>
  <si>
    <t>21/Nov/25 11:12 AM;woo0234;phase 1 will be via informatica process while phase 2 has high chance to go with open flow type of methods.;;;</t>
  </si>
  <si>
    <t>21/Nov/25 11:13 AM;woo0234;as per [~bha0056] and [~ngu0018], use Informatica IDMC method for phase 1 level.;;;</t>
  </si>
  <si>
    <t>Create PROD secure agent (second)</t>
  </si>
  <si>
    <t>RPD-61</t>
  </si>
  <si>
    <t>1|i0hyec:</t>
  </si>
  <si>
    <t>Create DEV secure agent (first)</t>
  </si>
  <si>
    <t>RPD-60</t>
  </si>
  <si>
    <t>1|i0hye4:</t>
  </si>
  <si>
    <t xml:space="preserve">Buisness Glossary </t>
  </si>
  <si>
    <t>RPD-39</t>
  </si>
  <si>
    <t>4-Medium</t>
  </si>
  <si>
    <t>Need to Create  Business Glossary for for Phase 1 with details.</t>
  </si>
  <si>
    <t>1|i0hpnw:</t>
  </si>
  <si>
    <t>07/Nov/25 11:13 AM;woo0234;[~mok0002]  will help [~woo0234]  to expedite by November 13th.;;;</t>
  </si>
  <si>
    <t>Share the work and complete with Ron and Pankaj for Business Glossary</t>
  </si>
  <si>
    <t>RPD-48</t>
  </si>
  <si>
    <t>mok0002</t>
  </si>
  <si>
    <t>[~woo0234]  work with [~mok0002]  and [~ana0017]  till 11/14._x000D_
_x000D_
 _x000D_
_x000D_
[Product_PoC_V1.xlsx|https://cpkcrail.sharepoint.com/:x:/r/teams/3_22025InformationServices/_layouts/15/Doc.aspx?sourcedoc=%7BCC2A6CF5-D39D-42E6-91B0-00C454B1916A%7D&amp;file=Product_PoC_V1.xlsx&amp;action=default&amp;mobileredirect=true]_x000D_
_x000D_
in tab data dictionary.</t>
  </si>
  <si>
    <t>1|i0ht10:</t>
  </si>
  <si>
    <t>12/Nov/25 10:20 AM;ana0017;Team is working on Document will have it complete by Nov 14.;;;</t>
  </si>
  <si>
    <t>17/Nov/25 11:08 AM;ana0017;[~woo0234]  if we can share with Business this week to Review it.;;;</t>
  </si>
  <si>
    <t>19/Nov/25 11:23 AM;cvps10;Updated by Sangtae and Ron;;;</t>
  </si>
  <si>
    <t>P220 System to Bronze detail to fill up</t>
  </si>
  <si>
    <t>RPD-57</t>
  </si>
  <si>
    <t>while awaiting for bronze to gold, complete system to bronze P220</t>
  </si>
  <si>
    <t>1|i0hy2s:</t>
  </si>
  <si>
    <t>21/Nov/25 11:06 AM;woo0234;[~cvps10]  will complete by end of today 11/21st Friday;;;</t>
  </si>
  <si>
    <t>25/Nov/25 11:08 AM;woo0234;determining fields required transformation vs. not will be completed._x000D_
_x000D_
however exact transformation logic will be in early December week completion.;;;</t>
  </si>
  <si>
    <t>P220 Prep Work - Initial data process review</t>
  </si>
  <si>
    <t>RPD-6</t>
  </si>
  <si>
    <t>kvxg11</t>
  </si>
  <si>
    <t>P220 Prep Work - Initial data process review (include a complete diagram and target tables) - more technical / naming convention / architects_x000D_
adding more to reflect the platform changes, MDM composition, and preliminary requirement for regulatory tonnage data_x000D_
 _x000D_
Co work to be done by both ETL and Analysts</t>
  </si>
  <si>
    <t>1|i0hj2s:</t>
  </si>
  <si>
    <t>23/Oct/25 11:24 AM;ana0017;[~cvps10]  will be working from BDA team with assigned ETL folks.;;;</t>
  </si>
  <si>
    <t>05/Nov/25 11:26 AM;woo0234;other than diagram part, majority of sections are ready.;;;</t>
  </si>
  <si>
    <t>Data quality strategy draft v1</t>
  </si>
  <si>
    <t>RPD-44</t>
  </si>
  <si>
    <t>[~sel0052]  to strategize data quality structure (backbone)_x000D_
_x000D_
discussed about layer based approach_x000D_
_x000D_
work with [~sid0070]  as well._x000D_
_x000D_
eventuall will work with business to weigh in after our review on 10th of Nov.</t>
  </si>
  <si>
    <t>1|i0hqtw:</t>
  </si>
  <si>
    <t>Access to build Foundation of Bronze Layer for Squadron</t>
  </si>
  <si>
    <t>RPD-47</t>
  </si>
  <si>
    <t>2-Very High</t>
  </si>
  <si>
    <t>Establishment of all data systems into Bronze Layer _x000D_
_x000D_
e.g. temp admin access for informatica set up. Need Admin Access for Squadron team._x000D_
_x000D_
 _x000D_
_x000D_
[~las0044]  will follow up with [~gue0154]  for Squadron team ([~dan0243]   / [~hel0063]  / [~tha0073] ..)</t>
  </si>
  <si>
    <t>1|i0hsy4:</t>
  </si>
  <si>
    <t>12/Nov/25 10:43 AM;ana0017;Squadran team  has a meeting with Rueben and Team today.will Discuss the Access requirements during the Meeting.;;;</t>
  </si>
  <si>
    <t>13/Nov/25 11:05 AM;ana0017;Squadron Team is working with Rueben to do the setup.;;;</t>
  </si>
  <si>
    <t>21/Nov/25 11:22 AM;woo0234;tested with existing bridge;;;</t>
  </si>
  <si>
    <t>SADB / MDW / EDW / Azure / Snowflake</t>
  </si>
  <si>
    <t>RPD-10</t>
  </si>
  <si>
    <t>pat0582</t>
  </si>
  <si>
    <t>[~mor0460]  to initiate / grant access details in _x000D_
_x000D_
[Rail360 Categorized_Timeline_with_Transcript_Tasks_V1.xlsx|https://cpkcrail.sharepoint.com/:x:/r/teams/3_22025InformationServices/_layouts/15/Doc.aspx?sourcedoc=%7BB98E5961-DAB0-4579-82A0-99B223DB130E%7D&amp;file=Rail360%20Categorized_Timeline_with_Transcript_Tasks_V1.xlsx&amp;action=default&amp;mobileredirect=true] tab Access</t>
  </si>
  <si>
    <t>1|i0hj4c:</t>
  </si>
  <si>
    <t>23/Oct/25 11:23 AM;ana0017;Need Access for [~cvps10]  for all the mentioned DB.;;;</t>
  </si>
  <si>
    <t>10/Nov/25 11:18 AM;woo0234;QA team have not been granted access to Snowflake for [~sel0052]  and [~sid0070]  yet. raised this to [~dow0059] ;;;</t>
  </si>
  <si>
    <t>26/Nov/25 11:31 AM;sau0093;Naveen : SADB Acc and Prod access is still pending and working with service fulfillment team ;;;</t>
  </si>
  <si>
    <t>04/Dec/25 11:19 AM;sau0093;Its still in progress, expected to complete by Dec08.;;;</t>
  </si>
  <si>
    <t>Data Quality Rules to complete</t>
  </si>
  <si>
    <t>RPD-11</t>
  </si>
  <si>
    <t>ste0370</t>
  </si>
  <si>
    <t>this will be joint efforts among QA ([~sel0052]  / [~sid0070] ) and Business team ([~ste0370]  / [~ten0025] ) and analysts will engage during the process._x000D_
_x000D_
tentative time attached.</t>
  </si>
  <si>
    <t>1|i0hj4k:</t>
  </si>
  <si>
    <t>26/Nov/25 11:32 AM;sau0093;Session with Paul and team is required to have their comments. ;;;</t>
  </si>
  <si>
    <t>02/Dec/25 11:31 AM;cvps10;Recevied feedback on broken CSNs from Paul and team. Need to strategize solution;;;</t>
  </si>
  <si>
    <t>recap and summary of test case phase 1 draft document</t>
  </si>
  <si>
    <t>RPD-34</t>
  </si>
  <si>
    <t>for harleen and key stakeholders.</t>
  </si>
  <si>
    <t>1|i0hkbk:</t>
  </si>
  <si>
    <t>29/Oct/25 11:08 AM;ana0017;[~sid0070]  to schedule a meeting to present the test case draft to Harleen.;;;</t>
  </si>
  <si>
    <t>P220 - subtask to identify data points with Squadron team</t>
  </si>
  <si>
    <t>RPD-43</t>
  </si>
  <si>
    <t>requires design overview update for table level detail between CPKC DA's/ETL's and Squadron_x000D_
_x000D_
allocation of data points by layers _x000D_
_x000D_
[~tha0073] / [~cvps10]  / [~kvxg11]  / [~dan0243]  to follow up</t>
  </si>
  <si>
    <t>1|i0hqq4:</t>
  </si>
  <si>
    <t>12/Nov/25 10:45 AM;ana0017;[~cvps10]  arrange a call with ETL and Squadron team to Discuss data Points.;;;</t>
  </si>
  <si>
    <t>24/Nov/25 11:08 AM;woo0234;P220 bronze to silver transformation logic is needed.;;;</t>
  </si>
  <si>
    <t>26/Nov/25 11:26 AM;sau0093;Meeting today with CPKC team on Nov 26 to discuss this one ;;;</t>
  </si>
  <si>
    <t>27/Nov/25 11:05 AM;woo0234;11/27 make further progression column mapping and tables bronze and bronze to silver portion by [~sau0093] ;;;</t>
  </si>
  <si>
    <t>02/Dec/25 11:25 AM;cvps10;Data model pending as asked by Squadron team;;;</t>
  </si>
  <si>
    <t>Set Out / Lift update (Vicky)</t>
  </si>
  <si>
    <t>RPD-7</t>
  </si>
  <si>
    <t>*Understanding lift / set out data along with work order for equipment on train or in yard. (TYES)*_x000D_
- architecture review with Kishore_x000D_
- review with TYES team (Ronald)_x000D_
- review with SADB to confirm data unavailability (that we don't have it)</t>
  </si>
  <si>
    <t>1|i0hj30:</t>
  </si>
  <si>
    <t>24/Oct/25 11:20 AM;woo0234;now it is going with non B Flag locations too and this is under review.;;;</t>
  </si>
  <si>
    <t>05/Nov/25 11:27 AM;woo0234;set out / lift data was found in TYES/RPM level (upper stream of data we use);;;</t>
  </si>
  <si>
    <t>Set Out / Lift update (identify datapoint within SADB in house first)</t>
  </si>
  <si>
    <t>RPD-28</t>
  </si>
  <si>
    <t>if it requires further investigation, [~ana0017]  and [~woo0234]  will validate_x000D_
_x000D_
and [~ana0017]  will weigh in with Neeraj_x000D_
_x000D_
 _x000D_
_x000D_
 </t>
  </si>
  <si>
    <t>1|i0hkb8:</t>
  </si>
  <si>
    <t>27/Oct/25 11:16 AM;woo0234;trying to visualize within PBI for review with [~woo0234]  [~ana0017]  [~sid0070]  by [~pat0582] ;;;</t>
  </si>
  <si>
    <t>28/Oct/25 10:57 AM;pat0582;The logic has been built and internally reviewed. Refinements are pending based on the gaps if any that we identify verifying the data with parallel systems such as TYES. _x000D_
_x000D_
 _x000D_
_x000D_
Once the logic validation is done, the plan is to develop following datapoints from available data - in a phased manner -_x000D_
_x000D_
 _x000D_
_x000D_
The target location where these fields are to be stored is TBD based on review with Kishore and David and SADB if required. _x000D_
_x000D_
phase 1 - _x000D_
_x000D_
_x000D_
•    LIFT_EVENT_TMS_x000D_
•    LIFT_SCAC_CD_x000D_
•    LIFT_FSAC_CD_x000D_
•    LIFT_TRSTN_VRSN_NBR_x000D_
_x000D_
_x000D_
•    SET_EVENT_TMS_x000D_
•    SET_SCAC_CD_x000D_
•    SET_FSAC_CD_x000D_
•    SET_TRSTN_VRSN_NBR_x000D_
_x000D_
 _x000D_
_x000D_
phase-2_x000D_
_x000D_
•    CARE_OF_PARTY_CPRS_CSTMR_ID_x000D_
•    LIFT_RPRTNG_TM_ZN_CD_x000D_
•    LIFT_RPRTNG_TM_ZN_YR_NBR_x000D_
•    SET_RPRTNG_TM_ZN_CD_x000D_
•    SET_RPRTNG_TM_ZN_YR_NBR_x000D_
_x000D_
•    LIFT_MVMNT_EVENT_ID_x000D_
_x000D_
•    SET_MVMNT_EVENT_ID_x000D_
_x000D_
 ;;;</t>
  </si>
  <si>
    <t>30/Oct/25 10:52 AM;ana0017;[~pat0582]  please update the Jira with all the details;;;</t>
  </si>
  <si>
    <t>30/Oct/25 10:57 AM;pat0582;Set-Life is logic is being firmed up to iron out gaps I/we found while testing the logic with multiple trains internally. _x000D_
_x000D_
By next week, we can have it finalized for review with Kishore/David/SADB for the approval of logic to go ahead with next steps of where to target this data - in a new table or in any other way. ;;;</t>
  </si>
  <si>
    <t>P140 creation</t>
  </si>
  <si>
    <t>RPD-3</t>
  </si>
  <si>
    <t>Obtaining approval for P140_x000D_
 - revising / updating P140 to reflect the platform changes, MDM composition, and preliminary requirement for regulatory tonnage data</t>
  </si>
  <si>
    <t>1|i0hj1o:</t>
  </si>
  <si>
    <t>24/Oct/25 11:28 AM;woo0234;updating based on decisions made with Paul's team regarding the use of MDM sources.;;;</t>
  </si>
  <si>
    <t>P140 draft review with Sangtae</t>
  </si>
  <si>
    <t>RPD-40</t>
  </si>
  <si>
    <t>draft is crafted by [~pat0582]  and [~ana0017] </t>
  </si>
  <si>
    <t>1|i0hpx0:</t>
  </si>
  <si>
    <t>P219- update and details</t>
  </si>
  <si>
    <t>RPD-27</t>
  </si>
  <si>
    <t>Just a follow up task for P219 document in daily scrum meeting.</t>
  </si>
  <si>
    <t>1|i0hk1o:</t>
  </si>
  <si>
    <t>28/Oct/25 11:20 AM;woo0234;[~ngu0018]  mentioned that this task also requires Squadron's assistance for part of this work;;;</t>
  </si>
  <si>
    <t>28/Oct/25 11:26 AM;ngu0018;SG2 P219 documentation started and planned for first draft for initial review by end of day November 7th.  Will need the latest P140.  Squadron team's involvement in the architecture is required.  David will reach out to Squadron for support on P219 details wrt Snowflake architecture and Train product solution design.  ;;;</t>
  </si>
  <si>
    <t>29/Oct/25 10:39 AM;ana0017;[~ngu0018]  Sent the updated P140 yesterday after the meeting please review the document and if any questions please let me know._x000D_
_x000D_
 _x000D_
_x000D_
Thank you!_x000D_
_x000D_
 ;;;</t>
  </si>
  <si>
    <t>04/Nov/25 9:36 AM;ngu0018;Still in progress.  Consulting with Squadron and Snowflake for proper foundational set up in Snowflake for development.  Aiming to still get first draft for review with EA end of week, Nov 7th.;;;</t>
  </si>
  <si>
    <t>10/Nov/25 11:04 AM;woo0234;no ETA changes end 14th of November.;;;</t>
  </si>
  <si>
    <t>17/Nov/25 10:42 AM;ngu0018;Initial draft created, with some outstanding details to be documented in the coming days. _x000D_
_x000D_
Bigger item to be sorted.  Due to technical blocker preventing the setup of Snowflake Openflow due to the platform not supporting AWS PrivateLin, which is CPKC's standard for private network communication, it will be necessary to discuss alternative deployment options for Openflow (such as the BOYC version) or other available solutions. A decision record must be created and reviewed by Enterprise Architecture (EA) and security teams, with their approval required before moving forward. All relevant details will be documented in the P219, and updates will be provided once a final decision is made and necessary approvals are obtained.;;;</t>
  </si>
  <si>
    <t>17/Nov/25 10:54 AM;ana0017;[~ngu0018]  would you be able to share the P219 draft with team. please do share over the email or Teams Rail 360 scrum group._x000D_
_x000D_
 _x000D_
_x000D_
Thank you!_x000D_
_x000D_
 _x000D_
_x000D_
 ;;;</t>
  </si>
  <si>
    <t>02/Dec/25 11:32 AM;cvps10;P219 first draft is ready for review;;;</t>
  </si>
  <si>
    <t>04/Dec/25 7:16 PM;ngu0018;Latest P219s version submitted to EA for review;;;</t>
  </si>
  <si>
    <t>08/Dec/25 11:02 AM;woo0234;[~tig0002]  for update;;;</t>
  </si>
  <si>
    <t>10/Dec/25 10:17 AM;ngu0018;Sent Kishore a follow up for his review of the latest draft.  Once he's finalized his input, will update and circulate to Harleen for review.  ;;;</t>
  </si>
  <si>
    <t>Interview with Stakeholders for Product Design</t>
  </si>
  <si>
    <t>RPD-15</t>
  </si>
  <si>
    <t>Product design, user interfaces, and self service analytics requirement gathering from key stakeholders with departments leaders including operating analytics, mechanical, engineering, finance, and regulatory teams (key user groups)</t>
  </si>
  <si>
    <t>RPD-16</t>
  </si>
  <si>
    <t>1|i0hj5g:</t>
  </si>
  <si>
    <t>Interview - Finance</t>
  </si>
  <si>
    <t>RPD-19</t>
  </si>
  <si>
    <t>1|i0hj6c:</t>
  </si>
  <si>
    <t>27/Oct/25 7:02 PM;woo0234;interview set up on October 28th;;;</t>
  </si>
  <si>
    <t>R4J document to be done by PM</t>
  </si>
  <si>
    <t>RPD-38</t>
  </si>
  <si>
    <t>[~ana0017]  already have approved P140 document and details can be entered back into system by [~las0044] </t>
  </si>
  <si>
    <t>1|i0hlr0:</t>
  </si>
  <si>
    <t>business transformation document (revised for issue type change)</t>
  </si>
  <si>
    <t>RPD-37</t>
  </si>
  <si>
    <t>Updated:4 days ago 10:27 AM_x000D_
h3. Description_x000D_
Document Business rules - get the code from ETL and Qlik and convert them into plain English for Squadron team._x000D_
explain in plain English for business rule_x000D_
 _x000D_
Try to put plain English in OUR (CPKC Employee's) understanding then fabricate with A.I._x000D_
do not start with A.I. </t>
  </si>
  <si>
    <t>1|i0hlqs:</t>
  </si>
  <si>
    <t>29/Oct/25 10:35 AM;ana0017;Sent to [~pat0582]  and [~woo0234]  to Review.;;;</t>
  </si>
  <si>
    <t>30/Oct/25 10:51 AM;ana0017;Reviewed with Vicky will close it by 31st with minor changes.;;;</t>
  </si>
  <si>
    <t>Name</t>
  </si>
  <si>
    <t>Naveen</t>
  </si>
  <si>
    <t>ETL</t>
  </si>
  <si>
    <t>Harshil Patel</t>
  </si>
  <si>
    <t>Squadron</t>
  </si>
  <si>
    <t>Jatin</t>
  </si>
  <si>
    <t>Celebal</t>
  </si>
  <si>
    <t>VishnuB</t>
  </si>
  <si>
    <t>QE</t>
  </si>
  <si>
    <t>Babu</t>
  </si>
  <si>
    <t>VPS</t>
  </si>
  <si>
    <t>BDA</t>
  </si>
  <si>
    <t>Hisham</t>
  </si>
  <si>
    <t>David</t>
  </si>
  <si>
    <t>Architect</t>
  </si>
  <si>
    <t>Jatinder</t>
  </si>
  <si>
    <t>Raheel</t>
  </si>
  <si>
    <t>Karthik</t>
  </si>
  <si>
    <t>Ruben</t>
  </si>
  <si>
    <t>Cloud</t>
  </si>
  <si>
    <t>Sangtae</t>
  </si>
  <si>
    <t>Ron</t>
  </si>
  <si>
    <t>Manooj</t>
  </si>
  <si>
    <t>Robert</t>
  </si>
  <si>
    <t>PM</t>
  </si>
  <si>
    <t>Vicky</t>
  </si>
  <si>
    <t>Paul</t>
  </si>
  <si>
    <t>Business</t>
  </si>
  <si>
    <t>Pankaj</t>
  </si>
  <si>
    <t>Nikhil</t>
  </si>
  <si>
    <t>Businsess Glossary</t>
  </si>
  <si>
    <t>How it works</t>
  </si>
  <si>
    <t>Data Type</t>
  </si>
  <si>
    <t>Source System</t>
  </si>
  <si>
    <t>Validation Rules</t>
  </si>
  <si>
    <t>The calendar year when the train started its journey from the origin station. Derived from the train's departure timestamp and used to group train operations by year.</t>
  </si>
  <si>
    <t>If Train 180-01 departed on February 1st, 2025 at 15:20 CT, the Train Year would be 2025.</t>
  </si>
  <si>
    <t>String</t>
  </si>
  <si>
    <t>SADB/TYES</t>
  </si>
  <si>
    <t>String, max length 50</t>
  </si>
  <si>
    <t>Optional</t>
  </si>
  <si>
    <t>The quarter (Q1 to Q4) in which the train departed from its origin station. Helps in analyzing train operations on a quarterly basis.</t>
  </si>
  <si>
    <t>If a train departed in February 2025, the Train Quarter would be Q1.</t>
  </si>
  <si>
    <t>mandate</t>
  </si>
  <si>
    <t>The month (e.g., January, February) when the train departed from its origin station. Useful for monthly trend analysis.</t>
  </si>
  <si>
    <t>If a train departed on February 1st, 2025, the Train Month would be February.</t>
  </si>
  <si>
    <t>The specific calendar day when the train departed from its origin station. Enables daily tracking of train movements.</t>
  </si>
  <si>
    <t>If a train departed on February 1st, 2025, the Train Day would be 1.</t>
  </si>
  <si>
    <t>Time Stamp</t>
  </si>
  <si>
    <t>The timestamp indicating when the latest event data for the train was received into the system. Used for tracking and reporting purposes.</t>
  </si>
  <si>
    <t>DateTime</t>
  </si>
  <si>
    <t>Format: YYYY-MM-DD HH:MM:SS</t>
  </si>
  <si>
    <t>Identifies the originating system that provided the train data. Helps in understanding data lineage and system-specific attributes.</t>
  </si>
  <si>
    <t>System Metadata</t>
  </si>
  <si>
    <t>A numeric identifier that groups trains into a series based on operational or scheduling similarities. Useful for tracking performance trends across similar train types.</t>
  </si>
  <si>
    <t>Train series 100 may represent a group of freight trains operating on a specific corridor.</t>
  </si>
  <si>
    <t>Integer</t>
  </si>
  <si>
    <t>Numeric, &gt;=0</t>
  </si>
  <si>
    <t>A short code used to uniquely identify a train's operational schedule or route. Often used in dispatching and tracking systems.</t>
  </si>
  <si>
    <t>Symbol 181 may refer to a train running from Laredo to Kansas City.</t>
  </si>
  <si>
    <t>A descriptive name combining the train symbol and additional identifiers to distinguish specific train instances.</t>
  </si>
  <si>
    <t>Train name 181-01 indicates the first instance of train symbol 181.</t>
  </si>
  <si>
    <t>A code representing the general category of the train, such as freight (FRT), passenger, or work train.</t>
  </si>
  <si>
    <t>FRT indicates a freight train.</t>
  </si>
  <si>
    <t>Indicates whether the train is a primary or secondary service type. Helps in prioritizing train movements.</t>
  </si>
  <si>
    <t>PRIM indicates a primary train service.</t>
  </si>
  <si>
    <t>Boolean</t>
  </si>
  <si>
    <t>{Y,N}</t>
  </si>
  <si>
    <t>Defines the operational nature of the train, such as 'OP' for operational or 'TEST' for test runs.</t>
  </si>
  <si>
    <t>OP indicates a regular operational train.</t>
  </si>
  <si>
    <t>FSAC is a unique 5-digit station location reference number derived from the station name. The departure FSAC code identifies the station where the train began its journey or segment.</t>
  </si>
  <si>
    <t>The departure FSAC code is assigned based on the station from which the train departed. It is used for tracking, reporting, and linking train events to specific locations.</t>
  </si>
  <si>
    <t>DIM_LOCATION</t>
  </si>
  <si>
    <t>FSAC is a unique 5-digit station location reference number derived from the station name. The arrival FSAC code identifies the station where the train ended its journey or segment.</t>
  </si>
  <si>
    <t>The arrival FSAC code is assigned based on the station where the train arrived. It is used for tracking, reporting, and linking train events to specific locations.</t>
  </si>
  <si>
    <t>5772</t>
  </si>
  <si>
    <t xml:space="preserve">Date/Time when a shipment/Equipment Arrives at a particular location </t>
  </si>
  <si>
    <t xml:space="preserve">Report Time associated with AAR_STNDRD_EVENT_CD of  ARRI (Arrived at Destination), ARIL (Arrival intermediate location) </t>
  </si>
  <si>
    <t>8/1/25 23:43</t>
  </si>
  <si>
    <t xml:space="preserve">Date/Time when a shipment/Equipment Departs from a particular location </t>
  </si>
  <si>
    <t>Report Time associated with AAR_STNDRD_EVENT_CD of  DFLC (Depart from Location, Depart Passing Outbound, Departure)</t>
  </si>
  <si>
    <t>8/1/25 21:37</t>
  </si>
  <si>
    <t>A unique identifier assigned to each train instance for tracking and reporting purposes.</t>
  </si>
  <si>
    <t>Titan number 942442 uniquely identifies a specific train but often found it has been reused after 2-3 months</t>
  </si>
  <si>
    <t>942442</t>
  </si>
  <si>
    <t>Total train miles</t>
  </si>
  <si>
    <t>The movement of a train times the distance in miles traveled, based on the actual distance run between terminals and/or stations computed from official timetables or distance tables.</t>
  </si>
  <si>
    <t>Sum of all train miles travelled by lead locomotive.</t>
  </si>
  <si>
    <t>7.986</t>
  </si>
  <si>
    <t>Decimal</t>
  </si>
  <si>
    <t>Numeric, precision up to 3 decimals</t>
  </si>
  <si>
    <t>if Train miles &gt; 0, Gross ton miles &gt;0</t>
  </si>
  <si>
    <t>measures the total tonnage of cargo (content) transported by a train, multiplied by the distance (in miles) that the cargo travels. This metric is used to assess the volume of freight moved over a given distance, supporting operational analysis, billing, and regulatory reporting. It reflects the productivity of train operations by quantifying how much cargo is moved and how far it is transported.</t>
  </si>
  <si>
    <t>Example: If a train carries 1,000 tons of cargo for 100 miles, the Content Ton Miles is 100,000.
Calculation:
Content Ton Miles=∑(Net Weight of Cargo (tons)×Miles Traveled)Content Ton Miles=∑(Net Weight of Cargo (tons)×Miles Traveled)</t>
  </si>
  <si>
    <t>16043.874</t>
  </si>
  <si>
    <t>Tare weight of the equipment in tons (empty weight).</t>
  </si>
  <si>
    <t>TARE_WEIGHT_TONS_QTY 30 for a 30-ton empty car.</t>
  </si>
  <si>
    <t>AEI/Umler</t>
  </si>
  <si>
    <t>Net weight of the commodity in the equipment, in tons.</t>
  </si>
  <si>
    <t>NET_WEIGHT_TONS_QTY 100 for a loaded grain car.</t>
  </si>
  <si>
    <t>The total weight of a locomotive, including its frame, engine, and all permanently attached components. Used for train performance calculations and regulatory compliance.</t>
  </si>
  <si>
    <t>The locomotive full weight is recorded for each locomotive and used to calculate total train weight, braking requirements, and compliance with track and bridge limits.</t>
  </si>
  <si>
    <t>424</t>
  </si>
  <si>
    <t>The combined tare weight (empty weight) of all railcars or equipment in a train, excluding any cargo or lading. Used to determine net and gross weights for operational and billing purposes.</t>
  </si>
  <si>
    <t>Tare tons are summed for all empty cars in a train to calculate the total empty weight, which is then added to the net cargo weight to determine the gross train weight.</t>
  </si>
  <si>
    <t>1598.45</t>
  </si>
  <si>
    <t>Total hours a train is in operation from departure to arrival.</t>
  </si>
  <si>
    <t>Calculated as elapsed time in hours between departure and arrival timestamps.</t>
  </si>
  <si>
    <t>Total minutes a train is in operation from departure to arrival.</t>
  </si>
  <si>
    <t>Calculated as elapsed time in minutes between departure and arrival timestamps.</t>
  </si>
  <si>
    <t>6.02</t>
  </si>
  <si>
    <t>Total miles traveled by all equipment in a train.</t>
  </si>
  <si>
    <t>Sum of miles traveled by each piece of equipment during the journey.</t>
  </si>
  <si>
    <t>167.706</t>
  </si>
  <si>
    <t>Tare tones multiplied by tonnage of the equipment associated with the tare tones</t>
  </si>
  <si>
    <t>Logic to be confirmed based on source system and data lineage.</t>
  </si>
  <si>
    <t>9379.158</t>
  </si>
  <si>
    <t>Sum of tare plus content, multiplied by the actual car miles incurred. Includes tare and content tons of cars and deadhead locomotives, and company resource equipment (vans, business cars, robot locomotives, passenger cars or work cars reported on the freight journal).</t>
  </si>
  <si>
    <t>25423.032</t>
  </si>
  <si>
    <t>Tare ton miles represent empty weight multiplied by miles traveled.</t>
  </si>
  <si>
    <t>Multiply tare weight (tons) by miles traveled for each equipment and sum.</t>
  </si>
  <si>
    <t>0</t>
  </si>
  <si>
    <t>3386.064</t>
  </si>
  <si>
    <t>Miles traveled by loaded revenue cars.</t>
  </si>
  <si>
    <t>Sum miles traveled by each loaded revenue car.</t>
  </si>
  <si>
    <t>Miles traveled by empty revenue cars.</t>
  </si>
  <si>
    <t>Sum miles traveled by each empty revenue car.</t>
  </si>
  <si>
    <t>Miles traveled by locomotives (live or deadhead).</t>
  </si>
  <si>
    <t>Sum miles traveled by each locomotive based on its status.</t>
  </si>
  <si>
    <t>15.972</t>
  </si>
  <si>
    <t>Total miles traveled by passenger business cars (e.g., business, inspection, or special event cars).</t>
  </si>
  <si>
    <t>Sum the miles traveled by each passenger business car during the reporting period.</t>
  </si>
  <si>
    <t>Total miles traveled by work cars (maintenance-of-way or service cars), used for tracking support operations.</t>
  </si>
  <si>
    <t>Sum the miles traveled by each work car during the reporting period.</t>
  </si>
  <si>
    <t>Total miles traveled by cabooses, used for historical reporting or special operations.</t>
  </si>
  <si>
    <t>Sum the miles traveled by each caboose during the reporting period.</t>
  </si>
  <si>
    <t>69478.2</t>
  </si>
  <si>
    <t>1224.52</t>
  </si>
  <si>
    <t>Foot-miles represent equipment length multiplied by miles traveled.</t>
  </si>
  <si>
    <t>Multiply length (feet) by miles traveled for each equipment and sum.</t>
  </si>
  <si>
    <t>28790.861</t>
  </si>
  <si>
    <t>30015.381</t>
  </si>
  <si>
    <t>Day of the week the train departed from origin.</t>
  </si>
  <si>
    <t>Derived from departure timestamp.</t>
  </si>
  <si>
    <t>{Mon,Tue,Wed,Thu,Fri,Sat,Sun}</t>
  </si>
  <si>
    <t>Sequence number of equipment in a train consist, indicating the order of cars or locomotives.</t>
  </si>
  <si>
    <t>SQNC_NBR 1: Lead locomotive; SQNC_NBR 50: Last car.</t>
  </si>
  <si>
    <t>Current logic or enhancement</t>
  </si>
  <si>
    <t>A two to four character abbreviation (SCAC) assigned to a transportation company, registered with the AAR.</t>
  </si>
  <si>
    <t>MARK_CD 'CP' for Canadian Pacific; 'BNSF' for BNSF Railway.</t>
  </si>
  <si>
    <t>The identifying number on the piece of equipment (car or locomotive).</t>
  </si>
  <si>
    <t>EQPUN_NBR 123456 for car CP123456.</t>
  </si>
  <si>
    <t>Indicator showing whether equipment on a train is loaded or empty.</t>
  </si>
  <si>
    <t>Y = Loaded, N = Empty.</t>
  </si>
  <si>
    <t>Unique identifier used to manage cycles of railway equipment</t>
  </si>
  <si>
    <t>A new CSN is created when equipment is waybilled or Load/Empty indicator changes (602242530)</t>
  </si>
  <si>
    <t>667123456</t>
  </si>
  <si>
    <t>SAP/TMS</t>
  </si>
  <si>
    <t>Waybill number assigned to the shipment or equipment for tracking.</t>
  </si>
  <si>
    <t>WYBL_NBR 987654 for shipment from Toronto to Vancouver.</t>
  </si>
  <si>
    <t>Internal identifier for a waybill, used for tracking and referencing shipments.</t>
  </si>
  <si>
    <t>Assigned by the system when a waybill is created; used to link shipment records.</t>
  </si>
  <si>
    <t>SCAC code of the origin carrier handling the equipment.</t>
  </si>
  <si>
    <r>
      <rPr>
        <sz val="11"/>
        <color rgb="FF000000"/>
        <rFont val="Aptos Narrow"/>
        <family val="2"/>
        <scheme val="minor"/>
      </rPr>
      <t>ORIGIN_SCAC_CD 'CP</t>
    </r>
    <r>
      <rPr>
        <b/>
        <sz val="11"/>
        <color rgb="FF0070C0"/>
        <rFont val="Aptos Narrow"/>
        <family val="2"/>
        <scheme val="minor"/>
      </rPr>
      <t>RS</t>
    </r>
    <r>
      <rPr>
        <sz val="11"/>
        <color rgb="FF000000"/>
        <rFont val="Aptos Narrow"/>
        <family val="2"/>
        <scheme val="minor"/>
      </rPr>
      <t>' for Canadian Pacific.</t>
    </r>
  </si>
  <si>
    <t>SCAC code of the destination carrier handling the equipment.</t>
  </si>
  <si>
    <t>DSTNTN_SCAC_CD 'NS' for Norfolk Southern.</t>
  </si>
  <si>
    <t>Freight Station Accounting Code (FSAC) of the origin station.</t>
  </si>
  <si>
    <r>
      <rPr>
        <sz val="11"/>
        <color rgb="FF000000"/>
        <rFont val="Aptos Narrow"/>
        <family val="2"/>
        <scheme val="minor"/>
      </rPr>
      <t xml:space="preserve">ORIGIN_FSAC_CD 5770 for Laredo </t>
    </r>
    <r>
      <rPr>
        <b/>
        <sz val="11"/>
        <color rgb="FF0070C0"/>
        <rFont val="Aptos Narrow"/>
        <family val="2"/>
        <scheme val="minor"/>
      </rPr>
      <t>Bridge.</t>
    </r>
  </si>
  <si>
    <t>FSAC code of the destination station.</t>
  </si>
  <si>
    <r>
      <rPr>
        <sz val="11"/>
        <color rgb="FF000000"/>
        <rFont val="Aptos Narrow"/>
        <family val="2"/>
        <scheme val="minor"/>
      </rPr>
      <t xml:space="preserve">DSTNTN_FSAC_CD 4541 for Chicago. </t>
    </r>
    <r>
      <rPr>
        <b/>
        <sz val="11"/>
        <color rgb="FF0070C0"/>
        <rFont val="Aptos Narrow"/>
        <family val="2"/>
        <scheme val="minor"/>
      </rPr>
      <t>(Bensenville IMS)</t>
    </r>
  </si>
  <si>
    <t>Station Name for where the waybilled equipment Originated</t>
  </si>
  <si>
    <t>Laredo Bridge if SCAC equals 'CPRS' and FSAC equals '05770'</t>
  </si>
  <si>
    <t>Station Name for where the waybilled equipment is destined</t>
  </si>
  <si>
    <t>Winnipeg if SCAC equals 'CPRS' and FSAC equals '05200"</t>
  </si>
  <si>
    <t>Based on DFLC TMS</t>
  </si>
  <si>
    <t>Must be valid timestamp format (YYYY-MM-DD HH:MM:SS)</t>
  </si>
  <si>
    <t>Transition version number for the origin station in a shipment’s route.</t>
  </si>
  <si>
    <t>Indicates the version or update sequence for the origin transition; used for auditing and tracking changes.</t>
  </si>
  <si>
    <t>General text, max length 100</t>
  </si>
  <si>
    <t>Transition version number for the destination station in a shipment’s route.</t>
  </si>
  <si>
    <t>Indicates the version or update sequence for the destination transition; used for auditing and tracking changes.</t>
  </si>
  <si>
    <t>SHPPR_CPRS_CSTMR_ID</t>
  </si>
  <si>
    <t>Chopcode (up to 8 Chars) of the Shipper for the equipment being moved</t>
  </si>
  <si>
    <t>TOYMOTSA for TOYOTA MOTOR SALES USA INC</t>
  </si>
  <si>
    <t>Chopcode (up to 8 Chars) of the Consignee for the equipment being moved</t>
  </si>
  <si>
    <t>TOYOTA for TOYOTA CANADA INC</t>
  </si>
  <si>
    <t>Chopcode (up to 8 Chars) of the Care of Party for the equipment being moved</t>
  </si>
  <si>
    <t>HANFORWA for L HANSENS FORWARDING LTD</t>
  </si>
  <si>
    <t>The AAR publishes the “plates”, which are cross-section clearance profiles (like Plate B, C, H, etc.) showing the envelope a railcar must fit within.</t>
  </si>
  <si>
    <t>"C"  95% route coverage, "G-H" Intermodal double-stacks, tall tank/flat cars</t>
  </si>
  <si>
    <t xml:space="preserve">seven-digit numeric classification system used to identify and categorize commodities on shipping documents/waybills. </t>
  </si>
  <si>
    <t>3711215 for Trucks, 3711120 for Autos</t>
  </si>
  <si>
    <t>Detailed line of business classification for a shipment or train.</t>
  </si>
  <si>
    <t>Categorizes shipments for reporting and analysis; typically derived from commodity or customer data.</t>
  </si>
  <si>
    <t>Line of business classification for a shipment or train.</t>
  </si>
  <si>
    <t>Used for high-level business segmentation and reporting; assigned based on commodity, customer, or service type.</t>
  </si>
  <si>
    <t>Hazardous material response code for a shipment or equipment.</t>
  </si>
  <si>
    <t>Indicates the required response or handling for hazardous materials; derived from waybill or regulatory data.</t>
  </si>
  <si>
    <t>First waybill number associated with a shipment or equipment.</t>
  </si>
  <si>
    <t>Used to track the initial waybill in a shipment’s lifecycle; supports auditing and traceability.</t>
  </si>
  <si>
    <t>Indicates if revenue for the shipment or train is recorded in Canadian dollars.</t>
  </si>
  <si>
    <t>Flag or value set based on billing system; used for financial reporting and currency conversion.</t>
  </si>
  <si>
    <t>Dangerous or hazardous content indicator for a shipment or equipment.</t>
  </si>
  <si>
    <t>Flag set to “Y” or “N” based on commodity codes or regulatory requirements.</t>
  </si>
  <si>
    <t>Allowed values = {Y, N}</t>
  </si>
  <si>
    <t>Used to determine compliance, registration, or operational status.</t>
  </si>
  <si>
    <t>Derived from system flags or registry checks (e.g., Railinc, Umler).</t>
  </si>
  <si>
    <t>Unique identifier for equipment assignment in a shipment or train consist.</t>
  </si>
  <si>
    <t>Assigned by the system when equipment is allocated; used for tracking and auditing.</t>
  </si>
  <si>
    <t>Unique identifier for a shipment.</t>
  </si>
  <si>
    <t>Assigned by the system; used to link all records and events related to a shipment.</t>
  </si>
  <si>
    <t>Identifier for a consist change movement event.</t>
  </si>
  <si>
    <t>Assigned when a consist (train makeup) is changed; used for event tracking and auditing.</t>
  </si>
  <si>
    <t>SADB/TYES/AEI</t>
  </si>
  <si>
    <t>The Standard Carrier Alpha Code, a  unique two- to four-letter code assigned to transportation companies for what Railroad the change occured on</t>
  </si>
  <si>
    <t>CPRS would identify change happend on CPKC railroad</t>
  </si>
  <si>
    <t>Length &lt;= 10, uppercase letters</t>
  </si>
  <si>
    <t>The Freight Station Accounting Code, a five-digit numeric code used in the railroad industry to identify specific freight stations.</t>
  </si>
  <si>
    <t>03409 would Identify change happened at Vaughan IMS location</t>
  </si>
  <si>
    <t>Transition version number for a consist change event.</t>
  </si>
  <si>
    <t>Indicates the version or update sequence for a consist change; supports auditing.</t>
  </si>
  <si>
    <t>Identifier for consist LCM (Locomotive Consist Management) operations.</t>
  </si>
  <si>
    <t>Assigned by the system for tracking LCM events and changes.</t>
  </si>
  <si>
    <t>Name of the railway subdivision associated with a location or movement.</t>
  </si>
  <si>
    <t>Derived from FSAC or station mapping; used for geographic and operational analysis.</t>
  </si>
  <si>
    <t>Name of the railway district associated with a location or movement.</t>
  </si>
  <si>
    <t>Derived from FSAC or station mapping; used for higher-level geographic reporting.</t>
  </si>
  <si>
    <t>Name of the Zone associated with the CPKC station as defined by the Business</t>
  </si>
  <si>
    <t>If CPKC Station Name is LAREDO YARD then ZONE equals SOUTHWEST</t>
  </si>
  <si>
    <t>Name of the Division associated with the CPKC station as defined by the Business</t>
  </si>
  <si>
    <t>If CPKC Station Name is LAREDO YARD then Division equals South West</t>
  </si>
  <si>
    <t>Name of the railway region associated with a location or movement.</t>
  </si>
  <si>
    <t>Derived from FSAC or station mapping; used for broad geographic reporting and analysis.</t>
  </si>
  <si>
    <t>Country associated with a location or movement.</t>
  </si>
  <si>
    <t>Derived from FSAC or station mapping; used for international reporting and compliance.</t>
  </si>
  <si>
    <t>Name of the company associated with a train, equipment, or shipment.</t>
  </si>
  <si>
    <t>Derived from ownership or operating data; used for reporting and asset management.</t>
  </si>
  <si>
    <t>Name of the rail line associated with a location or movement.</t>
  </si>
  <si>
    <t>Derived from station or route data; used for routing and operational reporting.</t>
  </si>
  <si>
    <t>SCAC code of the carrier from which equipment is received at a junction.</t>
  </si>
  <si>
    <t>ON_JNCTN_SCAC_CD 'CN' for Canadian National.</t>
  </si>
  <si>
    <t>SCAC code of the carrier to which equipment is delivered at a junction.</t>
  </si>
  <si>
    <t>OFF_JNCTN_SCAC_CD 'BNSF' for BNSF Railway.</t>
  </si>
  <si>
    <t>The Freight Station Accounting Code used  to identify freight station where equipment is received at a junction</t>
  </si>
  <si>
    <t>ON_JNCTN_FSAC_CD "05770"  would represent  Laredo Bridge if SCAC equals 'CPRS'</t>
  </si>
  <si>
    <t>The Freight Station Accounting Code used  to identify freight station where equipment is delivered to at a junction</t>
  </si>
  <si>
    <t xml:space="preserve">OFF_JNCTN_FSAC_CD "04540" would represent Bensenville if SCAC equals 'CPRS' </t>
  </si>
  <si>
    <t>Transition version number for the on-junction event.</t>
  </si>
  <si>
    <t>Indicates the version or update sequence for the on-junction transition; supports auditing.</t>
  </si>
  <si>
    <t>Transition version number for the off-junction event.</t>
  </si>
  <si>
    <t>Indicates the version or update sequence for the off-junction transition; supports auditing.</t>
  </si>
  <si>
    <t xml:space="preserve">SCAC code of the rail carrier that that CPRS recieved the rail equipment from </t>
  </si>
  <si>
    <t>RCVD_FROM_SCAC_CD  'UP' for Union Pacfic</t>
  </si>
  <si>
    <t>SCAC code of the carrier responsible for final delivery of the equipment.</t>
  </si>
  <si>
    <t>DLVR_TO_SCAC_CD 'UP' for Union Pacific.</t>
  </si>
  <si>
    <t>Orientation code for equipment or movement.</t>
  </si>
  <si>
    <t>Indicates the orientation or facing direction; used for operational and safety purposes.</t>
  </si>
  <si>
    <t>Name of the station where the Depature event occured</t>
  </si>
  <si>
    <t>Laredo Bridge if the SCAC is 'CPRS,  FSAC is '05770' and AAR_STNDRD_EVENT_CD = 'DFLC'</t>
  </si>
  <si>
    <t>Name of the station where the Arrival event occured</t>
  </si>
  <si>
    <t>Laredo Yard if the SCAC is 'CPRS,  FSAC is '05772' and AAR_STNDRD_EVENT_CD in (ARIL or ARRI)</t>
  </si>
  <si>
    <t>AAR car type code identifying the type and specifications of a railcar (e.g., length, door height).</t>
  </si>
  <si>
    <t>AAR_CAR_TYPE_CD 'C636' for a covered hopper.</t>
  </si>
  <si>
    <t>Maximum coupled length of the consist or equipment, in feet.</t>
  </si>
  <si>
    <t>OTSD_LENGTH_FEET_QTY 89 for a standard flatcar.</t>
  </si>
  <si>
    <t>Outside length of equipment in inches.</t>
  </si>
  <si>
    <t>Measured or recorded for each piece of equipment; used for clearance and planning.</t>
  </si>
  <si>
    <t>Forecasted arrival time used for planning and visibility.</t>
  </si>
  <si>
    <t>Calculated using departure time, route duration, and current location.</t>
  </si>
  <si>
    <t>Type of asset (locomotive, railcar, container, or end-of-train device).</t>
  </si>
  <si>
    <t>Assigned based on equipment classification; used for reporting and operational logic.</t>
  </si>
  <si>
    <t>Description of equipment type (e.g., box car, tank car).</t>
  </si>
  <si>
    <t>Ownership type of equipment (e.g., company-owned, leased).</t>
  </si>
  <si>
    <t>Derived from asset records; used for financial and operational reporting.</t>
  </si>
  <si>
    <t>AAR (Association of American Railroads) car kind code.</t>
  </si>
  <si>
    <t>Standardized code assigned to each car type; used for regulatory and operational purposes.</t>
  </si>
  <si>
    <t>AAR pool number for equipment.</t>
  </si>
  <si>
    <t>Identifies the equipment pool for asset sharing and management.</t>
  </si>
  <si>
    <t>115*</t>
  </si>
  <si>
    <t>Count of working Locomotives on Train</t>
  </si>
  <si>
    <t>Count of non-working locomotives on Train</t>
  </si>
  <si>
    <t>Unique identifier for each OD pairing instance of a train consist</t>
  </si>
  <si>
    <t>4994</t>
  </si>
  <si>
    <t>The predicted arrival time of the train at its destination based on current movement and schedule data.</t>
  </si>
  <si>
    <t>Logic TBC - typically derived from departure time and route duration.</t>
  </si>
  <si>
    <t>8700</t>
  </si>
  <si>
    <t>Numeric, precision up to 3 decimals, range &gt;= 0</t>
  </si>
  <si>
    <t>A code used by Norfolk Southern (NS) to classify train types for interoperability and reporting.</t>
  </si>
  <si>
    <t>Code 8 may represent a specific NS freight category.</t>
  </si>
  <si>
    <t>The series identifier of the train that preceded the current train in a sequence or operational chain.</t>
  </si>
  <si>
    <t>Series 100 may indicate the prior train in a recurring schedule.</t>
  </si>
  <si>
    <t>Symbol code of the train that operated before the current one, useful for tracking train lineage.</t>
  </si>
  <si>
    <t>Symbol 181 may have been used in the previous train run.</t>
  </si>
  <si>
    <t>Operational type of the train that preceded the current one, used for historical analysis.</t>
  </si>
  <si>
    <t>OP indicates the previous train was operational.</t>
  </si>
  <si>
    <t>A flag indicating whether the train qualifies as a 'key train' based on regulatory or operational standards.</t>
  </si>
  <si>
    <t>Y indicates the train meets key criteria; N indicates it does not.</t>
  </si>
  <si>
    <t>Count of Loaded and Empty cars on Train. Excludes locomotives</t>
  </si>
  <si>
    <t>21</t>
  </si>
  <si>
    <t>Count of loaded cars on Train</t>
  </si>
  <si>
    <t>Working Locomotive</t>
  </si>
  <si>
    <t>Average gross ton miles per day for a train, route, or network.</t>
  </si>
  <si>
    <t>Calculated by dividing total gross ton miles by the number of days in the reporting period.</t>
  </si>
  <si>
    <t>The average gross weight of trains operated per day, calculated by dividing the total gross tonnage of all trains by the number of trains run in a day. Used for network planning and performance analysis.</t>
  </si>
  <si>
    <t>The daily average train weight is calculated by summing the gross weights of all trains operated in a day and dividing by the number of trains. This helps monitor trends and optimize train loading.</t>
  </si>
  <si>
    <t> Daily Average Train Length (ex-local) is the Sum of Car Footage times Car Equipment Miles divided by Train Miles.</t>
  </si>
  <si>
    <t>Average train miles per day for a train, route, or network.</t>
  </si>
  <si>
    <t>Calculated by dividing total train miles by the number of days in the reporting period.</t>
  </si>
  <si>
    <t>Average total car miles per day for a train, route, or network.</t>
  </si>
  <si>
    <t>Calculated by dividing total car miles by the number of days in the reporting period.</t>
  </si>
  <si>
    <t>DRCTN_CD</t>
  </si>
  <si>
    <t>Direction code</t>
  </si>
  <si>
    <t>Direction code for train or equipment movement (e.g., N, S, E, W).</t>
  </si>
  <si>
    <t>Assigned based on movement direction; used for routing and reporting.</t>
  </si>
  <si>
    <t>Total number of units (locomotives or cars) in a train.</t>
  </si>
  <si>
    <t>Counted for each train consist; used for operational and reporting purposes.</t>
  </si>
  <si>
    <t>Number of live (powered) units in a train.</t>
  </si>
  <si>
    <t>Number of non-live (unpowered) units in a train.</t>
  </si>
  <si>
    <t>Calculated as UNIT_TOTAL minus UNIT_LIVE.</t>
  </si>
  <si>
    <t>Total cars</t>
  </si>
  <si>
    <t>Total number of cars in a train consist.</t>
  </si>
  <si>
    <t>Loaded cars</t>
  </si>
  <si>
    <t>Number of loaded cars in a train consist.</t>
  </si>
  <si>
    <t>60</t>
  </si>
  <si>
    <t>Number of empty cars in a train consist.</t>
  </si>
  <si>
    <t>40</t>
  </si>
  <si>
    <t>Travel direction code for train or equipment movement.</t>
  </si>
  <si>
    <t>String (max length 50)</t>
  </si>
  <si>
    <t>Required, must match naming convention (e.g., 181-01)</t>
  </si>
  <si>
    <t>Format: YYYY-MM-DD HH:MM:SS, required</t>
  </si>
  <si>
    <t>Numeric, &gt;=0, required</t>
  </si>
  <si>
    <t>Customer ID for the care-of party in a shipment.</t>
  </si>
  <si>
    <t>Assigned from waybill or shipment data; used for customer service and tracking.</t>
  </si>
  <si>
    <t>String (max length 100)</t>
  </si>
  <si>
    <t>Optional, free text</t>
  </si>
  <si>
    <t>Name of the rail line at the station where the train segment started.</t>
  </si>
  <si>
    <t>The departure rail line is determined based on the station’s rail line attribute, used for routing and operational reporting.</t>
  </si>
  <si>
    <t>Required, free text</t>
  </si>
  <si>
    <t>Name of the rail line at the station where the train segment ended.</t>
  </si>
  <si>
    <t>The arrival rail line is determined based on the station’s rail line attribute, used for routing and operational reporting.</t>
  </si>
  <si>
    <t>Name of the subdivision at the station where the train segment started.</t>
  </si>
  <si>
    <t>The departure subdivision is determined from the FSAC or station mapping, used for geographic and operational analysis.</t>
  </si>
  <si>
    <t>Name of the subdivision at the station where the train segment ended.</t>
  </si>
  <si>
    <t>The arrival subdivision is determined from the FSAC or station mapping, used for geographic and operational analysis.</t>
  </si>
  <si>
    <t>Name of the district at the station where the train segment started.</t>
  </si>
  <si>
    <t>The departure district is determined from the FSAC or station mapping, used for higher-level geographic reporting.</t>
  </si>
  <si>
    <t>Name of the district at the station where the train segment ended.</t>
  </si>
  <si>
    <t>The arrival district is determined from the FSAC or station mapping, used for higher-level geographic reporting.</t>
  </si>
  <si>
    <t>Name of the division at the station where the train segment started.</t>
  </si>
  <si>
    <t>The departure division is determined from the FSAC or station mapping, used for organizational and operational reporting.</t>
  </si>
  <si>
    <t>Name of the division at the station where the train segment ended.</t>
  </si>
  <si>
    <t>The arrival division is determined from the FSAC or station mapping, used for organizational and operational reporting.</t>
  </si>
  <si>
    <t>Name of the zone at the station where the train segment started.</t>
  </si>
  <si>
    <t>The departure zone is determined from the FSAC or station mapping, used for regional analysis and reporting.</t>
  </si>
  <si>
    <t>Name of the zone at the station where the train segment ended.</t>
  </si>
  <si>
    <t>The arrival zone is determined from the FSAC or station mapping, used for regional analysis and reporting.</t>
  </si>
  <si>
    <t>Name of the region at the station where the train segment started.</t>
  </si>
  <si>
    <t>The departure region is determined from the FSAC or station mapping, used for broad geographic reporting and analysis.</t>
  </si>
  <si>
    <t>Name of the region at the station where the train segment ended.</t>
  </si>
  <si>
    <t>The arrival region is determined from the FSAC or station mapping, used for broad geographic reporting and analysis.</t>
  </si>
  <si>
    <t>Name of the state or province at the station where the train segment started.</t>
  </si>
  <si>
    <t>The departure state/province is determined from the FSAC or station mapping, used for regional and regulatory reporting.</t>
  </si>
  <si>
    <t>Required, must be valid state/province</t>
  </si>
  <si>
    <t>Name of the state or province at the station where the train segment ended.</t>
  </si>
  <si>
    <t>The arrival state/province is determined from the FSAC or station mapping, used for regional and regulatory reporting.</t>
  </si>
  <si>
    <t>Name of the country at the station where the train segment started.</t>
  </si>
  <si>
    <t>The departure country is determined from the FSAC or station mapping, used for international reporting and compliance.</t>
  </si>
  <si>
    <t>Required, must be valid country</t>
  </si>
  <si>
    <t>Name of the country at the station where the train segment ended.</t>
  </si>
  <si>
    <t>The arrival country is determined from the FSAC or station mapping, used for international reporting and compliance.</t>
  </si>
  <si>
    <t>Name of the system such as Sentinnel,  at the station where the train segment started.</t>
  </si>
  <si>
    <t>Name of the system such as Sentinnel,  at the station where the train segment ended.</t>
  </si>
  <si>
    <t>Reigsered_IND</t>
  </si>
  <si>
    <t>Indicator if the locomotive is the lead unit in the consist (Y/N).</t>
  </si>
  <si>
    <t>LEAD_LCMTV_IND 'Y' for lead, 'N' for trailing.</t>
  </si>
  <si>
    <t>Allowed values: Y, N</t>
  </si>
  <si>
    <t>Locomotive consist status code within a train</t>
  </si>
  <si>
    <t>Status of a locomotive within a train consist (e.g., DEAD, PUSHER, SLAVE).</t>
  </si>
  <si>
    <t>LCMTV_CNST_STATUS_CD 'DEAD' for non-operating, 'PUSHER' for helper.</t>
  </si>
  <si>
    <t>Unique identifier for the event when a railcar is picked up and added to a train at a station.</t>
  </si>
  <si>
    <t>"Lift" is the operation of picking up and adding railcars to a train at a station.</t>
  </si>
  <si>
    <t>When a train stops, scheduled cars are picked up and added to the consist; event is recorded.</t>
  </si>
  <si>
    <t>Unique identifier for the event when a railcar is set out (dropped) from a train at a station.</t>
  </si>
  <si>
    <t>"Set" is the operation of dropping railcars from a train at a station.</t>
  </si>
  <si>
    <t>When a train stops, scheduled cars are set out and removed from the consist; event is recorded.</t>
  </si>
  <si>
    <t>Timestamp for when the lift event occurred.</t>
  </si>
  <si>
    <t>"Lift" event time is when the car was added to the train.</t>
  </si>
  <si>
    <t>The time the car was physically added to the train at the station.</t>
  </si>
  <si>
    <t>Timestamp for when the set event occurred.</t>
  </si>
  <si>
    <t>"Set" event time is when the car was dropped from the train.</t>
  </si>
  <si>
    <t>The time the car was physically removed from the train at the station.</t>
  </si>
  <si>
    <t>SCAC code of the carrier performing the lift.</t>
  </si>
  <si>
    <t>SCAC code for the railroad adding the car.</t>
  </si>
  <si>
    <t>Identifies which railroad picked up the car.</t>
  </si>
  <si>
    <t>SCAC code of the carrier performing the set.</t>
  </si>
  <si>
    <t>SCAC code for the railroad dropping the car.</t>
  </si>
  <si>
    <t>Identifies which railroad set out the car.</t>
  </si>
  <si>
    <t>FSAC code of the station where the lift occurred.</t>
  </si>
  <si>
    <t>FSAC code for the lift location.</t>
  </si>
  <si>
    <t>Identifies the station where the car was added.</t>
  </si>
  <si>
    <t>Must be valid 5-digit FSAC code</t>
  </si>
  <si>
    <t>FSAC code of the station where the set occurred.</t>
  </si>
  <si>
    <t>FSAC code for the set location.</t>
  </si>
  <si>
    <t>Identifies the station where the car was dropped.</t>
  </si>
  <si>
    <t>Transition version number for the lift event.</t>
  </si>
  <si>
    <t>Versioning for the lift event.</t>
  </si>
  <si>
    <t>Used for tracking changes or updates to the lift event.</t>
  </si>
  <si>
    <t>Transition version number for the set event.</t>
  </si>
  <si>
    <t>Versioning for the set event.</t>
  </si>
  <si>
    <t>Used for tracking changes or updates to the set event.</t>
  </si>
  <si>
    <t>Reporting time zone code for the lift event.</t>
  </si>
  <si>
    <t>Time zone code for the lift event.</t>
  </si>
  <si>
    <t>Indicates the time zone in which the lift event was recorded.</t>
  </si>
  <si>
    <t>Reporting time zone year number for the lift event.</t>
  </si>
  <si>
    <t>Year number for the lift event's time zone.</t>
  </si>
  <si>
    <t>Used for time-based reporting and auditing of lift events.</t>
  </si>
  <si>
    <t>Run number for a train or movement.</t>
  </si>
  <si>
    <t>Assigned by the system or dispatcher; used for tracking and reporting.</t>
  </si>
  <si>
    <t>Train consist summary ID as unique identier for sequence of equipment in a train</t>
  </si>
  <si>
    <t>Unique identifier for each instance of a train consist summary. Used to track the planned or actual makeup of a train.</t>
  </si>
  <si>
    <t>TRAIN_CNST_SMRY_ID 12345 identifies the consist for Train 180-01 on August 1, 2025.</t>
  </si>
  <si>
    <t>version number of train consist summary ID</t>
  </si>
  <si>
    <t>Sequential version number for a train consist summary, incremented with each change to the consist.</t>
  </si>
  <si>
    <t>Version 1: initial plan; Version 2: after cars are added or removed.</t>
  </si>
  <si>
    <t>Assignment number for reference equipment.</t>
  </si>
  <si>
    <t>Assigned by the system; used for tracking equipment allocations.</t>
  </si>
  <si>
    <t>Reference equipment database connection or identifier.</t>
  </si>
  <si>
    <t>Used for linking equipment records across systems.</t>
  </si>
  <si>
    <t>Shipment number for a movement or waybill.</t>
  </si>
  <si>
    <t>Assigned by the system; used for tracking and reporting.</t>
  </si>
  <si>
    <t>Shipment database connection or identifier.</t>
  </si>
  <si>
    <t>Used for linking shipment records across systems.</t>
  </si>
  <si>
    <t>Interchange movement authority code.</t>
  </si>
  <si>
    <t>Assigned for regulatory or operational authority during interchange events.</t>
  </si>
  <si>
    <t>Consist Change Reporting Time Zone code</t>
  </si>
  <si>
    <t>Time Zone code of where the CNST_CHNG_EVENT_TMS was applied</t>
  </si>
  <si>
    <t>ET - Eastern Time, CT - Central Time, ST - Saskatchewan Time, MT - Mountain Time, PT - Pacific Time</t>
  </si>
  <si>
    <t>Consist Change Reporting Time Zone Year number</t>
  </si>
  <si>
    <t>Year of where the CNST_CHNG_EVENT_TMS was applied</t>
  </si>
  <si>
    <t>CNST_CHNG_EVENT_TMS converted to Year. 2025, 2024 etc.</t>
  </si>
  <si>
    <t>Waybill timestamp</t>
  </si>
  <si>
    <t>Date/Time when a movement waybill is created</t>
  </si>
  <si>
    <t>Customer provide Railroad with a Bill of Lading that is then converted into a Revenue waybill to asses charges</t>
  </si>
  <si>
    <t>Consist change event timestamp</t>
  </si>
  <si>
    <t>Date/Time when a change has been made to a consist</t>
  </si>
  <si>
    <t>New train consist created or update to the cars on the train consist</t>
  </si>
  <si>
    <t>Reporting time zone code for the set event.</t>
  </si>
  <si>
    <t>Time zone code for the set event.</t>
  </si>
  <si>
    <t>Indicates the time zone in which the set event was recorded.</t>
  </si>
  <si>
    <t>Reporting time zone year number for the set event.</t>
  </si>
  <si>
    <t>Year number for the set event's time zone.</t>
  </si>
  <si>
    <t>Used for time-based reporting and auditing of set events.</t>
  </si>
  <si>
    <t>Code indicating the grade or severity of a bad order (defective) car.</t>
  </si>
  <si>
    <t>Assigned during inspection or repair; used for maintenance and safety reporting.</t>
  </si>
  <si>
    <t>Code indicating the reason for a bad order (defective) car.</t>
  </si>
  <si>
    <t>Locomotive mechenical status code for a train</t>
  </si>
  <si>
    <t>Mechanical operating status of a locomotive (e.g., DEAD, OKAY, ISOLATED).</t>
  </si>
  <si>
    <t>LCMTV_MCHNCL_STATUS_CD 'OKAY' for operating, 'DEAD' for non-operating.</t>
  </si>
  <si>
    <t>Bearing type code for equipment.</t>
  </si>
  <si>
    <t>Indicates the type of bearing used; used for maintenance and safety purposes.</t>
  </si>
  <si>
    <t>OCS (Operating Control System) update code.</t>
  </si>
  <si>
    <t>Indicates the type or status of an update in the OCS; used for operational tracking.</t>
  </si>
  <si>
    <t>Country where the last event or report for equipment or shipment occurred.</t>
  </si>
  <si>
    <t>Derived from event or location data; used for compliance and reporting.</t>
  </si>
  <si>
    <t>Must be valid country</t>
  </si>
  <si>
    <t>event_id</t>
  </si>
  <si>
    <t>event</t>
  </si>
  <si>
    <t>event_timestamp_utc</t>
  </si>
  <si>
    <t>train_plan_leg_id</t>
  </si>
  <si>
    <t>source_system</t>
  </si>
  <si>
    <t>direction</t>
  </si>
  <si>
    <t>train_name</t>
  </si>
  <si>
    <t>fsac</t>
  </si>
  <si>
    <t>latitude</t>
  </si>
  <si>
    <t>longitude</t>
  </si>
  <si>
    <t>mile_km_number</t>
  </si>
  <si>
    <t>subdivision_name</t>
  </si>
  <si>
    <t>station_name</t>
  </si>
  <si>
    <t>scac</t>
  </si>
  <si>
    <t>division</t>
  </si>
  <si>
    <t>region</t>
  </si>
  <si>
    <t>district</t>
  </si>
  <si>
    <t>state_province</t>
  </si>
  <si>
    <t>country</t>
  </si>
  <si>
    <t>subdivision_id</t>
  </si>
  <si>
    <t>record_update_timestamp_utc</t>
  </si>
  <si>
    <t>updated_from_loco_id</t>
  </si>
  <si>
    <t>lead_locomotive</t>
  </si>
  <si>
    <t>geog</t>
  </si>
  <si>
    <t>events.train_mvmnt_event</t>
  </si>
  <si>
    <t>Arrival</t>
  </si>
  <si>
    <t>SENTINEL</t>
  </si>
  <si>
    <t>W</t>
  </si>
  <si>
    <t>113-11</t>
  </si>
  <si>
    <t>CARBERRY</t>
  </si>
  <si>
    <t>MARQUETTE</t>
  </si>
  <si>
    <t>CANADA CENTRAL</t>
  </si>
  <si>
    <t>WEST</t>
  </si>
  <si>
    <t>WINNIPEG</t>
  </si>
  <si>
    <t>MB</t>
  </si>
  <si>
    <t>CA</t>
  </si>
  <si>
    <t>CP8785</t>
  </si>
  <si>
    <t>0101000020E6100000614F3BFC356B58C0B554DE8E70064940</t>
  </si>
  <si>
    <t>730-003</t>
  </si>
  <si>
    <t>RIVER</t>
  </si>
  <si>
    <t>RIVER JCT WEST</t>
  </si>
  <si>
    <t>US EAST</t>
  </si>
  <si>
    <t>EAST</t>
  </si>
  <si>
    <t>WISCONSIN</t>
  </si>
  <si>
    <t>MN</t>
  </si>
  <si>
    <t>CP9732</t>
  </si>
  <si>
    <t>0101000020E6100000F9BD4D7FF6D556C09D0E643DB5F24540</t>
  </si>
  <si>
    <t>Departure</t>
  </si>
  <si>
    <t>0101000020E610000071C971A7746C58C0FB96395D16074940</t>
  </si>
  <si>
    <t>DONE HOWER</t>
  </si>
  <si>
    <t>0101000020E6100000AB5B3D27BDD756C00820B58993F74540</t>
  </si>
  <si>
    <t>149-12</t>
  </si>
  <si>
    <t>WEYBURN</t>
  </si>
  <si>
    <t>YELLOW GRASS</t>
  </si>
  <si>
    <t>PRAIRIE SOUTH</t>
  </si>
  <si>
    <t>SASKATCHEWAN SOUTH</t>
  </si>
  <si>
    <t>SK</t>
  </si>
  <si>
    <t>KCSM4724</t>
  </si>
  <si>
    <t>0101000020E610000055185B08720A5AC0CF8250DEC7E74840</t>
  </si>
  <si>
    <t>HOMER</t>
  </si>
  <si>
    <t>0101000020E61000004704E3E0D2E356C0A54929E8F6024640</t>
  </si>
  <si>
    <t>0101000020E61000000A698D41270A5AC09D6340F67AE74840</t>
  </si>
  <si>
    <t>391-838</t>
  </si>
  <si>
    <t>HEBBRONVILLE</t>
  </si>
  <si>
    <t>SOUTH WEST</t>
  </si>
  <si>
    <t>MEXICO</t>
  </si>
  <si>
    <t>TX</t>
  </si>
  <si>
    <t>CP8822</t>
  </si>
  <si>
    <t>0101000020E6100000F35487DC0CA958C0AE0D15E3FC4D3B40</t>
  </si>
  <si>
    <t>118-10</t>
  </si>
  <si>
    <t>HERON BAY</t>
  </si>
  <si>
    <t>COLDWELL</t>
  </si>
  <si>
    <t>THUNDER BAY</t>
  </si>
  <si>
    <t>ON</t>
  </si>
  <si>
    <t>CP8830</t>
  </si>
  <si>
    <t>0101000020E6100000D717096D39A355C06939D0436D614840</t>
  </si>
  <si>
    <t>581-012</t>
  </si>
  <si>
    <t>ROSENBERG</t>
  </si>
  <si>
    <t>EDNA</t>
  </si>
  <si>
    <t>CP8786</t>
  </si>
  <si>
    <t>0101000020E61000002ECA6C90492A58C0B77C24253DF83C40</t>
  </si>
  <si>
    <t>113-12</t>
  </si>
  <si>
    <t>TERRACE BAY</t>
  </si>
  <si>
    <t>CP8709</t>
  </si>
  <si>
    <t>0101000020E610000001A4367172C755C05F97E13FDD644840</t>
  </si>
  <si>
    <t>0101000020E6100000C616821C942858C054FD4AE7C3FB3C40</t>
  </si>
  <si>
    <t>645-669</t>
  </si>
  <si>
    <t>CARRINGTON</t>
  </si>
  <si>
    <t>CUBA</t>
  </si>
  <si>
    <t>US WEST</t>
  </si>
  <si>
    <t>NORTH DAKOTA</t>
  </si>
  <si>
    <t>ND</t>
  </si>
  <si>
    <t>CP8756</t>
  </si>
  <si>
    <t>0101000020E6100000390B7BDAE17758C07506465ED66A4740</t>
  </si>
  <si>
    <t>WITRONIX</t>
  </si>
  <si>
    <t>293-13</t>
  </si>
  <si>
    <t>VANEGAS</t>
  </si>
  <si>
    <t>SAN SALVADOR</t>
  </si>
  <si>
    <t>MEXICO SOUTH</t>
  </si>
  <si>
    <t>ZA</t>
  </si>
  <si>
    <t>MX</t>
  </si>
  <si>
    <t>KCS4696</t>
  </si>
  <si>
    <t>0101000020E61000007214C550B33759C0DCAEE13323843840</t>
  </si>
  <si>
    <t>S</t>
  </si>
  <si>
    <t>LEN-139</t>
  </si>
  <si>
    <t>TAMASOPO</t>
  </si>
  <si>
    <t>LA CINTA</t>
  </si>
  <si>
    <t>SL</t>
  </si>
  <si>
    <t>KCSM4896</t>
  </si>
  <si>
    <t>KCSM4897</t>
  </si>
  <si>
    <t>0101000020E6100000521F504FC2EB58C0DB7092C5810C3640</t>
  </si>
  <si>
    <t>0101000020E6100000E8297AF9C0ED58C0A3F0B0BB061B3640</t>
  </si>
  <si>
    <t>LAS TABLAS</t>
  </si>
  <si>
    <t>0101000020E6100000A1DA01535DEF58C03A792EDF3C263640</t>
  </si>
  <si>
    <t>0101000020E61000003C1AC1A527F758C08641361CD8413640</t>
  </si>
  <si>
    <t>EL SALADO</t>
  </si>
  <si>
    <t>0101000020E61000000BD24A29013759C0AACB1064904D3840</t>
  </si>
  <si>
    <t>VIEJO</t>
  </si>
  <si>
    <t>0101000020E61000000B13FC2598F958C0B502E02BFC463640</t>
  </si>
  <si>
    <t>3410-13</t>
  </si>
  <si>
    <t>BROADVIEW</t>
  </si>
  <si>
    <t>BROADVIEW EAST</t>
  </si>
  <si>
    <t>BRANDON/MINNEDOSA</t>
  </si>
  <si>
    <t>KCS4590</t>
  </si>
  <si>
    <t>KCSM4881</t>
  </si>
  <si>
    <t>0101000020E6100000AAD08248ADA059C08CB2A7B2E22F4940</t>
  </si>
  <si>
    <t>318-533</t>
  </si>
  <si>
    <t>CRANBROOK</t>
  </si>
  <si>
    <t>MORRISSEY</t>
  </si>
  <si>
    <t>PACIFIC</t>
  </si>
  <si>
    <t>KOOTENAY</t>
  </si>
  <si>
    <t>BC</t>
  </si>
  <si>
    <t>KCS4849</t>
  </si>
  <si>
    <t>0101000020E61000009FB468E8FCC05CC055A09ABB2BB24840</t>
  </si>
  <si>
    <t>421-13</t>
  </si>
  <si>
    <t>NEMEGOS</t>
  </si>
  <si>
    <t>STRALAK</t>
  </si>
  <si>
    <t>KCSM4665</t>
  </si>
  <si>
    <t>CP7012</t>
  </si>
  <si>
    <t>0101000020E61000000B838D46196C54C0909955E938674740</t>
  </si>
  <si>
    <t>events.locomotive_mvmnt_event</t>
  </si>
  <si>
    <t>401-13</t>
  </si>
  <si>
    <t>MOUNTAIN</t>
  </si>
  <si>
    <t>STONEY CREEK</t>
  </si>
  <si>
    <t>KCS5022</t>
  </si>
  <si>
    <t>CP8904</t>
  </si>
  <si>
    <t>0101000020E6100000BEF05203705C5DC05B9D3977FDAC4940</t>
  </si>
  <si>
    <t>0101000020E6100000E534975DA83659C008E774D513543840</t>
  </si>
  <si>
    <t>LA TRUEBA</t>
  </si>
  <si>
    <t>0101000020E6100000E846FD9A913A59C0485C7470B80A3840</t>
  </si>
  <si>
    <t>SAN VICENTE</t>
  </si>
  <si>
    <t>0101000020E61000008F9CD885173859C02F824A8546393840</t>
  </si>
  <si>
    <t>0101000020E6100000EAE1708BDE3859C0A6DF3265AF2A3840</t>
  </si>
  <si>
    <t>mark_cd</t>
  </si>
  <si>
    <t>CP</t>
  </si>
  <si>
    <t>0101000020E61000004CB1DD1CF23A59C0D0C7C6CDBA033840</t>
  </si>
  <si>
    <t>eqpun_nbr</t>
  </si>
  <si>
    <t>0101000020E61000006E484849743C59C0A3895EE386E73740</t>
  </si>
  <si>
    <t>112-13</t>
  </si>
  <si>
    <t>GLACIER</t>
  </si>
  <si>
    <t>KCS5015</t>
  </si>
  <si>
    <t>CP8740</t>
  </si>
  <si>
    <t>0101000020E6100000BE3BE8C8805D5DC0423C966773A64940</t>
  </si>
  <si>
    <t>100-10</t>
  </si>
  <si>
    <t>NIPIGON</t>
  </si>
  <si>
    <t>GRAVEL</t>
  </si>
  <si>
    <t>KCS4686</t>
  </si>
  <si>
    <t>0101000020E6100000CBFDC4B726F055C0CF9C79626B744840</t>
  </si>
  <si>
    <t>865-903</t>
  </si>
  <si>
    <t>PITTSBURG</t>
  </si>
  <si>
    <t>AMSTERDAM</t>
  </si>
  <si>
    <t>MIDWEST</t>
  </si>
  <si>
    <t>SOUTH</t>
  </si>
  <si>
    <t>MO</t>
  </si>
  <si>
    <t>KCSM4738</t>
  </si>
  <si>
    <t>0101000020E6100000FF9C7A8B64A557C0196140E54E2F4340</t>
  </si>
  <si>
    <t>602-032</t>
  </si>
  <si>
    <t>THOMPSON</t>
  </si>
  <si>
    <t>LYTTON</t>
  </si>
  <si>
    <t>CP9805</t>
  </si>
  <si>
    <t>0101000020E6100000C79DD2C1FA645EC0BC404981051E4940</t>
  </si>
  <si>
    <t>HEAVENER</t>
  </si>
  <si>
    <t>804-512</t>
  </si>
  <si>
    <t>WALDO</t>
  </si>
  <si>
    <t>CP8803</t>
  </si>
  <si>
    <t>0101000020E61000000EDB166536CA5CC066A032FE7DA64840</t>
  </si>
  <si>
    <t>MARBLE CITY</t>
  </si>
  <si>
    <t>0101000020E6100000DDD26A48DCC95CC01CB7989F1BA64840</t>
  </si>
  <si>
    <t>802-101</t>
  </si>
  <si>
    <t>DRYNOCH</t>
  </si>
  <si>
    <t>CP9371</t>
  </si>
  <si>
    <t>0101000020E6100000734BAB2171595EC05053CBD6FA2A4940</t>
  </si>
  <si>
    <t>262-14</t>
  </si>
  <si>
    <t>118-09</t>
  </si>
  <si>
    <t>MACTIER</t>
  </si>
  <si>
    <t>BAXTER</t>
  </si>
  <si>
    <t>CANADA ONTARIO</t>
  </si>
  <si>
    <t>TORONTO/NORTH</t>
  </si>
  <si>
    <t>CP8865</t>
  </si>
  <si>
    <t>0101000020E610000086C954C1A8F553C0EAB12D03CE1C4640</t>
  </si>
  <si>
    <t>101-10</t>
  </si>
  <si>
    <t>LAGGAN</t>
  </si>
  <si>
    <t>ELDON</t>
  </si>
  <si>
    <t>PRAIRIE NORTH</t>
  </si>
  <si>
    <t>CALGARY</t>
  </si>
  <si>
    <t>AB</t>
  </si>
  <si>
    <t>CP8704</t>
  </si>
  <si>
    <t>0101000020E61000009886E12362025DC076E09C11A5A94940</t>
  </si>
  <si>
    <t>YPRES</t>
  </si>
  <si>
    <t>0101000020E610000000E31934F4F553C0F0A2AF20CD224640</t>
  </si>
  <si>
    <t>3240-12</t>
  </si>
  <si>
    <t>DETROIT LAKES</t>
  </si>
  <si>
    <t>HENNING</t>
  </si>
  <si>
    <t>MINNESOTA</t>
  </si>
  <si>
    <t>CP8016</t>
  </si>
  <si>
    <t>0101000020E6100000637FD93D79DC57C04301DBC188294740</t>
  </si>
  <si>
    <t>OK</t>
  </si>
  <si>
    <t>134-13</t>
  </si>
  <si>
    <t>GALT</t>
  </si>
  <si>
    <t>HORNBY EAST</t>
  </si>
  <si>
    <t>CP9355</t>
  </si>
  <si>
    <t>0101000020E61000007B4963B48EF253C0255D33F966CB4540</t>
  </si>
  <si>
    <t>MEADOWVALE</t>
  </si>
  <si>
    <t>0101000020E6100000B8019F1F46F153C0A96BED7DAACC4540</t>
  </si>
  <si>
    <t>105-12</t>
  </si>
  <si>
    <t>KAMINISTIQUIA</t>
  </si>
  <si>
    <t>WESTFORT</t>
  </si>
  <si>
    <t>CP8705</t>
  </si>
  <si>
    <t>0101000020E61000007FFB3A70CE5256C0E65DF580792E4840</t>
  </si>
  <si>
    <t>0101000020E61000004CC3F01131B557C0A25D85949FC84140</t>
  </si>
  <si>
    <t>132-13</t>
  </si>
  <si>
    <t>HAMILTON</t>
  </si>
  <si>
    <t>CAMPBELLVILLE</t>
  </si>
  <si>
    <t>SOUTH ONTARIO</t>
  </si>
  <si>
    <t>CP8810</t>
  </si>
  <si>
    <t>0101000020E610000023111AC1C6FF53C06DFFCA4A93BA4540</t>
  </si>
  <si>
    <t>HORNBY</t>
  </si>
  <si>
    <t>0101000020E6100000C5387F130AF553C0419B1C3EE9C64540</t>
  </si>
  <si>
    <t>FLANDERS</t>
  </si>
  <si>
    <t>0101000020E61000006C5B94D920FF53C024B4E55C8ABD4540</t>
  </si>
  <si>
    <t>0101000020E6100000E1455F419A5256C08A592F86722E4840</t>
  </si>
  <si>
    <t>149-09</t>
  </si>
  <si>
    <t>BASQUE</t>
  </si>
  <si>
    <t>CP8892</t>
  </si>
  <si>
    <t>0101000020E61000002783A3E4D5535EC06EFAB31F294E4940</t>
  </si>
  <si>
    <t>866-050</t>
  </si>
  <si>
    <t>SHADY POINT</t>
  </si>
  <si>
    <t>CP8707</t>
  </si>
  <si>
    <t>0101000020E6100000BA4E232D95A957C0D044D8F0F48E4140</t>
  </si>
  <si>
    <t>418-13</t>
  </si>
  <si>
    <t>RED DEER</t>
  </si>
  <si>
    <t>PENHOLD</t>
  </si>
  <si>
    <t>ALBERTA NORTH</t>
  </si>
  <si>
    <t>CP8823</t>
  </si>
  <si>
    <t>0101000020E61000002AE3DF675C785CC0CF143AAFB10F4A40</t>
  </si>
  <si>
    <t>0101000020E6100000D52137C30D785CC0471CB28174114A40</t>
  </si>
  <si>
    <t>2413-13</t>
  </si>
  <si>
    <t>LEDUC</t>
  </si>
  <si>
    <t>MORNINGSIDE</t>
  </si>
  <si>
    <t>CP8847</t>
  </si>
  <si>
    <t>0101000020E610000082397AFCDE685CC018B49080D1494A40</t>
  </si>
  <si>
    <t>231-13</t>
  </si>
  <si>
    <t>LONDON QUEBEC ST</t>
  </si>
  <si>
    <t>CP8874</t>
  </si>
  <si>
    <t>0101000020E61000002E56D4601A4D54C01D5A643BDF7F4540</t>
  </si>
  <si>
    <t>112-08</t>
  </si>
  <si>
    <t>BELLEVILLE</t>
  </si>
  <si>
    <t>ELLIOTT</t>
  </si>
  <si>
    <t>CANADA QUEBEC</t>
  </si>
  <si>
    <t>QUEBEC</t>
  </si>
  <si>
    <t>CP8787</t>
  </si>
  <si>
    <t>0101000020E6100000D1798D5DA21A53C099F56228276A4640</t>
  </si>
  <si>
    <t>114-09</t>
  </si>
  <si>
    <t>MIDHURST</t>
  </si>
  <si>
    <t>CP8898</t>
  </si>
  <si>
    <t>0101000020E6100000C217265305F153C0CA880B40A3364640</t>
  </si>
  <si>
    <t>0101000020E61000002384471B47F053C0F60B76C3B6394640</t>
  </si>
  <si>
    <t>416-14</t>
  </si>
  <si>
    <t>CURZON</t>
  </si>
  <si>
    <t>CP8564</t>
  </si>
  <si>
    <t>0101000020E6100000587380608E095DC0626A4B1DE4894840</t>
  </si>
  <si>
    <t>807-705</t>
  </si>
  <si>
    <t>WINDERMERE</t>
  </si>
  <si>
    <t>GOLDEN YARD</t>
  </si>
  <si>
    <t>CP8748</t>
  </si>
  <si>
    <t>0101000020E6100000D4601A868F3E5DC0C49448A297A54940</t>
  </si>
  <si>
    <t>804-135</t>
  </si>
  <si>
    <t>FAIRMONT</t>
  </si>
  <si>
    <t>CP8000</t>
  </si>
  <si>
    <t>0101000020E6100000F67F0EF3E5F75CC0D52478431A294940</t>
  </si>
  <si>
    <t>113-08</t>
  </si>
  <si>
    <t>ILLECILLEWAET</t>
  </si>
  <si>
    <t>CP8161</t>
  </si>
  <si>
    <t>0101000020E6100000A301BC0512705DC0F511F8C3CF974940</t>
  </si>
  <si>
    <t>243-14</t>
  </si>
  <si>
    <t>WITHROW</t>
  </si>
  <si>
    <t>NEW BRIGHTON</t>
  </si>
  <si>
    <t>ST PAUL</t>
  </si>
  <si>
    <t>CP8006</t>
  </si>
  <si>
    <t>0101000020E61000008599B67F654D57C0CFA0A17F82854640</t>
  </si>
  <si>
    <t>2148-12</t>
  </si>
  <si>
    <t>BROOKS</t>
  </si>
  <si>
    <t>KININVIE</t>
  </si>
  <si>
    <t>ALBERTA SOUTH</t>
  </si>
  <si>
    <t>CP7048</t>
  </si>
  <si>
    <t>0101000020E61000005EF415A419DF5BC0B54FC76306304940</t>
  </si>
  <si>
    <t>113-10</t>
  </si>
  <si>
    <t>MAPLE CREEK</t>
  </si>
  <si>
    <t>GULL LAKE</t>
  </si>
  <si>
    <t>CP8004</t>
  </si>
  <si>
    <t>0101000020E610000010AFEB17EC1E5BC002F1BA7EC10C4940</t>
  </si>
  <si>
    <t>L27-14</t>
  </si>
  <si>
    <t>SHREVEPORT TERMINAL 1</t>
  </si>
  <si>
    <t>CEDAR GROVE</t>
  </si>
  <si>
    <t>SHREVEPORT</t>
  </si>
  <si>
    <t>LA</t>
  </si>
  <si>
    <t>KCS2853</t>
  </si>
  <si>
    <t>NaN</t>
  </si>
  <si>
    <t>0101000020E6100000B8EF490E357057C0AC6F607223374040</t>
  </si>
  <si>
    <t>282-12</t>
  </si>
  <si>
    <t>CALTZONTZIN SOUTH</t>
  </si>
  <si>
    <t>INFIERNILLO</t>
  </si>
  <si>
    <t>LAZARO CARDENAS</t>
  </si>
  <si>
    <t>MI</t>
  </si>
  <si>
    <t>KCSM4536</t>
  </si>
  <si>
    <t>KCS4689</t>
  </si>
  <si>
    <t>0101000020E6100000A63D4E66F67959C01FBF33B12B483240</t>
  </si>
  <si>
    <t>262-13</t>
  </si>
  <si>
    <t>SPIRO</t>
  </si>
  <si>
    <t>KCS3940</t>
  </si>
  <si>
    <t>0101000020E6100000ACEE895CCDA857C06BF16B1C989C4140</t>
  </si>
  <si>
    <t>BONANZA</t>
  </si>
  <si>
    <t>0101000020E6100000EBA05C64CCA957C0BAF130E52A9A4140</t>
  </si>
  <si>
    <t>K05-14</t>
  </si>
  <si>
    <t>SAGINAW</t>
  </si>
  <si>
    <t>KCS2838</t>
  </si>
  <si>
    <t>KCS2968</t>
  </si>
  <si>
    <t>0101000020E61000006605D039099D57C078C8DE9CDB7F4240</t>
  </si>
  <si>
    <t>L07-14</t>
  </si>
  <si>
    <t>BEAUMONT</t>
  </si>
  <si>
    <t>PORT NECHES</t>
  </si>
  <si>
    <t>KCS2852</t>
  </si>
  <si>
    <t>0101000020E6100000E48F9A5DD47C57C006C5A8CE17F23D40</t>
  </si>
  <si>
    <t>FORBING</t>
  </si>
  <si>
    <t>0101000020E6100000E947A21B0A6F57C097D8E7F71E334040</t>
  </si>
  <si>
    <t>KCS4199</t>
  </si>
  <si>
    <t>0101000020E61000007F9721A752AA58C0B2CE0030014E3B40</t>
  </si>
  <si>
    <t>PTC</t>
  </si>
  <si>
    <t>640-670</t>
  </si>
  <si>
    <t>WATERTOWN</t>
  </si>
  <si>
    <t>OCONOMOWOC</t>
  </si>
  <si>
    <t>WI</t>
  </si>
  <si>
    <t>NS8087</t>
  </si>
  <si>
    <t>0101000020E61000005634CE8D462056C0F4725445238E4540</t>
  </si>
  <si>
    <t>853-035</t>
  </si>
  <si>
    <t>EDMORE</t>
  </si>
  <si>
    <t>QUAD CITIES</t>
  </si>
  <si>
    <t>IA</t>
  </si>
  <si>
    <t>UP7106</t>
  </si>
  <si>
    <t>0101000020E6100000D5C0A09670AC56C0CBD53494FF4B4540</t>
  </si>
  <si>
    <t>K54-13</t>
  </si>
  <si>
    <t>ECKARDS</t>
  </si>
  <si>
    <t>NS9803</t>
  </si>
  <si>
    <t>0101000020E6100000E74AEB0CDFC656C0830672BBDD6B4540</t>
  </si>
  <si>
    <t>2261-14</t>
  </si>
  <si>
    <t>BELLEVUE</t>
  </si>
  <si>
    <t>UP5948</t>
  </si>
  <si>
    <t>0101000020E6100000DC197D37A39B56C086F425651C234540</t>
  </si>
  <si>
    <t>541-785</t>
  </si>
  <si>
    <t>TOMAH</t>
  </si>
  <si>
    <t>BANGOR</t>
  </si>
  <si>
    <t>NS4230</t>
  </si>
  <si>
    <t>0101000020E6100000D6B7404046C256C0A489DAAA62F24540</t>
  </si>
  <si>
    <t>J98-13</t>
  </si>
  <si>
    <t>PARKERS PRAIRIE</t>
  </si>
  <si>
    <t>BNSF6270</t>
  </si>
  <si>
    <t>0101000020E6100000BFD7CEFF04D557C080C2F24A86144740</t>
  </si>
  <si>
    <t>J54-12</t>
  </si>
  <si>
    <t>PAYNESVILLE</t>
  </si>
  <si>
    <t>MURRAY</t>
  </si>
  <si>
    <t>CP5032</t>
  </si>
  <si>
    <t>0101000020E6100000F4531C075EBE57C02A37B4752EB94640</t>
  </si>
  <si>
    <t>246-13</t>
  </si>
  <si>
    <t>C&amp;M</t>
  </si>
  <si>
    <t>DEERFIELD</t>
  </si>
  <si>
    <t>IL</t>
  </si>
  <si>
    <t>KCS4172</t>
  </si>
  <si>
    <t>0101000020E61000009B47D5E1AEF555C0705502F7F6124540</t>
  </si>
  <si>
    <t>NORTHBROOK</t>
  </si>
  <si>
    <t>0101000020E610000013C1515555F555C02DC964E5D5114540</t>
  </si>
  <si>
    <t>TOWER A20</t>
  </si>
  <si>
    <t>0101000020E61000003B8EBCFF11F555C048FCCC51AE104540</t>
  </si>
  <si>
    <t>411-13</t>
  </si>
  <si>
    <t>INDIAN HEAD</t>
  </si>
  <si>
    <t>BELLE PLAINE</t>
  </si>
  <si>
    <t>CP8797</t>
  </si>
  <si>
    <t>CP8758</t>
  </si>
  <si>
    <t>0101000020E61000007285DAE3834B5AC0C23F7CCB62324940</t>
  </si>
  <si>
    <t>540-703</t>
  </si>
  <si>
    <t>TOWER B173</t>
  </si>
  <si>
    <t>NS4670</t>
  </si>
  <si>
    <t>0101000020E61000000CA7B33017FC55C044820C9111FB4440</t>
  </si>
  <si>
    <t>ELGIN</t>
  </si>
  <si>
    <t>BENSENVILLE</t>
  </si>
  <si>
    <t>CHICAGO</t>
  </si>
  <si>
    <t>0101000020E6100000B5848441FCFA55C05D0A38190FFA4440</t>
  </si>
  <si>
    <t>168-14</t>
  </si>
  <si>
    <t>VICKSBURG</t>
  </si>
  <si>
    <t>HAUGHTON</t>
  </si>
  <si>
    <t>SOUTH EAST</t>
  </si>
  <si>
    <t>SPEEDWAY</t>
  </si>
  <si>
    <t>CP8625</t>
  </si>
  <si>
    <t>0101000020E61000004F22E3CD316057C05B47D1DA1F444040</t>
  </si>
  <si>
    <t>COONEY</t>
  </si>
  <si>
    <t>0101000020E6100000DA390F1FFF2156C095E99FF9FF8E4540</t>
  </si>
  <si>
    <t>112-09</t>
  </si>
  <si>
    <t>BREMNER</t>
  </si>
  <si>
    <t>CP8896</t>
  </si>
  <si>
    <t>0101000020E61000004C8E3BA5835555C047BE7DE30C4E4840</t>
  </si>
  <si>
    <t>0101000020E6100000DAACFA5C6D6F5DC0BEA4315A47994940</t>
  </si>
  <si>
    <t>106-13</t>
  </si>
  <si>
    <t>BANFF</t>
  </si>
  <si>
    <t>KCSM4755</t>
  </si>
  <si>
    <t>KCS4841</t>
  </si>
  <si>
    <t>0101000020E6100000B09C318AEDE45CC06E0AB7BE40974940</t>
  </si>
  <si>
    <t>3280-13</t>
  </si>
  <si>
    <t>UP6727</t>
  </si>
  <si>
    <t>BNSF6156</t>
  </si>
  <si>
    <t>0101000020E610000012CA909D56DE58C08E537C95DF803B40</t>
  </si>
  <si>
    <t>867-050</t>
  </si>
  <si>
    <t>DALBY</t>
  </si>
  <si>
    <t>KCSM4731</t>
  </si>
  <si>
    <t>0101000020E6100000CBAC101C789857C02857C22426754240</t>
  </si>
  <si>
    <t>2274-14</t>
  </si>
  <si>
    <t>TALLA BENA</t>
  </si>
  <si>
    <t>KCS5013</t>
  </si>
  <si>
    <t>0101000020E6100000630E1F645BD256C09F04B2AE3C364040</t>
  </si>
  <si>
    <t>0101000020E61000002908BBB463D056C0BA927063AB354040</t>
  </si>
  <si>
    <t>0101000020E61000005019FF3EE33759C0373465A71F883840</t>
  </si>
  <si>
    <t>0101000020E610000090A0F831E63659C0738577B9884F3840</t>
  </si>
  <si>
    <t>0101000020E6100000AF08FEB7923759C0EF1B5F7B66813840</t>
  </si>
  <si>
    <t>0101000020E610000062F8889812F553C0AD68739CDBC64540</t>
  </si>
  <si>
    <t>0101000020E61000007B4963B48EF253C01D38674469CB4540</t>
  </si>
  <si>
    <t>0101000020E6100000D600A5A146F153C0E469F981ABCC4540</t>
  </si>
  <si>
    <t>FORDING RIVER</t>
  </si>
  <si>
    <t>GREENHILLS</t>
  </si>
  <si>
    <t>0101000020E61000008FA50F5D50B55CC0EA78CC4065024940</t>
  </si>
  <si>
    <t>0101000020E6100000A4AA09A2EEAA58C0359886E1234E3B40</t>
  </si>
  <si>
    <t>0101000020E6100000DCD78173462A58C0A20DC00644F83C40</t>
  </si>
  <si>
    <t>0101000020E6100000FCE3BD6A65025DC0A3C85A43A9A94940</t>
  </si>
  <si>
    <t>0101000020E61000000B630B410EA958C06D1E87C1FC4D3B40</t>
  </si>
  <si>
    <t>0101000020E6100000336E6AA0F9AA58C03B55BE67244E3B40</t>
  </si>
  <si>
    <t>STRANGMUIR</t>
  </si>
  <si>
    <t>104-13</t>
  </si>
  <si>
    <t>0101000020E610000031D3F6AFAC565CC096E7C1DD59714940</t>
  </si>
  <si>
    <t>SALINAS</t>
  </si>
  <si>
    <t>LORETO</t>
  </si>
  <si>
    <t>386-471</t>
  </si>
  <si>
    <t>SAN LUIS POTOSI</t>
  </si>
  <si>
    <t>0101000020E61000005F46B1DCD27E59C0B5A338471D493640</t>
  </si>
  <si>
    <t>801-119</t>
  </si>
  <si>
    <t>0101000020E6100000931D1B8178F85CC0E6797077D62A4940</t>
  </si>
  <si>
    <t>0101000020E6100000B6DAC35E280A5AC0E40F069E7BE74840</t>
  </si>
  <si>
    <t>0101000020E61000008A592F86720A5AC0CF8250DEC7E74840</t>
  </si>
  <si>
    <t>0101000020E6100000B0FECF61BE575CC021B1DD3D40714940</t>
  </si>
  <si>
    <t>DE QUEEN</t>
  </si>
  <si>
    <t>262-12</t>
  </si>
  <si>
    <t>AR</t>
  </si>
  <si>
    <t>0101000020E6100000598638D6C59557C0EC51B81E85034140</t>
  </si>
  <si>
    <t>MERRIAM PARK</t>
  </si>
  <si>
    <t>HOFFMAN ST PAUL</t>
  </si>
  <si>
    <t>0101000020E61000006FD8B628B34357C0E9D495CFF2784640</t>
  </si>
  <si>
    <t>STP ROBERT ST</t>
  </si>
  <si>
    <t>0101000020E6100000D3139678404557C03BC8EBC1A47A4640</t>
  </si>
  <si>
    <t>0101000020E61000005D8B16A06D6F5DC05A47551344994940</t>
  </si>
  <si>
    <t>ELBOW LAKE</t>
  </si>
  <si>
    <t>OSWALD</t>
  </si>
  <si>
    <t>149-13</t>
  </si>
  <si>
    <t>0101000020E6100000481630815B2F58C0D6E253008C074740</t>
  </si>
  <si>
    <t>VEBLEN JCT</t>
  </si>
  <si>
    <t>0101000020E6100000CE8DE9094B2C58C0E560360186074740</t>
  </si>
  <si>
    <t>HURKETT</t>
  </si>
  <si>
    <t>104-10</t>
  </si>
  <si>
    <t>0101000020E61000006DC5FEB27B1E56C0B0AC3429056D4840</t>
  </si>
  <si>
    <t>UP BROWNSVILLE</t>
  </si>
  <si>
    <t>ODEM</t>
  </si>
  <si>
    <t>0101000020E6100000EACA67791E6458C03BE0BA6246F83B40</t>
  </si>
  <si>
    <t>SPENCE'S BRIDGE</t>
  </si>
  <si>
    <t>0101000020E6100000037D224F92565EC0598638D6C5354940</t>
  </si>
  <si>
    <t>0101000020E610000062D68BA19CE05BC05A2A6F4738314940</t>
  </si>
  <si>
    <t>0101000020E6100000FA27B85851B55CC0B537F8C264024940</t>
  </si>
  <si>
    <t>SHUSWAP</t>
  </si>
  <si>
    <t>CLANWILLIAM</t>
  </si>
  <si>
    <t>611-111</t>
  </si>
  <si>
    <t>0101000020E6100000BAA0BE654E975DC0F37519FED37B4940</t>
  </si>
  <si>
    <t>0101000020E6100000D3DEE00B939557C0F4FDD478E9064140</t>
  </si>
  <si>
    <t>CHINA BAR</t>
  </si>
  <si>
    <t>401-11</t>
  </si>
  <si>
    <t>0101000020E610000054C6BFCFB85C5EC0BE4C142175E54840</t>
  </si>
  <si>
    <t>0101000020E6100000F7917CA157EF58C0D579F1D124263640</t>
  </si>
  <si>
    <t>0101000020E61000002AF4C9A3BEEB58C0F1873CD5630C3640</t>
  </si>
  <si>
    <t>TOKETIC</t>
  </si>
  <si>
    <t>401-12</t>
  </si>
  <si>
    <t>0101000020E6100000957D5704FF515EC043E21E4B1F424940</t>
  </si>
  <si>
    <t>SAN BARTOLO</t>
  </si>
  <si>
    <t>0101000020E610000072E2E5C88E0359C0812557B1F84D3640</t>
  </si>
  <si>
    <t>0101000020E6100000429CC1BEE10159C09D50C22BCD4C3640</t>
  </si>
  <si>
    <t>0101000020E6100000B143886D83FD58C0E1E07FE9BC493640</t>
  </si>
  <si>
    <t>0101000020E6100000114A6779C1ED58C01DF0330D0E1B3640</t>
  </si>
  <si>
    <t>BENGAL</t>
  </si>
  <si>
    <t>614-044</t>
  </si>
  <si>
    <t>0101000020E6100000906B43C538815CC0AD1397E315864940</t>
  </si>
  <si>
    <t>0101000020E6100000F7CC920035815CC08FE4F21FD2854940</t>
  </si>
  <si>
    <t>0101000020E6100000469582EA76F758C0B1568A70D5423640</t>
  </si>
  <si>
    <t>0101000020E6100000538768B623F758C057084887C9413640</t>
  </si>
  <si>
    <t>0101000020E610000039D6C56D34525EC05531957EC2434940</t>
  </si>
  <si>
    <t>MONTANA</t>
  </si>
  <si>
    <t>0101000020E610000044B2D351861659C0B37FD8B1957A3640</t>
  </si>
  <si>
    <t>CERRITOS</t>
  </si>
  <si>
    <t>0101000020E610000019543CAAF11259C02B6CA38D656D3640</t>
  </si>
  <si>
    <t>0101000020E610000083C6864DA80B59C003DA2D349D593640</t>
  </si>
  <si>
    <t>LA BORREGUITA</t>
  </si>
  <si>
    <t>0101000020E61000009D5303AC190A59C0EDC1DEA382553640</t>
  </si>
  <si>
    <t>0101000020E6100000FC2BB7F6B60859C0863E927110533640</t>
  </si>
  <si>
    <t>0101000020E610000061653C6382535EC0988875B2ED4E4940</t>
  </si>
  <si>
    <t>MASON CITY</t>
  </si>
  <si>
    <t>NEW HAMPTON</t>
  </si>
  <si>
    <t>K39-13</t>
  </si>
  <si>
    <t>0101000020E6100000C95398EFC71357C04364C3609F884540</t>
  </si>
  <si>
    <t>0101000020E61000002DAE33B6BE1657C0D7EB48BB72864540</t>
  </si>
  <si>
    <t>LARKHALL</t>
  </si>
  <si>
    <t>242-13</t>
  </si>
  <si>
    <t>0101000020E6100000BB5F260618A15BC0F3E526E630FD4840</t>
  </si>
  <si>
    <t>ELLERSLIE</t>
  </si>
  <si>
    <t>0101000020E610000032150B11EA5E5CC00391A8C4B3B74A40</t>
  </si>
  <si>
    <t>SADDLE ROCK</t>
  </si>
  <si>
    <t>0101000020E61000008D976E12835A5EC0C24CDBBFB2CC4840</t>
  </si>
  <si>
    <t>0101000020E610000038AE5658F67959C04DBD4D032F483240</t>
  </si>
  <si>
    <t>0101000020E61000004B2298F64FAA58C024588769004E3B40</t>
  </si>
  <si>
    <t xml:space="preserve"> Employee ID</t>
  </si>
  <si>
    <t>CPKC</t>
  </si>
  <si>
    <t>Train Data Portal</t>
  </si>
  <si>
    <t xml:space="preserve">Source Data </t>
  </si>
  <si>
    <t>Data Summary</t>
  </si>
  <si>
    <t>Data Detail</t>
  </si>
  <si>
    <t>Q&amp;A</t>
  </si>
  <si>
    <t>Visualization</t>
  </si>
  <si>
    <t>Interractive Map</t>
  </si>
  <si>
    <t>Storytelling</t>
  </si>
  <si>
    <t>A.I. Prompting</t>
  </si>
  <si>
    <t>Data/Reports by BU</t>
  </si>
  <si>
    <t>Regulatory</t>
  </si>
  <si>
    <t>Internal</t>
  </si>
  <si>
    <t>IR (SOM)</t>
  </si>
  <si>
    <t>Dropdown if needed</t>
  </si>
  <si>
    <t>Finance</t>
  </si>
  <si>
    <t>Engineering</t>
  </si>
  <si>
    <t>Information Services &amp; NSC</t>
  </si>
  <si>
    <t>T&amp;E / Operation Analytics</t>
  </si>
  <si>
    <t>Intermodal</t>
  </si>
  <si>
    <t>Crew</t>
  </si>
  <si>
    <t>Mechanical - Railcar</t>
  </si>
  <si>
    <t>Mechanical - Locomotive</t>
  </si>
  <si>
    <t>Finance &amp; Accounting</t>
  </si>
  <si>
    <t>Marketing &amp; Sales</t>
  </si>
  <si>
    <t>Rail 360 Data Hub – Product Proof of Concept</t>
  </si>
  <si>
    <t>Data Catalog</t>
  </si>
  <si>
    <t>Reports &amp; Key Dashboards</t>
  </si>
  <si>
    <t>Q&amp;A &amp; Support</t>
  </si>
  <si>
    <t>Data Playground</t>
  </si>
  <si>
    <t>Train Productivity</t>
  </si>
  <si>
    <t>AI Prompt</t>
  </si>
  <si>
    <t>Map</t>
  </si>
  <si>
    <t>Train Speed</t>
  </si>
  <si>
    <t>Access Control</t>
  </si>
  <si>
    <t>Story telling</t>
  </si>
  <si>
    <t>Data Quallity</t>
  </si>
  <si>
    <t>Operations</t>
  </si>
  <si>
    <t>User Roles</t>
  </si>
  <si>
    <t>Mobile App</t>
  </si>
  <si>
    <t>Business Rules</t>
  </si>
  <si>
    <t>Business Glossary</t>
  </si>
  <si>
    <t>Finance/S&amp;M</t>
  </si>
  <si>
    <t>Investors Relations</t>
  </si>
  <si>
    <t>Others</t>
  </si>
  <si>
    <t>Category</t>
  </si>
  <si>
    <t>Natural Language Question</t>
  </si>
  <si>
    <t>Train Movement &amp; Status</t>
  </si>
  <si>
    <t>Where is train Thunderbolt 453 right now?</t>
  </si>
  <si>
    <t>When did train Iron Ridge 271-02 depart and arrive yesterday?</t>
  </si>
  <si>
    <t>What was the delay duration for train Prairie Express on October 15?</t>
  </si>
  <si>
    <t>Which FSAC did train Mountain Runner depart from and arrive at?</t>
  </si>
  <si>
    <t>Why do we have drops / hikes in GTM from [dimensions]?</t>
  </si>
  <si>
    <t>What much train make as sum of revenue during its trip and where are they moving from and to?</t>
  </si>
  <si>
    <t>I need to know consist of train with example ABCD1234 for Sept 1st</t>
  </si>
  <si>
    <t>What is GTM (Gross Ton Miles, Gross Tonne Miles) of dimensions (Train/location/direction) ?</t>
  </si>
  <si>
    <t>What is train length of dimensions (Train/location/direction) ?</t>
  </si>
  <si>
    <t>What is train weight of dimensions (Train/location/direction) ?</t>
  </si>
  <si>
    <t>What is train mile of dimensions (Train/location/direction) ?</t>
  </si>
  <si>
    <t>What is number of cars for dimensions (Train/location/direction) ?</t>
  </si>
  <si>
    <t>What is number of trains we ran for dimensions (Train/location/direction) ?</t>
  </si>
  <si>
    <t>How many bad ordered cars found in train moving across the border ? what is trend?</t>
  </si>
  <si>
    <t xml:space="preserve">How many bad ordered locomotives found in train moving across the border ? what is trend? </t>
  </si>
  <si>
    <t>What is trend of train length for dimension (Train/location/direction) e.g. 181 train for the last 5 months?</t>
  </si>
  <si>
    <t>What is trend of train weight for dimension (Train/location/direction) e.g. 181 train for the last 5 months?</t>
  </si>
  <si>
    <t>What is trend of train miles for dimension (Train/location/direction) e.g. 181 train for the last 5 months?</t>
  </si>
  <si>
    <t>Performance &amp; Metrics</t>
  </si>
  <si>
    <t>How many loaded cars did train Silver Arrow carry last week?</t>
  </si>
  <si>
    <t>What was the Gross Ton Miles (GTM) for train 361-01 yesterday?</t>
  </si>
  <si>
    <t>What was the average train weight between Golden and Vancouver in September?</t>
  </si>
  <si>
    <t>How many miles did train Northern Star travel last month?</t>
  </si>
  <si>
    <t>Geographic &amp; Route Insights</t>
  </si>
  <si>
    <t>What route did train Western Wind take on October 20?</t>
  </si>
  <si>
    <t>Which subdivisions did train Lakeside Runner pass through last week?</t>
  </si>
  <si>
    <t>What is the mileage between train Sunset Flyer’s origin and destination stations?</t>
  </si>
  <si>
    <t>What was gross tonne handled in this dimension (station/subdivision/zone/division/regions/country/states)?</t>
  </si>
  <si>
    <t>What was gross tonne handled in this dimension (station/subdivision/zone/division/regions/country/states) by direction?</t>
  </si>
  <si>
    <t>Comparative &amp; Trend Analysis</t>
  </si>
  <si>
    <t>Compare GTM for train Maple Express vs Rocky Hauler over the last 7 days.</t>
  </si>
  <si>
    <t>Show the trend of train miles for Forest Line in Q3.</t>
  </si>
  <si>
    <t>Which train had the highest GTM yesterday?</t>
  </si>
  <si>
    <t>How many trains crossed the border between A country to B country since last year?</t>
  </si>
  <si>
    <t>How many railcars crossed the border between A country to B country since last year?</t>
  </si>
  <si>
    <t>What is trend of cross-border traffic vs last few years between Canada and US or US and Mexico? what commodity drives this?</t>
  </si>
  <si>
    <t>How many trains departed and arrived at ABC stations like Shreveport last 7 days and how is the work load vs. last 28 days?</t>
  </si>
  <si>
    <t>Operational Summaries</t>
  </si>
  <si>
    <t>Give me a summary of train River King’s performance for October.</t>
  </si>
  <si>
    <t>List all trains that arrived in Calgary on November 1.</t>
  </si>
  <si>
    <t>Which trains had delays over 30 minutes last week?</t>
  </si>
  <si>
    <t>Validation &amp; Quality Checks</t>
  </si>
  <si>
    <t>Are there any missing OD pairs in BMR_FACT_CNST_MVMNT?</t>
  </si>
  <si>
    <t>What is the count of records updated today in DIM_ORG_DST_PAIR_MLG?</t>
  </si>
  <si>
    <t>Validate GTM values for KCSM against TRAIN_PRODUCTIVITY table.</t>
  </si>
  <si>
    <t>What are the discrepancies in TRAIN_MILES between source systems?</t>
  </si>
  <si>
    <t>Financial insights</t>
  </si>
  <si>
    <t>How much did we make from a certain train like 261-01 this week? how do we ensure we are exclusively getting revenue for such train?</t>
  </si>
  <si>
    <t>What is breakdown of commodity for 181 trains by month (by percentage) since Jan of this year and what is trend and what is revenue?</t>
  </si>
  <si>
    <t>PoC
(TrnSmry)</t>
  </si>
  <si>
    <t>Comments by Saurabh</t>
  </si>
  <si>
    <t>common</t>
  </si>
  <si>
    <t>Train002</t>
  </si>
  <si>
    <t>TBD_by_ETL</t>
  </si>
  <si>
    <t>ETL_EDW_REF</t>
  </si>
  <si>
    <t>EDW_MD5_ID</t>
  </si>
  <si>
    <t>A779F698920372266C7EDF5908172AF0</t>
  </si>
  <si>
    <t>Train003</t>
  </si>
  <si>
    <t>EDW_CREATE_USER</t>
  </si>
  <si>
    <t>Administ</t>
  </si>
  <si>
    <t>Train004</t>
  </si>
  <si>
    <t>EDW_CREATE_TMS</t>
  </si>
  <si>
    <t>45871.0705439815</t>
  </si>
  <si>
    <t>Train005</t>
  </si>
  <si>
    <t>EDW_UPDATE_USER</t>
  </si>
  <si>
    <t>Train006</t>
  </si>
  <si>
    <t>EDW_UPDATE_TMS</t>
  </si>
  <si>
    <t>ARRIVAL_TMS</t>
  </si>
  <si>
    <t>DEPARTURE_TMS</t>
  </si>
  <si>
    <t>Train074</t>
  </si>
  <si>
    <t>RECORD_CREATE_TMS</t>
  </si>
  <si>
    <t>Train075</t>
  </si>
  <si>
    <t>RECORD_UPDATE_TMS</t>
  </si>
  <si>
    <t>Train076</t>
  </si>
  <si>
    <t>CREATE_USER_ID</t>
  </si>
  <si>
    <t>TSDMGR</t>
  </si>
  <si>
    <t>Train077</t>
  </si>
  <si>
    <t>UPDATE_USER_ID</t>
  </si>
  <si>
    <t>Applicable to Locos only</t>
  </si>
  <si>
    <t>Train167</t>
  </si>
  <si>
    <t>Train168</t>
  </si>
  <si>
    <t>Train171</t>
  </si>
  <si>
    <t>Train172</t>
  </si>
  <si>
    <t>car level ? Why ?</t>
  </si>
  <si>
    <t>BOXCAR</t>
  </si>
  <si>
    <t>Train184</t>
  </si>
  <si>
    <t>Train191</t>
  </si>
  <si>
    <t>Train192</t>
  </si>
  <si>
    <t>are cars authorized to move in CPKC?</t>
  </si>
  <si>
    <t>Reistered_IND</t>
  </si>
  <si>
    <t>are cars registered in Umler?</t>
  </si>
  <si>
    <t xml:space="preserve">we mostly bring in registered cars - will check the logic. </t>
  </si>
  <si>
    <t>BLANKS NOW IN FIELD LISTING</t>
  </si>
  <si>
    <t>locomotive</t>
  </si>
  <si>
    <t>3rd party data</t>
  </si>
  <si>
    <t xml:space="preserve">train </t>
  </si>
  <si>
    <t>Sentinel</t>
  </si>
  <si>
    <t>via AWS</t>
  </si>
  <si>
    <t>(every sec/min retrieve)</t>
  </si>
  <si>
    <t>location of train</t>
  </si>
  <si>
    <t>Witronics</t>
  </si>
  <si>
    <t>time of report at each station</t>
  </si>
  <si>
    <t>GeoFense</t>
  </si>
  <si>
    <t>Potential car listing</t>
  </si>
  <si>
    <t>timeliness</t>
  </si>
  <si>
    <t>location info</t>
  </si>
  <si>
    <t>conventional consist</t>
  </si>
  <si>
    <t>headend</t>
  </si>
  <si>
    <t>tailend</t>
  </si>
  <si>
    <t>LD</t>
  </si>
  <si>
    <t>LT</t>
  </si>
  <si>
    <t>CP1234</t>
  </si>
  <si>
    <t>KCS2345</t>
  </si>
  <si>
    <t>Cn1234</t>
  </si>
  <si>
    <t>CP460115</t>
  </si>
  <si>
    <t>CP150112</t>
  </si>
  <si>
    <t>PTTX123456</t>
  </si>
  <si>
    <t>Distributed Power consist (DP)</t>
  </si>
  <si>
    <t>DP</t>
  </si>
  <si>
    <t>1 X 1 X 0</t>
  </si>
  <si>
    <t>1 X 0 X 1</t>
  </si>
  <si>
    <t>In house data</t>
  </si>
  <si>
    <t>SAP</t>
  </si>
  <si>
    <t>car</t>
  </si>
  <si>
    <t>VANCOUVER TO TORONTO</t>
  </si>
  <si>
    <t>VANCOUVER TO MISSISAUGA</t>
  </si>
  <si>
    <t>VANCOUVER TO WINNIPEG</t>
  </si>
  <si>
    <t>Consist / Car details</t>
  </si>
  <si>
    <t>sequence of cars in train</t>
  </si>
  <si>
    <t>VAN-TOR</t>
  </si>
  <si>
    <t>train miles</t>
  </si>
  <si>
    <t>train length</t>
  </si>
  <si>
    <t>train weight</t>
  </si>
  <si>
    <t>waybill</t>
  </si>
  <si>
    <t>blah..</t>
  </si>
  <si>
    <t>every 2 -3 hrs (driven by event ARRI/ARIL/DFLC/PIB/POB/ICHD/ICHR based on AAR standard event cd)</t>
  </si>
  <si>
    <t>Locomotive ID</t>
  </si>
  <si>
    <t>rpt tms</t>
  </si>
  <si>
    <t>weight</t>
  </si>
  <si>
    <t>length</t>
  </si>
  <si>
    <t>location</t>
  </si>
  <si>
    <t>Lat/Long</t>
  </si>
  <si>
    <t>3loco</t>
  </si>
  <si>
    <t>2loco</t>
  </si>
  <si>
    <t>seattle</t>
  </si>
  <si>
    <t>spkane</t>
  </si>
  <si>
    <t>Montana</t>
  </si>
  <si>
    <t>MNPOLS</t>
  </si>
  <si>
    <t>departure</t>
  </si>
  <si>
    <t>-&gt;</t>
  </si>
  <si>
    <t>arrival</t>
  </si>
  <si>
    <t>STN</t>
  </si>
  <si>
    <t>GOLDEN</t>
  </si>
  <si>
    <t>REPORTED TIME</t>
  </si>
  <si>
    <t>Vancouver</t>
  </si>
  <si>
    <t>Golden</t>
  </si>
  <si>
    <t>Banff</t>
  </si>
  <si>
    <t>Calgary</t>
  </si>
  <si>
    <t>Winnipeg</t>
  </si>
  <si>
    <t>CPKC event</t>
  </si>
  <si>
    <t>SADB(loco + car detail = consist)</t>
  </si>
  <si>
    <t>reported(99 cars + 3 loco)</t>
  </si>
  <si>
    <t>3 locomotie</t>
  </si>
  <si>
    <t>reported(120 cars + 3 loco)</t>
  </si>
  <si>
    <t>TMS</t>
  </si>
  <si>
    <t>AWS(loco)</t>
  </si>
  <si>
    <t>reported</t>
  </si>
  <si>
    <t>Loco ID</t>
  </si>
  <si>
    <t>REPORT TIMS</t>
  </si>
  <si>
    <t>Car numbers</t>
  </si>
  <si>
    <t>fsaC</t>
  </si>
  <si>
    <t>Waybills</t>
  </si>
  <si>
    <t>Train length</t>
  </si>
  <si>
    <t>100cars</t>
  </si>
  <si>
    <t>lift 3</t>
  </si>
  <si>
    <t>S/O 9 CARS</t>
  </si>
  <si>
    <t>Train weight</t>
  </si>
  <si>
    <t>99 CARS' CAR NUMBERS</t>
  </si>
  <si>
    <t>LIFT 30 CARS</t>
  </si>
  <si>
    <t>120 CARS' CAR NUMBER</t>
  </si>
  <si>
    <t>departed vancouver I don't know somewhere before cgy</t>
  </si>
  <si>
    <t>i know it's near golden it's east of golden somewhere but you can report  as golden</t>
  </si>
  <si>
    <t>synthenic events can be considered</t>
  </si>
  <si>
    <t>AEI001</t>
  </si>
  <si>
    <t>AEI002</t>
  </si>
  <si>
    <t>AEI003</t>
  </si>
  <si>
    <t>TTX1234</t>
  </si>
  <si>
    <t>FXE1234</t>
  </si>
  <si>
    <t>Train summary table</t>
  </si>
  <si>
    <t>key train itself</t>
  </si>
  <si>
    <t>train_nm</t>
  </si>
  <si>
    <t># of loc</t>
  </si>
  <si>
    <t># of cars</t>
  </si>
  <si>
    <t>Station A</t>
  </si>
  <si>
    <t>180-24</t>
  </si>
  <si>
    <t>Station B</t>
  </si>
  <si>
    <t>Station C</t>
  </si>
  <si>
    <t>STation D</t>
  </si>
  <si>
    <t>EDM</t>
  </si>
  <si>
    <t>CP450115</t>
  </si>
  <si>
    <t>420-01</t>
  </si>
  <si>
    <t>CAL</t>
  </si>
  <si>
    <t>100-02</t>
  </si>
  <si>
    <t>WPG</t>
  </si>
  <si>
    <t>(All)</t>
  </si>
  <si>
    <t>Total number of columns</t>
  </si>
  <si>
    <t>Brand new columns</t>
  </si>
  <si>
    <t>Count of Code</t>
  </si>
  <si>
    <t>BU</t>
  </si>
  <si>
    <t>Interviewees</t>
  </si>
  <si>
    <t>Request</t>
  </si>
  <si>
    <t>Operating Analytics</t>
  </si>
  <si>
    <t>Paul &amp; Prem</t>
  </si>
  <si>
    <t>How to gather "smart aggregates', what can replace BMR, train productivity, other major functions
GTM's TL, TW, TM, # of Trains, # of cars, etc
Understanding risk when it comes to access grant (e.g. Trainmaster or unionized may not need revenue details)
Q: e.g. I need to know consist of train with example ABCD1234 for Sept 1st</t>
  </si>
  <si>
    <t>Regulatory Affair</t>
  </si>
  <si>
    <t>Tyme &amp; Rica</t>
  </si>
  <si>
    <t>Ensure all key regulatory reports can be supported including density report, S10, FRA, STB, TC, and so forth.
Added count of locomotive, rail cars, and direction of movement as mandated fields as take away
Density by segment
Density by subdivisions
Gross tonne by sub/segments
Switching miles in Canada</t>
  </si>
  <si>
    <t>One source of truth
ensure we have all key dashboards aligned and covered such as BMR CMCD
singing owership of each of metrics 
what sensors we have ? (MANY kinds of sensors) - how do we proceed/go forward with SOURCE of Truth?
real time data is not needed (accuracy in consist)
Source of truth of all / every metrics was discussed (work with the IS person to be aligned)
how will we coordinate downstream dashboards (cost/plan/$)
cost of train</t>
  </si>
  <si>
    <t>View Types</t>
  </si>
  <si>
    <t>Label</t>
  </si>
  <si>
    <t>Area</t>
  </si>
  <si>
    <t>Details</t>
  </si>
  <si>
    <t>Definition</t>
  </si>
  <si>
    <t>Last Updated</t>
  </si>
  <si>
    <t>Updated By</t>
  </si>
  <si>
    <t>DS001</t>
  </si>
  <si>
    <t>Datamart</t>
  </si>
  <si>
    <t>GTM's by Equipment (Details)</t>
  </si>
  <si>
    <t>The CPKC operation team generates gross tonne miles as a result of moving *equipments. This requires CPKC employees' ability to review and analyze its performance across CPKC's network by train type, train series, train symbol, train name, key vs non key trains for various purposes</t>
  </si>
  <si>
    <t>DS002</t>
  </si>
  <si>
    <t>GTM's by Train (Summary)</t>
  </si>
  <si>
    <t>The CPKC operation team generates gross tonne miles as a result of moving *trains. This requires CPKC employees' ability to review and analyze its performance across CPKC's network by train type, train series, train symbol, train name, key vs non key trains for various purposes</t>
  </si>
  <si>
    <t>CP001</t>
  </si>
  <si>
    <t>Aggregates</t>
  </si>
  <si>
    <t>Gross Tonne Miles</t>
  </si>
  <si>
    <t>CP002</t>
  </si>
  <si>
    <t>Gross Tonnes</t>
  </si>
  <si>
    <t>CP003</t>
  </si>
  <si>
    <t>Train Miles</t>
  </si>
  <si>
    <t>CP004</t>
  </si>
  <si>
    <t>Train Weights</t>
  </si>
  <si>
    <t>CP005</t>
  </si>
  <si>
    <t>Train Lengths</t>
  </si>
  <si>
    <t>CP006</t>
  </si>
  <si>
    <t>Trains (# of Trains)</t>
  </si>
  <si>
    <t>CP007</t>
  </si>
  <si>
    <t>Trains (Consist and number of cars)</t>
  </si>
  <si>
    <t>RG001</t>
  </si>
  <si>
    <t>Density</t>
  </si>
  <si>
    <t>Density by Subdivision - GTM's</t>
  </si>
  <si>
    <t>The CPKC IS team and regulatory teams creates gross tonne miles which are updated bi-annually in November and January to reflect the changes in work load by provinces, subdivisions, and type of movement between freight and passenger transportation</t>
  </si>
  <si>
    <t>Jincy Alexander</t>
  </si>
  <si>
    <t>RG002</t>
  </si>
  <si>
    <t>Density by Subdivision - GT's</t>
  </si>
  <si>
    <t>The CPKC IS team and regulatory teams creates gross tonnes which are updated bi-annually in November and January to reflect the changes in work load by provinces, subdivisions, and type of movement between freight and passenger transportation</t>
  </si>
  <si>
    <t>Sangtae Woo</t>
  </si>
  <si>
    <t>RG003</t>
  </si>
  <si>
    <t>EP755</t>
  </si>
  <si>
    <t>US Metrics 1</t>
  </si>
  <si>
    <t>The CPKC regulatory affar team provides IS-generated  data to US government related to train miles, diesel unit miles, train switch miles, gross tonne miles, content tonne miles, train hours, and train switching hours annaully.</t>
  </si>
  <si>
    <t>RG004</t>
  </si>
  <si>
    <t>US Metrics 2</t>
  </si>
  <si>
    <t>The CPKC regulatory affar team provides IS-generated  data to US government related to car miles by rail entity (SOO/CMQ...), ownership and load/empty types annually (TTX/Foreign/Own/empty/load) by Country US/CA</t>
  </si>
  <si>
    <t>RG005</t>
  </si>
  <si>
    <t>US Metrics 3</t>
  </si>
  <si>
    <t>The CPKC regulatory affar team provides IS-generated  data to US government related to rail car count by trains by railine entity such as CMQ or SOO</t>
  </si>
  <si>
    <t>RG006</t>
  </si>
  <si>
    <t>US Metrics 4</t>
  </si>
  <si>
    <t>RG007</t>
  </si>
  <si>
    <t>US Metrics 5</t>
  </si>
  <si>
    <t>RG008</t>
  </si>
  <si>
    <t>US Metrics 6</t>
  </si>
  <si>
    <t>RG009</t>
  </si>
  <si>
    <t>RG010</t>
  </si>
  <si>
    <t>RG011</t>
  </si>
  <si>
    <t>RG012</t>
  </si>
  <si>
    <t>MGT segment by types of tracks and sidings</t>
  </si>
  <si>
    <t>Is GIS going to trace which track train will be located?</t>
  </si>
  <si>
    <t>tonnage in north vs. south track</t>
  </si>
  <si>
    <t>need to have a granuality of being able to locate / trace track level location detail in trains and equipment</t>
  </si>
  <si>
    <t>Train 
Tracing</t>
  </si>
  <si>
    <t>Crew
Info</t>
  </si>
  <si>
    <t>Equipment
Tracing</t>
  </si>
  <si>
    <t>Locomotive
Info</t>
  </si>
  <si>
    <t>Train Symbol</t>
  </si>
  <si>
    <t>Train Type</t>
  </si>
  <si>
    <t>Type</t>
  </si>
  <si>
    <t>Series</t>
  </si>
  <si>
    <t>Train Name</t>
  </si>
  <si>
    <t>IMS</t>
  </si>
  <si>
    <t>180-01</t>
  </si>
  <si>
    <t>Train Series</t>
  </si>
  <si>
    <t>Current Location</t>
  </si>
  <si>
    <t>Milepost: 11.4 ABC Sub</t>
  </si>
  <si>
    <t>San Luis Potosi</t>
  </si>
  <si>
    <t># of loaded cars</t>
  </si>
  <si>
    <t># of empty cars</t>
  </si>
  <si>
    <t># of containers</t>
  </si>
  <si>
    <t>Origin</t>
  </si>
  <si>
    <t>Interpuerto, MX</t>
  </si>
  <si>
    <t># of loaded containers</t>
  </si>
  <si>
    <t># of empty containers</t>
  </si>
  <si>
    <t>Destination</t>
  </si>
  <si>
    <t>Bensenville, US</t>
  </si>
  <si>
    <t>Milepoint</t>
  </si>
  <si>
    <t>Location (stn, sub, …)</t>
  </si>
  <si>
    <t>Railine</t>
  </si>
  <si>
    <t>Speed</t>
  </si>
  <si>
    <t>17.4mph</t>
  </si>
  <si>
    <t>Conductor</t>
  </si>
  <si>
    <t>Delay</t>
  </si>
  <si>
    <t>47 minutes</t>
  </si>
  <si>
    <t>Engineers</t>
  </si>
  <si>
    <t>7000ft</t>
  </si>
  <si>
    <t>Designed HPT</t>
  </si>
  <si>
    <t>Weigth</t>
  </si>
  <si>
    <t>9210tn</t>
  </si>
  <si>
    <t>Actual HPT</t>
  </si>
  <si>
    <t>Engineer</t>
  </si>
  <si>
    <t>Jose</t>
  </si>
  <si>
    <t>Train Delay</t>
  </si>
  <si>
    <t>Jabib</t>
  </si>
  <si>
    <t>Total</t>
  </si>
  <si>
    <t>Loads</t>
  </si>
  <si>
    <t>Empties</t>
  </si>
  <si>
    <t>Containers</t>
  </si>
  <si>
    <t>Locomotive</t>
  </si>
  <si>
    <t>D/H or BO</t>
  </si>
  <si>
    <t>Required HPT</t>
  </si>
  <si>
    <t>(overpowered)</t>
  </si>
  <si>
    <t>SQQ</t>
  </si>
  <si>
    <t>Active Data?</t>
  </si>
  <si>
    <t>eqpmv.eqpmv_rfeqp_mvmnt_event</t>
  </si>
  <si>
    <t>lcmtv.lcmtv_mvmnt_event</t>
  </si>
  <si>
    <t>atm_train.train_plan.train_type_cd</t>
  </si>
  <si>
    <t>atm_train.optrn.train_type_cd</t>
  </si>
  <si>
    <t>atm_train.train_plan.train_kind_cd</t>
  </si>
  <si>
    <t>atm_train.optrn.train_kind_cd</t>
  </si>
  <si>
    <t>train.train_plan_leg.mtp_titan_nbr</t>
  </si>
  <si>
    <t>train.optrn_leg.mtp_titan_nbr</t>
  </si>
  <si>
    <t>mvmnt_type hard coded as 'lcmtv' or 'eqpmv'</t>
  </si>
  <si>
    <t xml:space="preserve">ctnapp.ctng_line_dn.gmtry </t>
  </si>
  <si>
    <t>eqpmt.eqpmnt_aar_base.aar_car_cd</t>
  </si>
  <si>
    <t>dm_dim.gis_orgn_dstntn_mlg_by_stprv.miles</t>
  </si>
  <si>
    <t>trkfc.trkfcg_sbdvsn.sbdvsn_id</t>
  </si>
  <si>
    <t>trkfc.trkfcg_fxpla_track_lctn_dn.rfrnc_low_miles_qty</t>
  </si>
  <si>
    <t>dm_dim.dim_subdvsn_zone.high_track_mile</t>
  </si>
  <si>
    <t>dm_dim.dim_subdvsn_zone.low_track_mile</t>
  </si>
  <si>
    <t>Need to point to exact sources to ascertain transformations required</t>
  </si>
  <si>
    <t>dm_dim.dim_subdvsn_zone.zone</t>
  </si>
  <si>
    <t>dm_dim.dim_subdvsn .zone</t>
  </si>
  <si>
    <t>dm_dim.dim_subdvsn_zone.division_nm</t>
  </si>
  <si>
    <t>dm_dim.dim_subdvsn .division_nm</t>
  </si>
  <si>
    <t>dm_dim.dim_subdvsn_zone.region</t>
  </si>
  <si>
    <t>dm_dim.dim_subdvsn .region</t>
  </si>
  <si>
    <t>CTN Tables &amp; MDW Tables..</t>
  </si>
  <si>
    <t>TRKFC.TRSTN_TRSTN</t>
  </si>
  <si>
    <t>TRKFC.TRKFC_STN_HRCHY.. To be explored further..</t>
  </si>
  <si>
    <t>MDQ Tables --</t>
  </si>
  <si>
    <t>DM_DIM.DIM_SUBDVSN_ZONE</t>
  </si>
  <si>
    <t>Train161 -- is same as this</t>
  </si>
  <si>
    <t>Train162 -- is same as this</t>
  </si>
  <si>
    <t>Y or N</t>
  </si>
  <si>
    <t>Only 157474 of 15M records have this as not null, for the rest of the records this is null</t>
  </si>
  <si>
    <t>Only 120575 of 15M records have this as not null, for the rest of the records this is null</t>
  </si>
  <si>
    <t>only  603 records out of 15M records had this as not null</t>
  </si>
  <si>
    <t>Key Variables</t>
  </si>
  <si>
    <t>Seq</t>
  </si>
  <si>
    <t>Subdivision Nbr</t>
  </si>
  <si>
    <t>Number</t>
  </si>
  <si>
    <t>Province</t>
  </si>
  <si>
    <t>Enitity</t>
  </si>
  <si>
    <t>Subdivision</t>
  </si>
  <si>
    <t>Segment</t>
  </si>
  <si>
    <t>Miles of Road</t>
  </si>
  <si>
    <t>GTM's - Contents</t>
  </si>
  <si>
    <t>GTM's - Tare</t>
  </si>
  <si>
    <t>GTM's - Loco</t>
  </si>
  <si>
    <t>Direction</t>
  </si>
  <si>
    <t xml:space="preserve">                                                                                                       CPR (Incl CMQR) Line Railway</t>
  </si>
  <si>
    <t>Year 2024 Gross Ton Miles - By Segment</t>
  </si>
  <si>
    <t>Gross Ton Miles</t>
  </si>
  <si>
    <t>Subd</t>
  </si>
  <si>
    <t>Prov.</t>
  </si>
  <si>
    <t>Entity</t>
  </si>
  <si>
    <t>Miles of</t>
  </si>
  <si>
    <t>Westward / Northward</t>
  </si>
  <si>
    <t>Eastward/Southward</t>
  </si>
  <si>
    <t>Grand</t>
  </si>
  <si>
    <t>Nbr</t>
  </si>
  <si>
    <t>Road</t>
  </si>
  <si>
    <t>Content</t>
  </si>
  <si>
    <t>Tare</t>
  </si>
  <si>
    <t>Loco</t>
  </si>
  <si>
    <t>PQ</t>
  </si>
  <si>
    <t>CPR</t>
  </si>
  <si>
    <t>ADIRONDACK</t>
  </si>
  <si>
    <t>ST JEAN,PQ - DELSON,PQ</t>
  </si>
  <si>
    <t>DELSON,PQ - HAMPSTEAD,PQ</t>
  </si>
  <si>
    <t>HAMPSTEAD,PQ - OUTREMONT,PQ</t>
  </si>
  <si>
    <t>CMQR</t>
  </si>
  <si>
    <t>ADIRONDACK CMQ</t>
  </si>
  <si>
    <t>DAWSON,PQ - ST JEAN,PQ</t>
  </si>
  <si>
    <t>ALDERSYDE</t>
  </si>
  <si>
    <t>LETHBRIDGE,AB - ELTHAM,AB</t>
  </si>
  <si>
    <t>ELTHAM,AB - ALDERSYDE,AB</t>
  </si>
  <si>
    <t>ALDERSYDE,AB - 12TH STREET EAST,AB</t>
  </si>
  <si>
    <t>ALDERSYDE - HIGH RIVER SPUR</t>
  </si>
  <si>
    <t>ALDERSYDE,AB - HIGH RIVER,AB</t>
  </si>
  <si>
    <t>BELLE PLAINE,SK - LEGACY,SK</t>
  </si>
  <si>
    <t>SMITHS FALLS,ON - OSHAWA,ON</t>
  </si>
  <si>
    <t>OSHAWA,ON - TORONTO YARD,ON</t>
  </si>
  <si>
    <t>TORONTO YARD,ON - AGINCOURT TFR,ON</t>
  </si>
  <si>
    <t>AGINCOURT,ON - LEASIDE,ON</t>
  </si>
  <si>
    <t>BOUNDARY - ROBSON SPUR</t>
  </si>
  <si>
    <t>CASTLEGAR,BC - WESTLEY,BC</t>
  </si>
  <si>
    <t>BRECHTER</t>
  </si>
  <si>
    <t>PRENTISS,AB - JUNE,AB</t>
  </si>
  <si>
    <t>JUNE,AB - LACOMBE,AB</t>
  </si>
  <si>
    <t>BREDENBURY</t>
  </si>
  <si>
    <t>MINNEDOSA,MB - BINSCARTH,MB</t>
  </si>
  <si>
    <t>MB/SK</t>
  </si>
  <si>
    <t>BINSCARTH,MB - BREDENBURY,SK</t>
  </si>
  <si>
    <t>BRETON</t>
  </si>
  <si>
    <t>LEDUC,AB - SUNNYBROOK,AB</t>
  </si>
  <si>
    <t>BRANDON,MB - KEMNAY,MB</t>
  </si>
  <si>
    <t>KEMNAY,MB - VIRDEN,MB</t>
  </si>
  <si>
    <t>VIRDEN,MB - WHITEWOOD,SK</t>
  </si>
  <si>
    <t>WHITEWOOD,SK - BROADVIEW,SK</t>
  </si>
  <si>
    <t>BROCKVILLE</t>
  </si>
  <si>
    <t>SMITHS FALLS,ON - BROCKVILLE,ON</t>
  </si>
  <si>
    <t>MEDICINE HAT,AB - BASSANO,AB</t>
  </si>
  <si>
    <t>BASSANO,AB - WEST CARSELAND,AB</t>
  </si>
  <si>
    <t>WEST CARSELAND,AB - SHEPARD,AB</t>
  </si>
  <si>
    <t>SHEPARD,AB - ALYTH,AB</t>
  </si>
  <si>
    <t>ALYTH,AB - 12TH STREET EAST,AB</t>
  </si>
  <si>
    <t>12TH STREET EAST,AB - CALGARY,AB</t>
  </si>
  <si>
    <t>BULYEA</t>
  </si>
  <si>
    <t>CUPAR,SK - BULYEA JCT,SK</t>
  </si>
  <si>
    <t>BYRON CREEK</t>
  </si>
  <si>
    <t>FABRO,BC - COAL MTN,BC</t>
  </si>
  <si>
    <t>WINNIPEG,MB - RUGBY,MB</t>
  </si>
  <si>
    <t>RUGBY,MB - WOODMAN,MB</t>
  </si>
  <si>
    <t>WOODMAN,MB - PORTAGE LA PRAIRIE,MB</t>
  </si>
  <si>
    <t>PORTAGE LA PRAIRIE,MB - BRANDON,MB</t>
  </si>
  <si>
    <t>CARTIER</t>
  </si>
  <si>
    <t>CONISTON,ON - ROMFORD,ON</t>
  </si>
  <si>
    <t>ROMFORD,ON - SUDBURY,ON</t>
  </si>
  <si>
    <t>SUDBURY,ON - LEVACK,ON</t>
  </si>
  <si>
    <t>LEVACK,ON - CARTIER,ON</t>
  </si>
  <si>
    <t>NORTH BEND,BC - MISSION CITY,BC</t>
  </si>
  <si>
    <t>MISSION CITY,BC - PIT RIVER M108.4,BC</t>
  </si>
  <si>
    <t>PIT RIVER M108.4,BC - COQUITLAM ,BC</t>
  </si>
  <si>
    <t>COQUITLAM,BC - MACAULAY,BC</t>
  </si>
  <si>
    <t>MACAULAY,BC - IOCO,BC</t>
  </si>
  <si>
    <t>IOCO,BC - PORT MOODY,BC</t>
  </si>
  <si>
    <t>PORT MOODY,BC - SECOND NARROWS,BC</t>
  </si>
  <si>
    <t>SECOND NARROWS,BC - CENTERM WHARF IMS,BC</t>
  </si>
  <si>
    <t>CN - ASHCROFT</t>
  </si>
  <si>
    <t>NEPA,BC - BOSTON BAR,BC</t>
  </si>
  <si>
    <t>CN - YALE FRAS CAN</t>
  </si>
  <si>
    <t>BOSTON BAR,BC - MATSQUI,BC</t>
  </si>
  <si>
    <t>MATSQUI,BC - HYDRO,BC</t>
  </si>
  <si>
    <t>HYDRO,BC - VANCOUVER THORN YAR,BC</t>
  </si>
  <si>
    <t>CN BALA</t>
  </si>
  <si>
    <t>REYNOLDS,ON - ST CLOUD,ON</t>
  </si>
  <si>
    <t>COLUMBIA</t>
  </si>
  <si>
    <t>NELSON,BC - SOUTH SLOCAN,BC</t>
  </si>
  <si>
    <t>SOUTH SLOCAN,BC - CASTLEGAR,BC</t>
  </si>
  <si>
    <t>CASTLEGAR,BC - TRAIL,BC</t>
  </si>
  <si>
    <t>TRAIL,BC - WARFIELD,BC</t>
  </si>
  <si>
    <t>COMINCO SPUR</t>
  </si>
  <si>
    <t>DUNFERMLINE,SK - VADE,SK</t>
  </si>
  <si>
    <t>CROWSNEST,BC - FABRO,BC</t>
  </si>
  <si>
    <t>FABRO,BC - SPARWOOD,BC</t>
  </si>
  <si>
    <t>SPARWOOD,BC - FORT STEELE,BC</t>
  </si>
  <si>
    <t>FORT STEELE,BC - NORTH STAR,BC</t>
  </si>
  <si>
    <t>NORTH STAR,BC - CRANBROOK,BC</t>
  </si>
  <si>
    <t>CRANBROOK,BC - CURZON,BC</t>
  </si>
  <si>
    <t>CURZON,BC - KINGSGATE,BC</t>
  </si>
  <si>
    <t>CROWSNEST</t>
  </si>
  <si>
    <t>LETHBRIDGE,AB - FORT MACLEOD,AB</t>
  </si>
  <si>
    <t>FORT MACLEOD,AB - BROCKET,AB</t>
  </si>
  <si>
    <t>AB/BC</t>
  </si>
  <si>
    <t>BROCKET,AB - CROWSNEST,BC</t>
  </si>
  <si>
    <t>DUNNVILLE SPUR</t>
  </si>
  <si>
    <t>SMITHVILLE,ON - PORT MAITLAND,ON</t>
  </si>
  <si>
    <t>EMERSON</t>
  </si>
  <si>
    <t>WHITTIER,MB - EMERSON,MB</t>
  </si>
  <si>
    <t>ESTEVAN</t>
  </si>
  <si>
    <t>KEMNAY,MB - SOURIS,MB</t>
  </si>
  <si>
    <t>SOURIS,MB - SCHWITZER,MB</t>
  </si>
  <si>
    <t>SCHWITZER,MB - NAPINKA,MB</t>
  </si>
  <si>
    <t>NAPINKA,MB - BIENFAIT,SK</t>
  </si>
  <si>
    <t>BIENFAIT,SK - ESTEVAN,SK</t>
  </si>
  <si>
    <t>EXPANSE</t>
  </si>
  <si>
    <t>CURLE,SK - ARCHIVE,SK</t>
  </si>
  <si>
    <t>ARCHIVE,SK - MOSSBANK JCT,SK</t>
  </si>
  <si>
    <t>MOSSBANK JCT,SK - CONGRESS,SK</t>
  </si>
  <si>
    <t>CONGRESS,SK - ASSINIBOIA,SK</t>
  </si>
  <si>
    <t>SPARWOOD,BC - ELKVIEW,BC</t>
  </si>
  <si>
    <t>ELKVIEW,BC - LINE CREEK,BC</t>
  </si>
  <si>
    <t>LINE CREEK,BC - GREENHILLS,BC</t>
  </si>
  <si>
    <t>GREENHILLS,BC - FORDING,BC</t>
  </si>
  <si>
    <t>TORONTO,ON - WEST TORONTO,ON</t>
  </si>
  <si>
    <t>WEST TORONTO,ON - OBICO YARD,ON</t>
  </si>
  <si>
    <t>OBICO YARD,ON - COOKSVILLE,ON</t>
  </si>
  <si>
    <t>COOKSVILLE,ON - STREETSVILLE JCT,ON</t>
  </si>
  <si>
    <t>STREETSVILLE JCT,ON - GUELPH JCT,ON</t>
  </si>
  <si>
    <t>GUELPH JCT,ON - GALT,ON</t>
  </si>
  <si>
    <t>GALT,ON - WOODSTOCK,ON</t>
  </si>
  <si>
    <t>WOODSTOCK,ON - ZORRA,ON</t>
  </si>
  <si>
    <t>ZORRA,ON - LONDON ONTARIO,ON</t>
  </si>
  <si>
    <t>GLENBORO</t>
  </si>
  <si>
    <t>WOODMAN,MB - ELM CREEK,MB</t>
  </si>
  <si>
    <t>ELM CREEK,MB - HOLLAND,MB</t>
  </si>
  <si>
    <t>HOLLAND,MB - GLENBORO,MB</t>
  </si>
  <si>
    <t>GLENBORO,MB - NESBITT,MB</t>
  </si>
  <si>
    <t>NESBITT,MB - SOURIS,MB</t>
  </si>
  <si>
    <t>GRETNA SPUR</t>
  </si>
  <si>
    <t>ROSENFELD,MB - ALTONA,MB</t>
  </si>
  <si>
    <t>E BROOKFIELD,ON - WELLAND,ON</t>
  </si>
  <si>
    <t>WELLAND,ON - SMITHVILLE,ON</t>
  </si>
  <si>
    <t>SMITHVILLE,ON - HAMILTON,ON</t>
  </si>
  <si>
    <t>HAMILTON,ON - HAMILTON JCT,ON</t>
  </si>
  <si>
    <t>HAMILTON JCT,ON - GUELPH JCT,ON</t>
  </si>
  <si>
    <t>HARDISTY</t>
  </si>
  <si>
    <t>WILKIE,SK - MACKLIN,SK</t>
  </si>
  <si>
    <t>MACKLIN,SK - SK/AB HARDISTY,AB</t>
  </si>
  <si>
    <t>SK/AB HARDISTY,AB - METISKOW,AB</t>
  </si>
  <si>
    <t>METISKOW,AB - HARDISTY,AB</t>
  </si>
  <si>
    <t>HATTON SPUR</t>
  </si>
  <si>
    <t>HATTON,SK - GOLDEN PRAIRIE,SK</t>
  </si>
  <si>
    <t>HAVELOCK</t>
  </si>
  <si>
    <t>HAVELOCK,ON - PETERBOROUGH,ON</t>
  </si>
  <si>
    <t>PETERBOROUGH,ON - TORONTO YARD,ON</t>
  </si>
  <si>
    <t>WHITE RIVER,ON - STRUTHERS,ON</t>
  </si>
  <si>
    <t>STRUTHERS,ON - SCHREIBER,ON</t>
  </si>
  <si>
    <t>HOADLEY</t>
  </si>
  <si>
    <t>JACKSON,AB - TRUMAN,AB</t>
  </si>
  <si>
    <t>TRUMAN,AB - HOMEGLEN,AB</t>
  </si>
  <si>
    <t>IGNACE</t>
  </si>
  <si>
    <t>IGNACE,ON - KENORA,ON</t>
  </si>
  <si>
    <t>IND KALSPUR</t>
  </si>
  <si>
    <t>KALIUM SPUR JCT,SK - KALIUM,SK</t>
  </si>
  <si>
    <t>KALIUM,SK - SASKFERCO,SK</t>
  </si>
  <si>
    <t>BROADVIEW,SK - CRECY,SK</t>
  </si>
  <si>
    <t>CRECY,SK - REGINA,SK</t>
  </si>
  <si>
    <t>REGINA,SK - BELLE PLAINE,SK</t>
  </si>
  <si>
    <t>BELLE PLAINE,SK - PASQUA,SK</t>
  </si>
  <si>
    <t>PASQUA,SK - MOOSE JAW,SK</t>
  </si>
  <si>
    <t>THUNDER BAY,ON - IGNACE,ON</t>
  </si>
  <si>
    <t>ON/MB</t>
  </si>
  <si>
    <t>KEEWATIN</t>
  </si>
  <si>
    <t>KENORA,ON - MOLSON,MB</t>
  </si>
  <si>
    <t>MOLSON,MB - NORCRAN,MB</t>
  </si>
  <si>
    <t>NORCRAN,MB - WHITTIER,MB</t>
  </si>
  <si>
    <t>WHITTIER,MB - WINNIPEG,MB</t>
  </si>
  <si>
    <t>KEEWATIN - TRANSCONA SPUR</t>
  </si>
  <si>
    <t>NORCRAN,MB - TRANSCONA,MB</t>
  </si>
  <si>
    <t>KERROBERT</t>
  </si>
  <si>
    <t>HERSCHEL,SK - ASTUM,SK</t>
  </si>
  <si>
    <t>ASTUM,SK - KERROBERT,SK</t>
  </si>
  <si>
    <t>LA RIVIERE</t>
  </si>
  <si>
    <t>WINNIPEG,MB - ROSENFELD,MB</t>
  </si>
  <si>
    <t>ROSENFELD,MB - MORDEN,MB</t>
  </si>
  <si>
    <t>LACOLLE</t>
  </si>
  <si>
    <t>ROUSES POINT JCT,PQ - DELSON,PQ</t>
  </si>
  <si>
    <t>LACOMBE</t>
  </si>
  <si>
    <t>STETTLER,AB - JUNE,AB</t>
  </si>
  <si>
    <t>CALGARY,AB - KEITH,AB</t>
  </si>
  <si>
    <t>KEITH,AB - COPITHORNE JCT,AB</t>
  </si>
  <si>
    <t>COPITHORNE JCT,AB - MITFORD,AB</t>
  </si>
  <si>
    <t>MITFORD,AB - EXSHAW,AB</t>
  </si>
  <si>
    <t>EXSHAW,AB - FIELD,BC</t>
  </si>
  <si>
    <t>LAGGAN - COPITHORNE SPUR</t>
  </si>
  <si>
    <t>COPITHORNE JCT,AB - COPITHORNE,AB</t>
  </si>
  <si>
    <t>LANIGAN</t>
  </si>
  <si>
    <t>REGINA,SK - BULYEA JCT,SK</t>
  </si>
  <si>
    <t>BULYEA JCT,SK - LANIGAN,SK</t>
  </si>
  <si>
    <t>RED DEER,AB - BLACKFALDS,AB</t>
  </si>
  <si>
    <t>BLACKFALDS,AB - JACKSON,AB</t>
  </si>
  <si>
    <t>JACKSON,AB - LACOMBE,AB</t>
  </si>
  <si>
    <t>LACOMBE,AB - WETASKIWIN,AB</t>
  </si>
  <si>
    <t>WETASKIWIN,AB - LEDUC,AB</t>
  </si>
  <si>
    <t>LEDUC,AB - GAINER,AB</t>
  </si>
  <si>
    <t>GAINER,AB - SOUTH EDMONTON,AB</t>
  </si>
  <si>
    <t>LLOYDMINSTER</t>
  </si>
  <si>
    <t>WILKIE,SK - MARSDEN,SK</t>
  </si>
  <si>
    <t>MARSDEN,SK - BIG GULLY TFR,SK</t>
  </si>
  <si>
    <t>M &amp; O</t>
  </si>
  <si>
    <t>DORION,PQ - RIGAUD,PQ</t>
  </si>
  <si>
    <t>MACKLIN</t>
  </si>
  <si>
    <t>KERROBERT,SK - RURAL,SK</t>
  </si>
  <si>
    <t>RURAL,SK - ZINGER,SK</t>
  </si>
  <si>
    <t>ZINGER,SK - MACKLIN,SK</t>
  </si>
  <si>
    <t>WEST TORONTO,ON - VAUGHAN IMS,ON</t>
  </si>
  <si>
    <t>VAUGHAN IMS,ON - ALLISTON,ON</t>
  </si>
  <si>
    <t>ALLISTON,ON - MEDONTE,ON</t>
  </si>
  <si>
    <t>MEDONTE,ON - MACTIER,ON</t>
  </si>
  <si>
    <t>SWIFT CURRENT,SK - JAVA,SK</t>
  </si>
  <si>
    <t>JAVA,SK - HATTON,SK</t>
  </si>
  <si>
    <t>AB/SK</t>
  </si>
  <si>
    <t>HATTON,SK - DUNMORE,AB</t>
  </si>
  <si>
    <t>DUNMORE,AB - MEDICINE HAT,AB</t>
  </si>
  <si>
    <t>MARPOLE</t>
  </si>
  <si>
    <t>ONTARIO STREET,BC - NEW WESTMINSTER,BC</t>
  </si>
  <si>
    <t>MELFORT</t>
  </si>
  <si>
    <t>LANIGAN,SK - NAICAM,SK</t>
  </si>
  <si>
    <t>MINNEDOSA</t>
  </si>
  <si>
    <t>PORTAGE LA PRAIRIE,MB - MINNEDOSA,MB</t>
  </si>
  <si>
    <t>MISSION</t>
  </si>
  <si>
    <t>MISSION CITY,BC - RIVERSIDE,BC</t>
  </si>
  <si>
    <t>RIVERSIDE,BC - MATSQUI JCT,BC</t>
  </si>
  <si>
    <t>MATSQUI JCT,BC - HUNTINGDON,BC</t>
  </si>
  <si>
    <t>SWEET GRASS,MT - STIRLING,AB</t>
  </si>
  <si>
    <t>STIRLING,AB - MONTANA,AB</t>
  </si>
  <si>
    <t>MONTROSE</t>
  </si>
  <si>
    <t>NIAGARA FALLS,ON - MONTROSE YARD,ON</t>
  </si>
  <si>
    <t>MONTROSE,ON - RUSHOLME,ON</t>
  </si>
  <si>
    <t>MOOSEHEAD WEST</t>
  </si>
  <si>
    <t>BOUNDARY,PQ - MEGANTIC,PQ</t>
  </si>
  <si>
    <t>FIELD,BC - KC JUNCTION,BC</t>
  </si>
  <si>
    <t>KC JUNCTION,BC - REVELSTOKE,BC</t>
  </si>
  <si>
    <t>NAPINKA</t>
  </si>
  <si>
    <t>KILLARNEY,MB - DELORAINE,MB</t>
  </si>
  <si>
    <t>DELORAINE,MB - NAPINKA,MB</t>
  </si>
  <si>
    <t>NELSON</t>
  </si>
  <si>
    <t>CURZON,BC - NELSON,BC</t>
  </si>
  <si>
    <t>CARTIER,ON - RAMSEY,ON</t>
  </si>
  <si>
    <t>RAMSEY,ON - CHAPLEAU,ON</t>
  </si>
  <si>
    <t>NEPHTON</t>
  </si>
  <si>
    <t>HAVELOCK,ON - BLUE MOUNTAIN,ON</t>
  </si>
  <si>
    <t>NEWPORT NORTH</t>
  </si>
  <si>
    <t>BROOKPORT,PQ - BORDER,PQ</t>
  </si>
  <si>
    <t>SCHREIBER,ON - RED ROCK,ON</t>
  </si>
  <si>
    <t>RED ROCK,ON - CURRENT RIVER,ON</t>
  </si>
  <si>
    <t>CURRENT RIVER,ON - THUNDER BAY NORTH,ON</t>
  </si>
  <si>
    <t>NORTH TORONTO</t>
  </si>
  <si>
    <t>LEASIDE,ON - WEST TORONTO,ON</t>
  </si>
  <si>
    <t>OUTLOOK</t>
  </si>
  <si>
    <t>MOOSE JAW,SK - TUXFORD,SK</t>
  </si>
  <si>
    <t>TUXFORD,SK - EYEBROW,SK</t>
  </si>
  <si>
    <t>EYEBROW,SK - LOREBURN,SK</t>
  </si>
  <si>
    <t>LOREBURN,SK - BRODERICK,SK</t>
  </si>
  <si>
    <t>OUTREMONT SPUR</t>
  </si>
  <si>
    <t>MONTREAL RACINE IMS,PQ - HOCHELAGA,PQ</t>
  </si>
  <si>
    <t>HOCHELAGA,PQ - OUTREMONT,PQ</t>
  </si>
  <si>
    <t>PAGE</t>
  </si>
  <si>
    <t>RIVERSIDE, BC - LIVINGSTONE,BC</t>
  </si>
  <si>
    <t>LIVINGSTONE,BC - DELTAPORT IMS,BC</t>
  </si>
  <si>
    <t>PARC</t>
  </si>
  <si>
    <t>OUTREMONT,PQ -ST-ANTOINE,PQ</t>
  </si>
  <si>
    <t>PARRY SOUND</t>
  </si>
  <si>
    <t>MACTIER,ON - ROMFORD,ON</t>
  </si>
  <si>
    <t>PECTEN</t>
  </si>
  <si>
    <t>BROCKET,AB - PECTEN,AB</t>
  </si>
  <si>
    <t>RADVILLE</t>
  </si>
  <si>
    <t>EXON,SK - RADVILLE,SK</t>
  </si>
  <si>
    <t>12TH STREET EAST,AB - PETRO,AB</t>
  </si>
  <si>
    <t>PETRO,AB - EAST CROSSFIELD,AB</t>
  </si>
  <si>
    <t>E CROSSFIELD JCT,AB - DIDSBURY,AB</t>
  </si>
  <si>
    <t>DIDSBURY,AB - DOAN JCT,AB</t>
  </si>
  <si>
    <t>DOAN JCT,AB - RED DEER,AB</t>
  </si>
  <si>
    <t>REFORD</t>
  </si>
  <si>
    <t>RURAL,SK - WILKIE,SK</t>
  </si>
  <si>
    <t>ROCANVILLE</t>
  </si>
  <si>
    <t>VIRDEN,MB - MB/SK ROCANVILLE,MB</t>
  </si>
  <si>
    <t>MB/SK ROCANVILLE,MB - ROCANVILLE,SK</t>
  </si>
  <si>
    <t>SCOTFORD</t>
  </si>
  <si>
    <t>SCOTFORD,AB - ELK ISLAND,AB</t>
  </si>
  <si>
    <t>ELK ISLAND,AB - GAINER,AB</t>
  </si>
  <si>
    <t>SHANTZ</t>
  </si>
  <si>
    <t>DIDSBURY,AB - SHANTZ,AB</t>
  </si>
  <si>
    <t>SHERBROOKE</t>
  </si>
  <si>
    <t>MEGANTIC,PQ - DAWSON,PQ</t>
  </si>
  <si>
    <t>REVELSTOKE,BC - BELL POLE SPUR,BC</t>
  </si>
  <si>
    <t>BELL POLE SPUR,BC - TUM TUM,BC</t>
  </si>
  <si>
    <t>TUM TUM,BC - WESTAR EAG RV,BC</t>
  </si>
  <si>
    <t>WESTAR EAG RV,BC - CAMBIE,BC</t>
  </si>
  <si>
    <t>CAMBIE,BC - SICAMOUS,BC</t>
  </si>
  <si>
    <t>SICAMOUS,BC - CANOE,BC</t>
  </si>
  <si>
    <t>CANOE,BC - KAMLOOPS,BC</t>
  </si>
  <si>
    <t>ST LUC BRANCH</t>
  </si>
  <si>
    <t>ST LUC,PQ - BALLANTYNE,PQ</t>
  </si>
  <si>
    <t>STAMFORD</t>
  </si>
  <si>
    <t>BUFFALO,NY - SOUTHERN,ON</t>
  </si>
  <si>
    <t>STEVENSVILLE SPUR</t>
  </si>
  <si>
    <t>FORT ERIE,ON - STEVENSVILLE,ON</t>
  </si>
  <si>
    <t>SUTHERLAND</t>
  </si>
  <si>
    <t>WYNYARD,SK - LANIGAN,SK</t>
  </si>
  <si>
    <t>LANIGAN,SK - GUERNSEY,SK</t>
  </si>
  <si>
    <t>GUERNSEY,SK - ARPIERS,SK</t>
  </si>
  <si>
    <t>ARPIERS,SK - ELSTOW,SK</t>
  </si>
  <si>
    <t>ELSTOW,SK - CHEVIOT,SK</t>
  </si>
  <si>
    <t>CHEVIOT,SK - SUTHERLAND,SK</t>
  </si>
  <si>
    <t>SUTHERLAND,SK - SASKATOON,SK</t>
  </si>
  <si>
    <t>SUTHERLAND ALLAN SPUR</t>
  </si>
  <si>
    <t>ELSTOW,SK - ALLAN MINES,SK</t>
  </si>
  <si>
    <t>SUTHERLAND ALWINSAL SPUR</t>
  </si>
  <si>
    <t>GUERNSEY,SK - ALWINSAL,SK</t>
  </si>
  <si>
    <t>SUTHERLAND NORANDA SPUR</t>
  </si>
  <si>
    <t>ARPIERS,SK - NORCO,SK</t>
  </si>
  <si>
    <t>SUTHERLAND POTASCO SPUR</t>
  </si>
  <si>
    <t>CHEVIOT,SK - POTASCO,SK</t>
  </si>
  <si>
    <t>SWIFT CURRENT</t>
  </si>
  <si>
    <t>MOOSE JAW,SK - CURLE,SK</t>
  </si>
  <si>
    <t>CURLE,SK - SWIFT CURRENT,SK</t>
  </si>
  <si>
    <t>SWIFT CURRENT - VANGUARD SOUTH SPUR</t>
  </si>
  <si>
    <t>SWIFT CURRENT,SK - WYMARK,SK</t>
  </si>
  <si>
    <t>TABER</t>
  </si>
  <si>
    <t>BELLCOTT,AB - MONTANA,AB</t>
  </si>
  <si>
    <t>MONTANA,AB - LETHBRIDGE,AB</t>
  </si>
  <si>
    <t>KAMLOOPS,BC - NEPA,BC</t>
  </si>
  <si>
    <t>NEPA,BC - NORTH BEND,BC</t>
  </si>
  <si>
    <t>TISDALE</t>
  </si>
  <si>
    <t>GOUDIE,SK - BERTH,SK</t>
  </si>
  <si>
    <t>BERTH,SK - NIPAWIN,SK</t>
  </si>
  <si>
    <t>TYVAN</t>
  </si>
  <si>
    <t>LAJORD,SK - CRECY,SK</t>
  </si>
  <si>
    <t>VAUDREUIL</t>
  </si>
  <si>
    <t>ST LUC,PQ - DORION,PQ</t>
  </si>
  <si>
    <t>WATERLOO</t>
  </si>
  <si>
    <t>GALT,ON - PRESTON,ON</t>
  </si>
  <si>
    <t>PRESTON,ON - KITCHENER,ON</t>
  </si>
  <si>
    <t>WESTMINSTER</t>
  </si>
  <si>
    <t>MACAULAY,BC - FRASER MILLS,BC</t>
  </si>
  <si>
    <t>FRASER MILLS,BC - SAPPERTON,BC</t>
  </si>
  <si>
    <t>SAPPERTON,BC - NEW WESTMINSTER,BC</t>
  </si>
  <si>
    <t>WETASKIWIN</t>
  </si>
  <si>
    <t>HARDISTY,AB - WETASKIWIN,AB</t>
  </si>
  <si>
    <t>PASQUA,SK - EXON,SK</t>
  </si>
  <si>
    <t>EXON,SK - ESTEVAN,SK</t>
  </si>
  <si>
    <t>ESTEVAN,SK - NORTH PORTAL,SK</t>
  </si>
  <si>
    <t>WHITE RIVER</t>
  </si>
  <si>
    <t>CHAPLEAU,ON - FRANZ,ON</t>
  </si>
  <si>
    <t>FRANZ,ON - WHITE RIVER,ON</t>
  </si>
  <si>
    <t>WILKIE</t>
  </si>
  <si>
    <t>SASKATOON,SK - CORY,SK</t>
  </si>
  <si>
    <t>CORY,SK - DUNFERMLINE,SK</t>
  </si>
  <si>
    <t>DUNFERMLINE,SK - WILKIE,SK</t>
  </si>
  <si>
    <t>WILKIE SPUR</t>
  </si>
  <si>
    <t>CORY,SK - DUVCO,SK</t>
  </si>
  <si>
    <t>WILLINGDON SPUR</t>
  </si>
  <si>
    <t>STAR,AB - ELK ISLAND,AB</t>
  </si>
  <si>
    <t>WINCHESTER</t>
  </si>
  <si>
    <t>DORION,PQ - ON/PQ WINCHESTER,ON</t>
  </si>
  <si>
    <t>ON/PQ WINCHESTER,ON - BEDELL,ON</t>
  </si>
  <si>
    <t>BEDELL,ON - SMITHS FALLS,ON</t>
  </si>
  <si>
    <t>FORT STEELE,BC - KC JUNCTION,BC</t>
  </si>
  <si>
    <t>WINDSOR</t>
  </si>
  <si>
    <t>LONDON ONTARIO,ON - MELROSE,ON</t>
  </si>
  <si>
    <t>MELROSE,ON - CHATHAM,ON</t>
  </si>
  <si>
    <t>CHATHAM,ON - WINDSOR,ON</t>
  </si>
  <si>
    <t>WINDSOR,ON - ON/MI WINDSOR,ON</t>
  </si>
  <si>
    <t>WINNIPEG BEACH SPUR</t>
  </si>
  <si>
    <t>MIDDLECHURCH,MB - SELKIRK,MB</t>
  </si>
  <si>
    <t>WYNYARD</t>
  </si>
  <si>
    <t>BREDENBURY,SK - GOUDIE,SK</t>
  </si>
  <si>
    <t>GOUDIE,SK - WYNYARD,SK</t>
  </si>
  <si>
    <t>YARBO</t>
  </si>
  <si>
    <t>BREDENBURY,SK - YARBO,SK</t>
  </si>
  <si>
    <t>GRAND TOTAL</t>
  </si>
  <si>
    <t>SUMMARY BY PROVINCE - CPR &amp; CMQR</t>
  </si>
  <si>
    <t>NB</t>
  </si>
  <si>
    <t xml:space="preserve">    Grand Total</t>
  </si>
  <si>
    <t>SUMMARY BY ENTITY - CPR &amp; CMQR</t>
  </si>
  <si>
    <t>GT's - Contents</t>
  </si>
  <si>
    <t>GT's - Tare</t>
  </si>
  <si>
    <t>GT's - Loco</t>
  </si>
  <si>
    <t>CPR (Incl CMQR) Line Railway</t>
  </si>
  <si>
    <t xml:space="preserve">Average Tons per Mile of Road </t>
  </si>
  <si>
    <t>GRAND TOTAL/AVERAGE</t>
  </si>
  <si>
    <t>SUMMARY BY PROVINCE</t>
  </si>
  <si>
    <t> </t>
  </si>
  <si>
    <t>Item_No</t>
  </si>
  <si>
    <t>Metric</t>
  </si>
  <si>
    <t>SOO</t>
  </si>
  <si>
    <t>DME</t>
  </si>
  <si>
    <t>DH</t>
  </si>
  <si>
    <t>CMQA</t>
  </si>
  <si>
    <t>UNIT TRN</t>
  </si>
  <si>
    <t>WAY TRN</t>
  </si>
  <si>
    <t>THR TRN</t>
  </si>
  <si>
    <t>DIESEL_UNIT_MILES (Live &amp; Dead)</t>
  </si>
  <si>
    <t>TRAIN_SWITCHING_MILES</t>
  </si>
  <si>
    <t>4-191</t>
  </si>
  <si>
    <t>TOTAL_CAR_MILES</t>
  </si>
  <si>
    <t>4-192</t>
  </si>
  <si>
    <t>4-193</t>
  </si>
  <si>
    <t>LOCO_GROSS_TON_MILES (Live &amp; Dead)</t>
  </si>
  <si>
    <t>6-020</t>
  </si>
  <si>
    <t>GROSS_TON_MILES - REVENUE</t>
  </si>
  <si>
    <t>6-021</t>
  </si>
  <si>
    <t>6-022</t>
  </si>
  <si>
    <t>GROSS_TON_MILES - NON REVENUE</t>
  </si>
  <si>
    <t>CONTENT_TON_MILES - NON REVENUE</t>
  </si>
  <si>
    <t>TRAIN_SWITCHING_HRS</t>
  </si>
  <si>
    <t>WORK</t>
  </si>
  <si>
    <t>** Do not use Content tons -  non revenue from this source</t>
  </si>
  <si>
    <t>Car Miles by Car Type</t>
  </si>
  <si>
    <t>YEAR</t>
  </si>
  <si>
    <t>SCH_755_CAR_TYPE</t>
  </si>
  <si>
    <t>SOO_FW_OWN_FGN_LOADED_CM</t>
  </si>
  <si>
    <t>DME_FW_OWN_FGN_LOADED_CM</t>
  </si>
  <si>
    <t>DH_FW_OWN_FGN_LOADED_CM</t>
  </si>
  <si>
    <t>CMQA_FW_OWN_FGN_LOADED_CM</t>
  </si>
  <si>
    <t>SOO_FW_OWN_FGN_EMPTY_CM</t>
  </si>
  <si>
    <t>DME_FW_OWN_FGN_EMPTY_CM</t>
  </si>
  <si>
    <t>DH_FW_OWN_FGN_EMPTY_CM</t>
  </si>
  <si>
    <t>CMQA_FW_OWN_FGN_EMPTY_CM</t>
  </si>
  <si>
    <t>SOO_FW_PRV_TTX_LOADED_CM</t>
  </si>
  <si>
    <t>DME_FW_PRV_TTX_LOADED_CM</t>
  </si>
  <si>
    <t>DH_FW_PRV_TTX_LOADED_CM</t>
  </si>
  <si>
    <t>CMQA_FW_PRV_TTX_LOADED_CM</t>
  </si>
  <si>
    <t>SOO_FW_PRV_TTX_EMPTY_CM</t>
  </si>
  <si>
    <t>DME_FW_PRV_TTX_EMPTY_CM</t>
  </si>
  <si>
    <t>DH_FW_PRV_TTX_EMPTY_CM</t>
  </si>
  <si>
    <t>CMQA_FW_PRV_TTX_EMPTY_CM</t>
  </si>
  <si>
    <t xml:space="preserve"> 1-BOX-PLAIN 40-FOOT</t>
  </si>
  <si>
    <t xml:space="preserve"> 2-BOX-PLAIN GE 50 FOOT</t>
  </si>
  <si>
    <t xml:space="preserve"> 3-BOX EQUIPPED</t>
  </si>
  <si>
    <t xml:space="preserve"> 4-GONDOLA PLAIN</t>
  </si>
  <si>
    <t xml:space="preserve"> 5-GONDOLA EQUIPPED</t>
  </si>
  <si>
    <t xml:space="preserve"> 6-HOPPER COVERED</t>
  </si>
  <si>
    <t xml:space="preserve"> 7-HOPPER OPEN TOP GEN S</t>
  </si>
  <si>
    <t xml:space="preserve"> 8-HOPPER OPEN TOP SPC S</t>
  </si>
  <si>
    <t xml:space="preserve"> 9-REFRIG     MECHANICAL</t>
  </si>
  <si>
    <t>10-REFRIG NON-MECHANICAL</t>
  </si>
  <si>
    <t>11-FLAT TOFC-COFC</t>
  </si>
  <si>
    <t>12-FLAT MULTI-LEVEL</t>
  </si>
  <si>
    <t>13-FLAT GENERAL SERVICE</t>
  </si>
  <si>
    <t>14-FLAT ALL OTHER</t>
  </si>
  <si>
    <t>15-TANK UNDER 22000 GAL</t>
  </si>
  <si>
    <t>16-TANK OVER 22000 GAL</t>
  </si>
  <si>
    <t>17-EXCEPTIONS</t>
  </si>
  <si>
    <t>18-WORK EQ AND CIE FRT</t>
  </si>
  <si>
    <t>19 ALL OTHER</t>
  </si>
  <si>
    <t>** when pasting new year - be sure items in Columns C are not missing a number.  If they are - align them to match</t>
  </si>
  <si>
    <t>count of equipment by trains and by rail entity</t>
  </si>
  <si>
    <t>US Train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</si>
</sst>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 h:mm;@"/>
    <numFmt numFmtId="165" formatCode="#,##0.0"/>
    <numFmt numFmtId="166" formatCode="#,##0.0_);\(#,##0.0\)"/>
    <numFmt numFmtId="167" formatCode="yyyy/mm/dd"/>
    <numFmt numFmtId="168" formatCode="0.0"/>
    <numFmt numFmtId="169" formatCode="m/d/yy;@"/>
  </numFmts>
  <fonts count="69">
    <font>
      <sz val="11"/>
      <color theme="1"/>
      <name val="Aptos Narrow"/>
      <family val="2"/>
      <scheme val="minor"/>
    </font>
    <font>
      <sz val="10"/>
      <color theme="1"/>
      <name val="Aptos Narrow"/>
      <family val="2"/>
      <scheme val="minor"/>
    </font>
    <font>
      <b/>
      <sz val="11"/>
      <color theme="1"/>
      <name val="Aptos Narrow"/>
      <family val="2"/>
      <scheme val="minor"/>
    </font>
    <font>
      <b/>
      <sz val="16"/>
      <name val="Garamond"/>
      <family val="1"/>
    </font>
    <font>
      <sz val="12"/>
      <name val="Garamond"/>
      <family val="1"/>
    </font>
    <font>
      <b/>
      <sz val="12"/>
      <name val="Garamond"/>
      <family val="1"/>
    </font>
    <font>
      <b/>
      <sz val="10"/>
      <name val="Arial"/>
      <family val="2"/>
    </font>
    <font>
      <sz val="12"/>
      <color rgb="FFFF0000"/>
      <name val="Garamond"/>
      <family val="1"/>
    </font>
    <font>
      <sz val="16"/>
      <name val="Garamond"/>
      <family val="1"/>
    </font>
    <font>
      <sz val="10"/>
      <name val="Arial"/>
      <family val="2"/>
    </font>
    <font>
      <u/>
      <sz val="11"/>
      <color theme="10"/>
      <name val="Aptos Narrow"/>
      <family val="2"/>
      <scheme val="minor"/>
    </font>
    <font>
      <b/>
      <sz val="14"/>
      <color theme="1"/>
      <name val="Aptos Narrow"/>
      <family val="2"/>
      <scheme val="minor"/>
    </font>
    <font>
      <sz val="8"/>
      <name val="Aptos Narrow"/>
      <family val="2"/>
      <scheme val="minor"/>
    </font>
    <font>
      <sz val="11"/>
      <color theme="0"/>
      <name val="Aptos Narrow"/>
      <family val="2"/>
      <scheme val="minor"/>
    </font>
    <font>
      <sz val="9"/>
      <color rgb="FF333333"/>
      <name val="Arial"/>
      <family val="2"/>
    </font>
    <font>
      <b/>
      <sz val="9"/>
      <color rgb="FF000000"/>
      <name val="Arial"/>
      <family val="2"/>
    </font>
    <font>
      <b/>
      <sz val="9"/>
      <color rgb="FFFFFFFF"/>
      <name val="Arial"/>
      <family val="2"/>
    </font>
    <font>
      <b/>
      <sz val="9"/>
      <color rgb="FF333333"/>
      <name val="Arial"/>
      <family val="2"/>
    </font>
    <font>
      <sz val="11"/>
      <color rgb="FF000000"/>
      <name val="Calibri"/>
      <family val="2"/>
    </font>
    <font>
      <b/>
      <sz val="12"/>
      <color rgb="FF333333"/>
      <name val="Arial"/>
      <family val="2"/>
    </font>
    <font>
      <u/>
      <sz val="16"/>
      <color rgb="FF333333"/>
      <name val="Arial"/>
      <family val="2"/>
    </font>
    <font>
      <sz val="12"/>
      <color rgb="FF000000"/>
      <name val="Aptos Narrow"/>
      <family val="2"/>
      <scheme val="minor"/>
    </font>
    <font>
      <sz val="20"/>
      <color theme="1"/>
      <name val="Aptos Narrow"/>
      <family val="2"/>
      <scheme val="minor"/>
    </font>
    <font>
      <sz val="40"/>
      <color theme="1"/>
      <name val="Aptos Narrow"/>
      <family val="2"/>
      <scheme val="minor"/>
    </font>
    <font>
      <sz val="5"/>
      <color theme="1"/>
      <name val="Aptos Narrow"/>
      <family val="2"/>
      <scheme val="minor"/>
    </font>
    <font>
      <b/>
      <sz val="48"/>
      <color theme="0"/>
      <name val="72 Black"/>
      <family val="2"/>
    </font>
    <font>
      <sz val="20"/>
      <color theme="0"/>
      <name val="Aptos Narrow"/>
      <family val="2"/>
      <scheme val="minor"/>
    </font>
    <font>
      <b/>
      <sz val="14"/>
      <color theme="0"/>
      <name val="Aptos Narrow"/>
      <family val="2"/>
      <scheme val="minor"/>
    </font>
    <font>
      <b/>
      <sz val="13"/>
      <color theme="0"/>
      <name val="Aptos Narrow"/>
      <family val="2"/>
      <scheme val="minor"/>
    </font>
    <font>
      <sz val="13"/>
      <color theme="1"/>
      <name val="Aptos Narrow"/>
      <family val="2"/>
      <scheme val="minor"/>
    </font>
    <font>
      <sz val="13"/>
      <color theme="0"/>
      <name val="Aptos Narrow"/>
      <family val="2"/>
      <scheme val="minor"/>
    </font>
    <font>
      <sz val="14"/>
      <color theme="1"/>
      <name val="Aptos Narrow"/>
      <family val="2"/>
      <scheme val="minor"/>
    </font>
    <font>
      <sz val="30"/>
      <color theme="1"/>
      <name val="72 Black"/>
      <family val="2"/>
    </font>
    <font>
      <u/>
      <sz val="30"/>
      <color theme="10"/>
      <name val="72 Black"/>
      <family val="2"/>
    </font>
    <font>
      <sz val="20"/>
      <color theme="0"/>
      <name val="72 Black"/>
      <family val="2"/>
    </font>
    <font>
      <b/>
      <sz val="30"/>
      <color theme="1"/>
      <name val="72 Black"/>
      <family val="2"/>
    </font>
    <font>
      <sz val="12"/>
      <color theme="1"/>
      <name val="Aptos Narrow"/>
      <family val="2"/>
      <scheme val="minor"/>
    </font>
    <font>
      <sz val="13"/>
      <color rgb="FF000000"/>
      <name val="Aptos Narrow"/>
      <family val="2"/>
      <scheme val="minor"/>
    </font>
    <font>
      <sz val="30"/>
      <color theme="1"/>
      <name val="Aptos Narrow"/>
      <family val="2"/>
      <scheme val="minor"/>
    </font>
    <font>
      <b/>
      <sz val="12"/>
      <color theme="1"/>
      <name val="Aptos Narrow"/>
      <family val="2"/>
      <scheme val="minor"/>
    </font>
    <font>
      <b/>
      <sz val="12"/>
      <color rgb="FFFF0000"/>
      <name val="Aptos Narrow"/>
      <family val="2"/>
      <scheme val="minor"/>
    </font>
    <font>
      <sz val="10"/>
      <color rgb="FFFF0000"/>
      <name val="Aptos Narrow"/>
      <family val="2"/>
      <scheme val="minor"/>
    </font>
    <font>
      <sz val="11"/>
      <color rgb="FFFF0000"/>
      <name val="Aptos Narrow"/>
      <family val="2"/>
      <scheme val="minor"/>
    </font>
    <font>
      <sz val="11"/>
      <color theme="0" tint="-4.9989318521683403E-2"/>
      <name val="Aptos Narrow"/>
      <family val="2"/>
      <scheme val="minor"/>
    </font>
    <font>
      <b/>
      <sz val="24"/>
      <color theme="0" tint="-4.9989318521683403E-2"/>
      <name val="Aptos Narrow"/>
      <family val="2"/>
      <scheme val="minor"/>
    </font>
    <font>
      <b/>
      <sz val="24"/>
      <color theme="0" tint="-4.9989318521683403E-2"/>
      <name val="Aptos Display"/>
      <family val="2"/>
    </font>
    <font>
      <b/>
      <sz val="11"/>
      <color rgb="FFFFFFFF"/>
      <name val="Calibri"/>
      <family val="2"/>
    </font>
    <font>
      <strike/>
      <sz val="10"/>
      <color theme="1"/>
      <name val="Aptos Narrow"/>
      <family val="2"/>
      <scheme val="minor"/>
    </font>
    <font>
      <strike/>
      <sz val="10"/>
      <color rgb="FFFF0000"/>
      <name val="Aptos Narrow"/>
      <family val="2"/>
      <scheme val="minor"/>
    </font>
    <font>
      <strike/>
      <sz val="11"/>
      <color theme="1"/>
      <name val="Aptos Narrow"/>
      <family val="2"/>
      <scheme val="minor"/>
    </font>
    <font>
      <sz val="11"/>
      <color rgb="FF000000"/>
      <name val="Aptos Narrow"/>
      <family val="2"/>
      <scheme val="minor"/>
    </font>
    <font>
      <b/>
      <sz val="11"/>
      <color rgb="FF0070C0"/>
      <name val="Aptos Narrow"/>
      <family val="2"/>
      <scheme val="minor"/>
    </font>
    <font>
      <b/>
      <sz val="11"/>
      <color rgb="FF0070C0"/>
      <name val="Aptos Narrow"/>
      <family val="2"/>
    </font>
    <font>
      <sz val="11"/>
      <color theme="1"/>
      <name val="Aptos Narrow"/>
      <family val="2"/>
      <scheme val="minor"/>
    </font>
    <font>
      <b/>
      <sz val="11"/>
      <color rgb="FF000000"/>
      <name val="Aptos Narrow"/>
      <family val="2"/>
    </font>
    <font>
      <sz val="11"/>
      <color rgb="FF000000"/>
      <name val="Aptos Narrow"/>
      <family val="2"/>
    </font>
    <font>
      <sz val="11"/>
      <color rgb="FFFF0000"/>
      <name val="Aptos Narrow"/>
      <family val="2"/>
    </font>
    <font>
      <sz val="9"/>
      <color theme="1"/>
      <name val="Aptos Narrow"/>
      <family val="2"/>
      <scheme val="minor"/>
    </font>
    <font>
      <sz val="9"/>
      <color rgb="FFFF0000"/>
      <name val="Aptos Narrow"/>
      <family val="2"/>
      <scheme val="minor"/>
    </font>
    <font>
      <b/>
      <sz val="11"/>
      <color rgb="FFFF0000"/>
      <name val="Aptos Narrow"/>
      <family val="2"/>
      <scheme val="minor"/>
    </font>
    <font>
      <sz val="11"/>
      <color rgb="FF000000"/>
      <name val="Aptos Narrow"/>
    </font>
    <font>
      <b/>
      <sz val="11"/>
      <color rgb="FF000000"/>
      <name val="Aptos Narrow"/>
    </font>
    <font>
      <sz val="8"/>
      <color rgb="FF000000"/>
      <name val="Aptos Narrow"/>
    </font>
    <font>
      <sz val="8"/>
      <color rgb="FF000000"/>
      <name val="Aptos Narrow"/>
      <family val="2"/>
    </font>
    <font>
      <sz val="8"/>
      <color theme="1"/>
      <name val="Aptos Narrow"/>
      <family val="2"/>
      <scheme val="minor"/>
    </font>
    <font>
      <b/>
      <sz val="8"/>
      <color rgb="FF0070C0"/>
      <name val="Aptos Narrow"/>
      <family val="2"/>
    </font>
    <font>
      <sz val="8"/>
      <color rgb="FFFF0000"/>
      <name val="Aptos Narrow"/>
      <family val="2"/>
    </font>
    <font>
      <sz val="8"/>
      <color rgb="FFFF0000"/>
      <name val="Aptos Narrow"/>
      <family val="2"/>
      <scheme val="minor"/>
    </font>
    <font>
      <strike/>
      <sz val="8"/>
      <color rgb="FFFF0000"/>
      <name val="Aptos Narrow"/>
      <family val="2"/>
      <scheme val="minor"/>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indexed="22"/>
        <bgColor indexed="64"/>
      </patternFill>
    </fill>
    <fill>
      <patternFill patternType="solid">
        <fgColor rgb="FFFFFFFF"/>
        <bgColor rgb="FFFFFFFF"/>
      </patternFill>
    </fill>
    <fill>
      <patternFill patternType="solid">
        <fgColor rgb="FFFFFF00"/>
        <bgColor rgb="FFFFFFFF"/>
      </patternFill>
    </fill>
    <fill>
      <patternFill patternType="solid">
        <fgColor rgb="FF0066CC"/>
        <bgColor rgb="FFFFFFFF"/>
      </patternFill>
    </fill>
    <fill>
      <patternFill patternType="solid">
        <fgColor rgb="FFFCFDFD"/>
        <bgColor rgb="FFFFFFFF"/>
      </patternFill>
    </fill>
    <fill>
      <patternFill patternType="solid">
        <fgColor rgb="FF0B64A0"/>
        <bgColor rgb="FFFFFFFF"/>
      </patternFill>
    </fill>
    <fill>
      <patternFill patternType="solid">
        <fgColor rgb="FFF2F2F2"/>
        <bgColor rgb="FF000000"/>
      </patternFill>
    </fill>
    <fill>
      <patternFill patternType="solid">
        <fgColor theme="2"/>
        <bgColor indexed="64"/>
      </patternFill>
    </fill>
    <fill>
      <patternFill patternType="solid">
        <fgColor theme="0" tint="-0.249977111117893"/>
        <bgColor indexed="64"/>
      </patternFill>
    </fill>
    <fill>
      <patternFill patternType="solid">
        <fgColor rgb="FFFF0000"/>
        <bgColor indexed="64"/>
      </patternFill>
    </fill>
    <fill>
      <patternFill patternType="solid">
        <fgColor theme="1" tint="0.34998626667073579"/>
        <bgColor indexed="64"/>
      </patternFill>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rgb="FF7030A0"/>
        <bgColor indexed="64"/>
      </patternFill>
    </fill>
    <fill>
      <patternFill patternType="solid">
        <fgColor theme="0" tint="-0.499984740745262"/>
        <bgColor indexed="64"/>
      </patternFill>
    </fill>
    <fill>
      <patternFill patternType="solid">
        <fgColor theme="1" tint="4.9989318521683403E-2"/>
        <bgColor indexed="64"/>
      </patternFill>
    </fill>
    <fill>
      <patternFill patternType="solid">
        <fgColor theme="1" tint="0.249977111117893"/>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3" tint="0.499984740745262"/>
        <bgColor indexed="64"/>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theme="0" tint="-0.14999847407452621"/>
        <bgColor indexed="64"/>
      </patternFill>
    </fill>
    <fill>
      <patternFill patternType="solid">
        <fgColor rgb="FFD9D9D9"/>
        <bgColor rgb="FF000000"/>
      </patternFill>
    </fill>
    <fill>
      <patternFill patternType="solid">
        <fgColor theme="8" tint="0.79998168889431442"/>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rgb="FF666699"/>
      </left>
      <right style="thin">
        <color rgb="FF666699"/>
      </right>
      <top style="thin">
        <color rgb="FF666699"/>
      </top>
      <bottom style="thin">
        <color rgb="FF969696"/>
      </bottom>
      <diagonal/>
    </border>
    <border>
      <left/>
      <right style="thin">
        <color rgb="FF666699"/>
      </right>
      <top style="thin">
        <color rgb="FF666699"/>
      </top>
      <bottom style="thin">
        <color rgb="FF969696"/>
      </bottom>
      <diagonal/>
    </border>
    <border>
      <left style="thin">
        <color rgb="FF666699"/>
      </left>
      <right style="thin">
        <color rgb="FF008080"/>
      </right>
      <top style="thin">
        <color rgb="FF666699"/>
      </top>
      <bottom style="thin">
        <color rgb="FF666699"/>
      </bottom>
      <diagonal/>
    </border>
    <border>
      <left style="thin">
        <color rgb="FF000080"/>
      </left>
      <right style="thin">
        <color rgb="FF000080"/>
      </right>
      <top style="thin">
        <color rgb="FF000080"/>
      </top>
      <bottom style="thin">
        <color rgb="FF000080"/>
      </bottom>
      <diagonal/>
    </border>
    <border>
      <left/>
      <right style="thin">
        <color rgb="FF000080"/>
      </right>
      <top style="thin">
        <color rgb="FF000080"/>
      </top>
      <bottom style="thin">
        <color rgb="FF000080"/>
      </bottom>
      <diagonal/>
    </border>
    <border>
      <left style="thin">
        <color rgb="FF666699"/>
      </left>
      <right style="thin">
        <color rgb="FF008080"/>
      </right>
      <top/>
      <bottom style="thin">
        <color rgb="FF666699"/>
      </bottom>
      <diagonal/>
    </border>
    <border>
      <left style="thin">
        <color rgb="FF000080"/>
      </left>
      <right style="thin">
        <color rgb="FF000080"/>
      </right>
      <top/>
      <bottom style="thin">
        <color rgb="FF000080"/>
      </bottom>
      <diagonal/>
    </border>
    <border>
      <left/>
      <right style="thin">
        <color rgb="FF000080"/>
      </right>
      <top/>
      <bottom style="thin">
        <color rgb="FF000080"/>
      </bottom>
      <diagonal/>
    </border>
    <border>
      <left style="thin">
        <color rgb="FF000080"/>
      </left>
      <right style="thin">
        <color rgb="FF000080"/>
      </right>
      <top style="thin">
        <color rgb="FFCCCCFF"/>
      </top>
      <bottom style="thin">
        <color rgb="FF000080"/>
      </bottom>
      <diagonal/>
    </border>
    <border>
      <left/>
      <right style="thin">
        <color rgb="FF000080"/>
      </right>
      <top style="thin">
        <color rgb="FFCCCCFF"/>
      </top>
      <bottom style="thin">
        <color rgb="FF000080"/>
      </bottom>
      <diagonal/>
    </border>
    <border>
      <left style="thin">
        <color rgb="FFEBEBEB"/>
      </left>
      <right style="thin">
        <color rgb="FFEBEBEB"/>
      </right>
      <top style="thin">
        <color rgb="FFEBEBEB"/>
      </top>
      <bottom style="thin">
        <color rgb="FFEBEBEB"/>
      </bottom>
      <diagonal/>
    </border>
    <border>
      <left/>
      <right style="thin">
        <color rgb="FFEBEBEB"/>
      </right>
      <top style="thin">
        <color rgb="FFEBEBEB"/>
      </top>
      <bottom style="thin">
        <color rgb="FFEBEBEB"/>
      </bottom>
      <diagonal/>
    </border>
    <border>
      <left style="thin">
        <color rgb="FFEBEBEB"/>
      </left>
      <right style="thin">
        <color rgb="FFEBEBEB"/>
      </right>
      <top/>
      <bottom style="thin">
        <color rgb="FFEBEBEB"/>
      </bottom>
      <diagonal/>
    </border>
    <border>
      <left/>
      <right style="thin">
        <color rgb="FFEBEBEB"/>
      </right>
      <top/>
      <bottom style="thin">
        <color rgb="FFEBEBEB"/>
      </bottom>
      <diagonal/>
    </border>
    <border>
      <left style="thin">
        <color rgb="FFEBEBEB"/>
      </left>
      <right style="thin">
        <color rgb="FFEBEBEB"/>
      </right>
      <top style="thin">
        <color rgb="FFCAC9D9"/>
      </top>
      <bottom style="thin">
        <color rgb="FFEBEBEB"/>
      </bottom>
      <diagonal/>
    </border>
    <border>
      <left/>
      <right style="thin">
        <color rgb="FFEBEBEB"/>
      </right>
      <top style="thin">
        <color rgb="FFCAC9D9"/>
      </top>
      <bottom style="thin">
        <color rgb="FFEBEBEB"/>
      </bottom>
      <diagonal/>
    </border>
    <border>
      <left/>
      <right/>
      <top/>
      <bottom style="thin">
        <color rgb="FF000000"/>
      </bottom>
      <diagonal/>
    </border>
    <border>
      <left style="thin">
        <color rgb="FF3877A6"/>
      </left>
      <right style="thin">
        <color rgb="FF3877A6"/>
      </right>
      <top style="thin">
        <color rgb="FF3877A6"/>
      </top>
      <bottom style="thin">
        <color rgb="FFA5A5B1"/>
      </bottom>
      <diagonal/>
    </border>
    <border>
      <left/>
      <right style="thin">
        <color rgb="FF3877A6"/>
      </right>
      <top style="thin">
        <color rgb="FF3877A6"/>
      </top>
      <bottom style="thin">
        <color rgb="FFA5A5B1"/>
      </bottom>
      <diagonal/>
    </border>
    <border>
      <left style="thin">
        <color rgb="FF3877A6"/>
      </left>
      <right style="thin">
        <color rgb="FF09558F"/>
      </right>
      <top style="thin">
        <color rgb="FF3877A6"/>
      </top>
      <bottom style="thin">
        <color rgb="FF3877A6"/>
      </bottom>
      <diagonal/>
    </border>
    <border>
      <left style="thin">
        <color rgb="FF3877A6"/>
      </left>
      <right style="thin">
        <color rgb="FF09558F"/>
      </right>
      <top/>
      <bottom style="thin">
        <color rgb="FF3877A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FFFFFF"/>
      </right>
      <top/>
      <bottom style="thick">
        <color rgb="FFFFFFFF"/>
      </bottom>
      <diagonal/>
    </border>
    <border>
      <left style="thin">
        <color rgb="FFFFFFFF"/>
      </left>
      <right/>
      <top/>
      <bottom style="thick">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419">
    <xf numFmtId="0" fontId="0" fillId="0" borderId="0" xfId="0"/>
    <xf numFmtId="0" fontId="0" fillId="0" borderId="0" xfId="0" applyAlignment="1">
      <alignment vertical="center"/>
    </xf>
    <xf numFmtId="0" fontId="0" fillId="0" borderId="0" xfId="0" applyAlignment="1">
      <alignment horizontal="left" vertical="center"/>
    </xf>
    <xf numFmtId="0" fontId="0" fillId="2" borderId="0" xfId="0" applyFill="1" applyAlignment="1">
      <alignment horizontal="left" vertical="center"/>
    </xf>
    <xf numFmtId="164" fontId="0" fillId="0" borderId="0" xfId="0" applyNumberFormat="1" applyAlignment="1">
      <alignment horizontal="left" vertical="center"/>
    </xf>
    <xf numFmtId="9" fontId="0" fillId="0" borderId="0" xfId="0" applyNumberFormat="1" applyAlignment="1">
      <alignment horizontal="left" vertical="center"/>
    </xf>
    <xf numFmtId="14" fontId="0" fillId="0" borderId="0" xfId="0" applyNumberFormat="1" applyAlignment="1">
      <alignment horizontal="left" vertical="center"/>
    </xf>
    <xf numFmtId="0" fontId="0" fillId="3" borderId="0" xfId="0" applyFill="1"/>
    <xf numFmtId="0" fontId="3" fillId="0" borderId="0" xfId="0" applyFont="1" applyAlignment="1">
      <alignment vertical="center"/>
    </xf>
    <xf numFmtId="0" fontId="3" fillId="0" borderId="0" xfId="0" quotePrefix="1" applyFont="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0" fillId="0" borderId="1" xfId="0" applyBorder="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8" xfId="0" applyFont="1" applyFill="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0" borderId="15" xfId="0" applyBorder="1" applyAlignment="1">
      <alignment vertical="center"/>
    </xf>
    <xf numFmtId="165" fontId="0" fillId="0" borderId="7" xfId="0" applyNumberFormat="1" applyBorder="1" applyAlignment="1">
      <alignment horizontal="center" vertical="center"/>
    </xf>
    <xf numFmtId="3" fontId="0" fillId="0" borderId="7" xfId="0" applyNumberFormat="1" applyBorder="1" applyAlignment="1">
      <alignment vertical="center"/>
    </xf>
    <xf numFmtId="3" fontId="0" fillId="0" borderId="0" xfId="0" applyNumberFormat="1" applyAlignment="1">
      <alignment vertical="center"/>
    </xf>
    <xf numFmtId="3" fontId="0" fillId="0" borderId="15" xfId="0" applyNumberFormat="1" applyBorder="1" applyAlignment="1">
      <alignment vertical="center"/>
    </xf>
    <xf numFmtId="37" fontId="0" fillId="0" borderId="15" xfId="0" applyNumberFormat="1" applyBorder="1" applyAlignment="1">
      <alignment vertical="center"/>
    </xf>
    <xf numFmtId="0" fontId="7" fillId="0" borderId="0" xfId="0" applyFont="1" applyAlignment="1">
      <alignment vertical="center"/>
    </xf>
    <xf numFmtId="0" fontId="4" fillId="0" borderId="15" xfId="0" applyFont="1" applyBorder="1" applyAlignment="1">
      <alignment vertical="center"/>
    </xf>
    <xf numFmtId="0" fontId="4" fillId="0" borderId="8" xfId="0" applyFont="1" applyBorder="1" applyAlignment="1">
      <alignment horizontal="center" vertical="center"/>
    </xf>
    <xf numFmtId="0" fontId="4" fillId="0" borderId="16" xfId="0" applyFont="1" applyBorder="1" applyAlignment="1">
      <alignment vertical="center"/>
    </xf>
    <xf numFmtId="0" fontId="0" fillId="0" borderId="16" xfId="0" applyBorder="1" applyAlignment="1">
      <alignment vertical="center"/>
    </xf>
    <xf numFmtId="0" fontId="0" fillId="0" borderId="17" xfId="0" applyBorder="1" applyAlignment="1">
      <alignment vertical="center"/>
    </xf>
    <xf numFmtId="166" fontId="0" fillId="0" borderId="1" xfId="0" applyNumberFormat="1"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 fillId="0" borderId="7" xfId="0" applyFont="1" applyBorder="1" applyAlignment="1">
      <alignment vertical="center"/>
    </xf>
    <xf numFmtId="166" fontId="0" fillId="0" borderId="6" xfId="0" applyNumberFormat="1" applyBorder="1" applyAlignment="1">
      <alignment horizontal="center" vertical="center"/>
    </xf>
    <xf numFmtId="37" fontId="0" fillId="0" borderId="21" xfId="0" applyNumberFormat="1" applyBorder="1" applyAlignment="1">
      <alignment vertical="center"/>
    </xf>
    <xf numFmtId="37" fontId="0" fillId="0" borderId="22" xfId="0" applyNumberFormat="1" applyBorder="1" applyAlignment="1">
      <alignment vertical="center"/>
    </xf>
    <xf numFmtId="37" fontId="0" fillId="0" borderId="23" xfId="0" applyNumberFormat="1" applyBorder="1" applyAlignment="1">
      <alignment vertical="center"/>
    </xf>
    <xf numFmtId="37" fontId="0" fillId="0" borderId="6" xfId="0" applyNumberFormat="1" applyBorder="1" applyAlignment="1">
      <alignment vertical="center"/>
    </xf>
    <xf numFmtId="0" fontId="4" fillId="0" borderId="9" xfId="0" applyFont="1" applyBorder="1" applyAlignment="1">
      <alignment vertical="center"/>
    </xf>
    <xf numFmtId="0" fontId="4" fillId="0" borderId="14" xfId="0" applyFont="1" applyBorder="1" applyAlignment="1">
      <alignment vertical="center"/>
    </xf>
    <xf numFmtId="0" fontId="0" fillId="0" borderId="14" xfId="0" applyBorder="1" applyAlignment="1">
      <alignment vertical="center"/>
    </xf>
    <xf numFmtId="0" fontId="0" fillId="0" borderId="24" xfId="0" applyBorder="1" applyAlignment="1">
      <alignment vertical="center"/>
    </xf>
    <xf numFmtId="39" fontId="0" fillId="0" borderId="8" xfId="0" applyNumberFormat="1"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0" fillId="0" borderId="27" xfId="0" applyBorder="1" applyAlignment="1">
      <alignment vertical="center"/>
    </xf>
    <xf numFmtId="0" fontId="0" fillId="0" borderId="8" xfId="0" applyBorder="1" applyAlignment="1">
      <alignment vertical="center"/>
    </xf>
    <xf numFmtId="39" fontId="0" fillId="0" borderId="0" xfId="0" applyNumberFormat="1" applyAlignment="1">
      <alignment vertical="center"/>
    </xf>
    <xf numFmtId="37" fontId="0" fillId="0" borderId="0" xfId="0" applyNumberFormat="1" applyAlignment="1">
      <alignment vertical="center"/>
    </xf>
    <xf numFmtId="0" fontId="3" fillId="6" borderId="2" xfId="0" applyFont="1" applyFill="1" applyBorder="1" applyAlignment="1">
      <alignment horizontal="centerContinuous" vertical="center"/>
    </xf>
    <xf numFmtId="39" fontId="3" fillId="6" borderId="4" xfId="0" applyNumberFormat="1" applyFont="1" applyFill="1" applyBorder="1" applyAlignment="1">
      <alignment horizontal="centerContinuous" vertical="center"/>
    </xf>
    <xf numFmtId="0" fontId="3" fillId="6" borderId="4" xfId="0" applyFont="1" applyFill="1" applyBorder="1" applyAlignment="1">
      <alignment horizontal="centerContinuous" vertical="center"/>
    </xf>
    <xf numFmtId="37" fontId="3" fillId="6" borderId="5" xfId="0" applyNumberFormat="1" applyFont="1" applyFill="1" applyBorder="1" applyAlignment="1">
      <alignment horizontal="centerContinuous" vertical="center"/>
    </xf>
    <xf numFmtId="39" fontId="5" fillId="0" borderId="17" xfId="0" applyNumberFormat="1" applyFont="1" applyBorder="1" applyAlignment="1">
      <alignment horizontal="center" vertical="center"/>
    </xf>
    <xf numFmtId="39" fontId="5" fillId="0" borderId="15" xfId="0" applyNumberFormat="1" applyFont="1" applyBorder="1" applyAlignment="1">
      <alignment horizontal="center" vertical="center"/>
    </xf>
    <xf numFmtId="0" fontId="6" fillId="4" borderId="3" xfId="0" applyFont="1" applyFill="1" applyBorder="1" applyAlignment="1">
      <alignment horizontal="centerContinuous" vertical="center"/>
    </xf>
    <xf numFmtId="0" fontId="6" fillId="4" borderId="4" xfId="0" applyFont="1" applyFill="1" applyBorder="1" applyAlignment="1">
      <alignment horizontal="centerContinuous" vertical="center"/>
    </xf>
    <xf numFmtId="0" fontId="6" fillId="4" borderId="5" xfId="0" applyFont="1" applyFill="1" applyBorder="1" applyAlignment="1">
      <alignment horizontal="centerContinuous" vertical="center"/>
    </xf>
    <xf numFmtId="0" fontId="5" fillId="5" borderId="1" xfId="0" applyFont="1" applyFill="1" applyBorder="1" applyAlignment="1">
      <alignment horizontal="centerContinuous" vertical="center"/>
    </xf>
    <xf numFmtId="39" fontId="5" fillId="0" borderId="24" xfId="0" applyNumberFormat="1" applyFont="1" applyBorder="1" applyAlignment="1">
      <alignment horizontal="center" vertical="center"/>
    </xf>
    <xf numFmtId="0" fontId="5" fillId="5" borderId="28" xfId="0" applyFont="1" applyFill="1" applyBorder="1" applyAlignment="1">
      <alignment horizontal="center" vertical="center"/>
    </xf>
    <xf numFmtId="166" fontId="0" fillId="0" borderId="6" xfId="0" applyNumberFormat="1" applyBorder="1" applyAlignment="1">
      <alignment vertical="center"/>
    </xf>
    <xf numFmtId="37" fontId="0" fillId="0" borderId="16" xfId="0" applyNumberFormat="1" applyBorder="1" applyAlignment="1">
      <alignment vertical="center"/>
    </xf>
    <xf numFmtId="37" fontId="0" fillId="0" borderId="17" xfId="0" applyNumberFormat="1" applyBorder="1" applyAlignment="1">
      <alignment vertical="center"/>
    </xf>
    <xf numFmtId="37" fontId="0" fillId="0" borderId="2" xfId="0" applyNumberFormat="1" applyBorder="1" applyAlignment="1">
      <alignment vertical="center"/>
    </xf>
    <xf numFmtId="37" fontId="0" fillId="0" borderId="1" xfId="0" applyNumberFormat="1" applyBorder="1" applyAlignment="1">
      <alignment vertical="center"/>
    </xf>
    <xf numFmtId="37" fontId="0" fillId="0" borderId="7" xfId="0" applyNumberFormat="1" applyBorder="1" applyAlignment="1">
      <alignment vertical="center"/>
    </xf>
    <xf numFmtId="0" fontId="0" fillId="0" borderId="6" xfId="0" quotePrefix="1" applyBorder="1" applyAlignment="1">
      <alignment vertical="center"/>
    </xf>
    <xf numFmtId="166" fontId="0" fillId="0" borderId="8" xfId="0" applyNumberFormat="1" applyBorder="1" applyAlignment="1">
      <alignment vertical="center"/>
    </xf>
    <xf numFmtId="39" fontId="8" fillId="6" borderId="4" xfId="0" applyNumberFormat="1" applyFont="1" applyFill="1" applyBorder="1" applyAlignment="1">
      <alignment horizontal="centerContinuous" vertical="center"/>
    </xf>
    <xf numFmtId="0" fontId="8" fillId="6" borderId="4" xfId="0" applyFont="1" applyFill="1" applyBorder="1" applyAlignment="1">
      <alignment horizontal="centerContinuous" vertical="center"/>
    </xf>
    <xf numFmtId="37" fontId="8" fillId="6" borderId="5" xfId="0" applyNumberFormat="1" applyFont="1" applyFill="1" applyBorder="1" applyAlignment="1">
      <alignment horizontal="centerContinuous" vertical="center"/>
    </xf>
    <xf numFmtId="39" fontId="4" fillId="0" borderId="17" xfId="0" applyNumberFormat="1" applyFont="1" applyBorder="1" applyAlignment="1">
      <alignment horizontal="center" vertical="center"/>
    </xf>
    <xf numFmtId="39" fontId="4" fillId="0" borderId="15" xfId="0" applyNumberFormat="1" applyFont="1" applyBorder="1" applyAlignment="1">
      <alignment horizontal="center" vertical="center"/>
    </xf>
    <xf numFmtId="0" fontId="9" fillId="4" borderId="3" xfId="0" applyFont="1" applyFill="1" applyBorder="1" applyAlignment="1">
      <alignment horizontal="centerContinuous" vertical="center"/>
    </xf>
    <xf numFmtId="0" fontId="9" fillId="4" borderId="4" xfId="0" applyFont="1" applyFill="1" applyBorder="1" applyAlignment="1">
      <alignment horizontal="centerContinuous" vertical="center"/>
    </xf>
    <xf numFmtId="0" fontId="9" fillId="4" borderId="5" xfId="0" applyFont="1" applyFill="1" applyBorder="1" applyAlignment="1">
      <alignment horizontal="centerContinuous" vertical="center"/>
    </xf>
    <xf numFmtId="0" fontId="4" fillId="5" borderId="1" xfId="0" applyFont="1" applyFill="1" applyBorder="1" applyAlignment="1">
      <alignment horizontal="centerContinuous" vertical="center"/>
    </xf>
    <xf numFmtId="0" fontId="4" fillId="0" borderId="8" xfId="0" applyFont="1" applyBorder="1" applyAlignment="1">
      <alignment vertical="center"/>
    </xf>
    <xf numFmtId="0" fontId="4" fillId="5" borderId="28"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8" xfId="0" applyFont="1" applyFill="1" applyBorder="1" applyAlignment="1">
      <alignment horizontal="center" vertical="center"/>
    </xf>
    <xf numFmtId="0" fontId="4" fillId="0" borderId="2" xfId="0" applyFont="1" applyBorder="1" applyAlignment="1">
      <alignment horizontal="center" vertical="center"/>
    </xf>
    <xf numFmtId="37" fontId="0" fillId="0" borderId="17" xfId="0" applyNumberFormat="1" applyBorder="1" applyAlignment="1">
      <alignment horizontal="right"/>
    </xf>
    <xf numFmtId="0" fontId="4" fillId="0" borderId="9" xfId="0" applyFont="1" applyBorder="1" applyAlignment="1">
      <alignment horizontal="center" vertical="center"/>
    </xf>
    <xf numFmtId="37" fontId="0" fillId="0" borderId="14" xfId="0" applyNumberFormat="1" applyBorder="1" applyAlignment="1">
      <alignment vertical="center"/>
    </xf>
    <xf numFmtId="37" fontId="0" fillId="0" borderId="24" xfId="0" applyNumberFormat="1" applyBorder="1" applyAlignment="1">
      <alignment horizontal="right"/>
    </xf>
    <xf numFmtId="0" fontId="0" fillId="0" borderId="2" xfId="0" applyBorder="1" applyAlignment="1">
      <alignment vertical="center"/>
    </xf>
    <xf numFmtId="166" fontId="0" fillId="0" borderId="0" xfId="0" applyNumberFormat="1" applyAlignment="1">
      <alignment horizontal="right"/>
    </xf>
    <xf numFmtId="0" fontId="0" fillId="0" borderId="16" xfId="0" applyBorder="1" applyAlignment="1">
      <alignment horizontal="right"/>
    </xf>
    <xf numFmtId="0" fontId="4" fillId="0" borderId="7" xfId="0" applyFont="1" applyBorder="1" applyAlignment="1">
      <alignment horizontal="center" vertical="center"/>
    </xf>
    <xf numFmtId="37" fontId="0" fillId="0" borderId="15" xfId="0" applyNumberFormat="1" applyBorder="1" applyAlignment="1">
      <alignment horizontal="right"/>
    </xf>
    <xf numFmtId="0" fontId="0" fillId="0" borderId="9" xfId="0" applyBorder="1" applyAlignment="1">
      <alignment vertical="center"/>
    </xf>
    <xf numFmtId="0" fontId="3" fillId="0" borderId="0" xfId="0" applyFont="1" applyAlignment="1">
      <alignment horizontal="centerContinuous"/>
    </xf>
    <xf numFmtId="0" fontId="0" fillId="0" borderId="0" xfId="0" applyAlignment="1">
      <alignment horizontal="centerContinuous"/>
    </xf>
    <xf numFmtId="0" fontId="5" fillId="5" borderId="29"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0" fontId="5" fillId="5" borderId="0" xfId="0" applyFont="1" applyFill="1" applyAlignment="1">
      <alignment horizontal="center" vertical="center"/>
    </xf>
    <xf numFmtId="0" fontId="0" fillId="0" borderId="6" xfId="0" applyBorder="1" applyAlignment="1">
      <alignment horizontal="center"/>
    </xf>
    <xf numFmtId="0" fontId="0" fillId="0" borderId="0" xfId="0" applyAlignment="1">
      <alignment horizontal="center"/>
    </xf>
    <xf numFmtId="0" fontId="0" fillId="0" borderId="6" xfId="0" applyBorder="1"/>
    <xf numFmtId="37" fontId="0" fillId="0" borderId="0" xfId="0" applyNumberFormat="1"/>
    <xf numFmtId="37" fontId="0" fillId="0" borderId="15" xfId="0" applyNumberFormat="1" applyBorder="1"/>
    <xf numFmtId="0" fontId="0" fillId="0" borderId="2" xfId="0" applyBorder="1"/>
    <xf numFmtId="0" fontId="0" fillId="0" borderId="16" xfId="0" applyBorder="1"/>
    <xf numFmtId="39" fontId="0" fillId="0" borderId="1" xfId="0" applyNumberFormat="1" applyBorder="1" applyAlignment="1">
      <alignment vertical="center"/>
    </xf>
    <xf numFmtId="0" fontId="0" fillId="0" borderId="7" xfId="0" applyBorder="1"/>
    <xf numFmtId="0" fontId="0" fillId="0" borderId="9" xfId="0" applyBorder="1"/>
    <xf numFmtId="0" fontId="0" fillId="0" borderId="14" xfId="0" applyBorder="1"/>
    <xf numFmtId="165" fontId="0" fillId="0" borderId="0" xfId="0" applyNumberFormat="1"/>
    <xf numFmtId="0" fontId="3" fillId="6" borderId="3" xfId="0" applyFont="1" applyFill="1" applyBorder="1" applyAlignment="1">
      <alignment horizontal="center"/>
    </xf>
    <xf numFmtId="165" fontId="3" fillId="6" borderId="4" xfId="0" applyNumberFormat="1" applyFont="1" applyFill="1" applyBorder="1" applyAlignment="1">
      <alignment horizontal="center"/>
    </xf>
    <xf numFmtId="0" fontId="3" fillId="6" borderId="4" xfId="0" applyFont="1" applyFill="1" applyBorder="1" applyAlignment="1">
      <alignment horizontal="center"/>
    </xf>
    <xf numFmtId="0" fontId="3" fillId="6" borderId="5" xfId="0" applyFont="1" applyFill="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37" fontId="0" fillId="0" borderId="2" xfId="0" applyNumberFormat="1" applyBorder="1"/>
    <xf numFmtId="37" fontId="0" fillId="0" borderId="16" xfId="0" applyNumberFormat="1" applyBorder="1"/>
    <xf numFmtId="37" fontId="0" fillId="0" borderId="17" xfId="0" applyNumberFormat="1" applyBorder="1"/>
    <xf numFmtId="37" fontId="0" fillId="0" borderId="7" xfId="0" applyNumberFormat="1" applyBorder="1"/>
    <xf numFmtId="0" fontId="3" fillId="6" borderId="2" xfId="0" applyFont="1" applyFill="1" applyBorder="1" applyAlignment="1">
      <alignment horizontal="center" vertical="center"/>
    </xf>
    <xf numFmtId="39" fontId="8" fillId="6" borderId="4" xfId="0" applyNumberFormat="1" applyFont="1" applyFill="1" applyBorder="1" applyAlignment="1">
      <alignment horizontal="center" vertical="center"/>
    </xf>
    <xf numFmtId="0" fontId="8" fillId="6" borderId="4" xfId="0" applyFont="1" applyFill="1" applyBorder="1" applyAlignment="1">
      <alignment horizontal="center" vertical="center"/>
    </xf>
    <xf numFmtId="37" fontId="8" fillId="6" borderId="5" xfId="0" applyNumberFormat="1" applyFont="1" applyFill="1" applyBorder="1" applyAlignment="1">
      <alignment horizontal="center"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5" xfId="0" applyFont="1" applyBorder="1" applyAlignment="1">
      <alignment vertical="center"/>
    </xf>
    <xf numFmtId="0" fontId="9" fillId="4" borderId="3"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19" xfId="0" applyFont="1" applyFill="1" applyBorder="1" applyAlignment="1">
      <alignment horizontal="center" vertical="center"/>
    </xf>
    <xf numFmtId="0" fontId="4" fillId="5" borderId="20" xfId="0" applyFont="1" applyFill="1" applyBorder="1" applyAlignment="1">
      <alignment horizontal="center" vertical="center"/>
    </xf>
    <xf numFmtId="0" fontId="4" fillId="5" borderId="0" xfId="0" applyFont="1" applyFill="1" applyAlignment="1">
      <alignment horizontal="center" vertical="center"/>
    </xf>
    <xf numFmtId="0" fontId="4" fillId="5" borderId="6" xfId="0" applyFont="1" applyFill="1" applyBorder="1" applyAlignment="1">
      <alignment horizontal="center" vertical="center"/>
    </xf>
    <xf numFmtId="166" fontId="0" fillId="0" borderId="2" xfId="0" applyNumberFormat="1" applyBorder="1" applyAlignment="1">
      <alignment vertical="center"/>
    </xf>
    <xf numFmtId="166" fontId="0" fillId="0" borderId="9" xfId="0" applyNumberFormat="1" applyBorder="1" applyAlignment="1">
      <alignment vertical="center"/>
    </xf>
    <xf numFmtId="37" fontId="0" fillId="0" borderId="9" xfId="0" applyNumberFormat="1" applyBorder="1"/>
    <xf numFmtId="37" fontId="0" fillId="0" borderId="14" xfId="0" applyNumberFormat="1" applyBorder="1"/>
    <xf numFmtId="37" fontId="0" fillId="0" borderId="24" xfId="0" applyNumberFormat="1" applyBorder="1"/>
    <xf numFmtId="166" fontId="0" fillId="0" borderId="16" xfId="0" applyNumberFormat="1" applyBorder="1" applyAlignment="1">
      <alignment horizontal="right"/>
    </xf>
    <xf numFmtId="0" fontId="5" fillId="0" borderId="0" xfId="0" applyFont="1" applyAlignment="1">
      <alignment vertical="center"/>
    </xf>
    <xf numFmtId="0" fontId="0" fillId="3" borderId="0" xfId="0" applyFill="1" applyAlignment="1">
      <alignment vertical="center"/>
    </xf>
    <xf numFmtId="0" fontId="2" fillId="3" borderId="0" xfId="0" applyFont="1" applyFill="1" applyAlignment="1">
      <alignment horizontal="center" vertical="center"/>
    </xf>
    <xf numFmtId="0" fontId="11" fillId="3" borderId="0" xfId="0" applyFont="1" applyFill="1" applyAlignment="1">
      <alignment horizontal="center" vertical="center"/>
    </xf>
    <xf numFmtId="0" fontId="0" fillId="3" borderId="0" xfId="0" applyFill="1" applyAlignment="1">
      <alignment vertical="center" wrapText="1"/>
    </xf>
    <xf numFmtId="0" fontId="0" fillId="3" borderId="0" xfId="0" applyFill="1" applyAlignment="1">
      <alignment horizontal="center" vertical="center"/>
    </xf>
    <xf numFmtId="167" fontId="0" fillId="3" borderId="0" xfId="0" applyNumberFormat="1" applyFill="1" applyAlignment="1">
      <alignment horizontal="center" vertical="center"/>
    </xf>
    <xf numFmtId="167" fontId="2" fillId="3" borderId="0" xfId="0" applyNumberFormat="1" applyFont="1" applyFill="1" applyAlignment="1">
      <alignment horizontal="center" vertical="center"/>
    </xf>
    <xf numFmtId="0" fontId="14" fillId="7" borderId="0" xfId="0" applyFont="1" applyFill="1"/>
    <xf numFmtId="0" fontId="15" fillId="8" borderId="30" xfId="0" applyFont="1" applyFill="1" applyBorder="1"/>
    <xf numFmtId="0" fontId="15" fillId="8" borderId="31" xfId="0" applyFont="1" applyFill="1" applyBorder="1"/>
    <xf numFmtId="0" fontId="16" fillId="9" borderId="32" xfId="0" applyFont="1" applyFill="1" applyBorder="1"/>
    <xf numFmtId="0" fontId="14" fillId="7" borderId="33" xfId="0" applyFont="1" applyFill="1" applyBorder="1"/>
    <xf numFmtId="3" fontId="14" fillId="7" borderId="33" xfId="0" applyNumberFormat="1" applyFont="1" applyFill="1" applyBorder="1"/>
    <xf numFmtId="0" fontId="14" fillId="7" borderId="34" xfId="0" applyFont="1" applyFill="1" applyBorder="1"/>
    <xf numFmtId="3" fontId="14" fillId="7" borderId="34" xfId="0" applyNumberFormat="1" applyFont="1" applyFill="1" applyBorder="1"/>
    <xf numFmtId="3" fontId="17" fillId="7" borderId="34" xfId="0" applyNumberFormat="1" applyFont="1" applyFill="1" applyBorder="1"/>
    <xf numFmtId="0" fontId="16" fillId="9" borderId="35" xfId="0" applyFont="1" applyFill="1" applyBorder="1"/>
    <xf numFmtId="0" fontId="14" fillId="7" borderId="36" xfId="0" applyFont="1" applyFill="1" applyBorder="1"/>
    <xf numFmtId="3" fontId="14" fillId="7" borderId="36" xfId="0" applyNumberFormat="1" applyFont="1" applyFill="1" applyBorder="1"/>
    <xf numFmtId="0" fontId="14" fillId="7" borderId="37" xfId="0" applyFont="1" applyFill="1" applyBorder="1"/>
    <xf numFmtId="3" fontId="14" fillId="7" borderId="37" xfId="0" applyNumberFormat="1" applyFont="1" applyFill="1" applyBorder="1"/>
    <xf numFmtId="0" fontId="17" fillId="7" borderId="37" xfId="0" applyFont="1" applyFill="1" applyBorder="1"/>
    <xf numFmtId="3" fontId="17" fillId="7" borderId="37" xfId="0" applyNumberFormat="1" applyFont="1" applyFill="1" applyBorder="1"/>
    <xf numFmtId="3" fontId="14" fillId="7" borderId="38" xfId="0" applyNumberFormat="1" applyFont="1" applyFill="1" applyBorder="1"/>
    <xf numFmtId="3" fontId="14" fillId="7" borderId="39" xfId="0" applyNumberFormat="1" applyFont="1" applyFill="1" applyBorder="1"/>
    <xf numFmtId="0" fontId="17" fillId="7" borderId="39" xfId="0" applyFont="1" applyFill="1" applyBorder="1"/>
    <xf numFmtId="3" fontId="17" fillId="7" borderId="39" xfId="0" applyNumberFormat="1" applyFont="1" applyFill="1" applyBorder="1"/>
    <xf numFmtId="0" fontId="18" fillId="0" borderId="0" xfId="0" applyFont="1"/>
    <xf numFmtId="0" fontId="14" fillId="10" borderId="40" xfId="0" applyFont="1" applyFill="1" applyBorder="1"/>
    <xf numFmtId="0" fontId="14" fillId="10" borderId="41" xfId="0" applyFont="1" applyFill="1" applyBorder="1"/>
    <xf numFmtId="0" fontId="14" fillId="10" borderId="0" xfId="0" applyFont="1" applyFill="1"/>
    <xf numFmtId="0" fontId="14" fillId="10" borderId="42" xfId="0" applyFont="1" applyFill="1" applyBorder="1"/>
    <xf numFmtId="0" fontId="14" fillId="10" borderId="43" xfId="0" applyFont="1" applyFill="1" applyBorder="1"/>
    <xf numFmtId="0" fontId="17" fillId="7" borderId="44" xfId="0" applyFont="1" applyFill="1" applyBorder="1"/>
    <xf numFmtId="0" fontId="17" fillId="7" borderId="45" xfId="0" applyFont="1" applyFill="1" applyBorder="1"/>
    <xf numFmtId="0" fontId="17" fillId="7" borderId="43" xfId="0" applyFont="1" applyFill="1" applyBorder="1"/>
    <xf numFmtId="0" fontId="17" fillId="7" borderId="41" xfId="0" applyFont="1" applyFill="1" applyBorder="1"/>
    <xf numFmtId="0" fontId="19" fillId="7" borderId="46" xfId="0" applyFont="1" applyFill="1" applyBorder="1"/>
    <xf numFmtId="16" fontId="16" fillId="9" borderId="32" xfId="0" applyNumberFormat="1" applyFont="1" applyFill="1" applyBorder="1"/>
    <xf numFmtId="16" fontId="16" fillId="9" borderId="35" xfId="0" applyNumberFormat="1" applyFont="1" applyFill="1" applyBorder="1"/>
    <xf numFmtId="0" fontId="20" fillId="7" borderId="0" xfId="0" applyFont="1" applyFill="1"/>
    <xf numFmtId="0" fontId="16" fillId="11" borderId="47" xfId="0" applyFont="1" applyFill="1" applyBorder="1"/>
    <xf numFmtId="0" fontId="16" fillId="11" borderId="48" xfId="0" applyFont="1" applyFill="1" applyBorder="1"/>
    <xf numFmtId="0" fontId="16" fillId="7" borderId="0" xfId="0" applyFont="1" applyFill="1"/>
    <xf numFmtId="0" fontId="14" fillId="0" borderId="0" xfId="0" applyFont="1"/>
    <xf numFmtId="167" fontId="0" fillId="3" borderId="0" xfId="0" applyNumberFormat="1" applyFill="1" applyAlignment="1">
      <alignment vertical="center"/>
    </xf>
    <xf numFmtId="0" fontId="15" fillId="8" borderId="47" xfId="0" applyFont="1" applyFill="1" applyBorder="1"/>
    <xf numFmtId="0" fontId="15" fillId="8" borderId="48" xfId="0" applyFont="1" applyFill="1" applyBorder="1"/>
    <xf numFmtId="0" fontId="16" fillId="11" borderId="49" xfId="0" applyFont="1" applyFill="1" applyBorder="1"/>
    <xf numFmtId="0" fontId="16" fillId="11" borderId="50" xfId="0" applyFont="1" applyFill="1" applyBorder="1"/>
    <xf numFmtId="0" fontId="17" fillId="7" borderId="38" xfId="0" applyFont="1" applyFill="1" applyBorder="1"/>
    <xf numFmtId="0" fontId="21" fillId="0" borderId="0" xfId="0" applyFont="1" applyAlignment="1">
      <alignment vertical="center"/>
    </xf>
    <xf numFmtId="0" fontId="21" fillId="0" borderId="0" xfId="0" applyFont="1" applyAlignment="1">
      <alignment horizontal="center"/>
    </xf>
    <xf numFmtId="0" fontId="0" fillId="0" borderId="0" xfId="0" applyAlignment="1">
      <alignment horizontal="center" vertical="center"/>
    </xf>
    <xf numFmtId="0" fontId="21" fillId="0" borderId="0" xfId="0" applyFont="1" applyAlignment="1">
      <alignment horizontal="center" vertical="center"/>
    </xf>
    <xf numFmtId="0" fontId="21" fillId="0" borderId="0" xfId="0" applyFont="1"/>
    <xf numFmtId="0" fontId="21" fillId="12" borderId="0" xfId="0" applyFont="1" applyFill="1"/>
    <xf numFmtId="22" fontId="21" fillId="0" borderId="0" xfId="0" applyNumberFormat="1" applyFont="1"/>
    <xf numFmtId="9" fontId="21" fillId="0" borderId="0" xfId="0" applyNumberFormat="1" applyFont="1" applyAlignment="1">
      <alignment horizontal="center"/>
    </xf>
    <xf numFmtId="22" fontId="21" fillId="0" borderId="0" xfId="0" applyNumberFormat="1" applyFont="1" applyAlignment="1">
      <alignment vertical="center"/>
    </xf>
    <xf numFmtId="0" fontId="22" fillId="13" borderId="0" xfId="0" applyFont="1" applyFill="1" applyAlignment="1">
      <alignment horizontal="center" vertical="center" wrapText="1"/>
    </xf>
    <xf numFmtId="0" fontId="23" fillId="3" borderId="0" xfId="0" applyFont="1" applyFill="1"/>
    <xf numFmtId="0" fontId="24" fillId="3" borderId="0" xfId="0" applyFont="1" applyFill="1"/>
    <xf numFmtId="0" fontId="0" fillId="15" borderId="0" xfId="0" applyFill="1"/>
    <xf numFmtId="0" fontId="13" fillId="15" borderId="0" xfId="0" applyFont="1" applyFill="1"/>
    <xf numFmtId="0" fontId="25" fillId="15" borderId="0" xfId="0" applyFont="1" applyFill="1" applyAlignment="1">
      <alignment vertical="center"/>
    </xf>
    <xf numFmtId="0" fontId="26" fillId="15" borderId="0" xfId="0" applyFont="1" applyFill="1" applyAlignment="1">
      <alignment horizontal="right" vertical="top"/>
    </xf>
    <xf numFmtId="0" fontId="0" fillId="16" borderId="0" xfId="0" applyFill="1"/>
    <xf numFmtId="0" fontId="26" fillId="16" borderId="0" xfId="0" applyFont="1" applyFill="1" applyAlignment="1">
      <alignment horizontal="right" vertical="top"/>
    </xf>
    <xf numFmtId="0" fontId="0" fillId="17" borderId="0" xfId="0" applyFill="1" applyAlignment="1">
      <alignment vertical="center"/>
    </xf>
    <xf numFmtId="0" fontId="27" fillId="15" borderId="0" xfId="0" applyFont="1" applyFill="1"/>
    <xf numFmtId="0" fontId="28" fillId="15" borderId="0" xfId="0" applyFont="1" applyFill="1"/>
    <xf numFmtId="0" fontId="28" fillId="15" borderId="0" xfId="0" applyFont="1" applyFill="1" applyAlignment="1">
      <alignment horizontal="center" vertical="center"/>
    </xf>
    <xf numFmtId="0" fontId="30" fillId="15" borderId="0" xfId="0" applyFont="1" applyFill="1"/>
    <xf numFmtId="22" fontId="28" fillId="15" borderId="0" xfId="0" applyNumberFormat="1" applyFont="1" applyFill="1" applyAlignment="1">
      <alignment horizontal="center" vertical="center"/>
    </xf>
    <xf numFmtId="22" fontId="13" fillId="15" borderId="0" xfId="0" applyNumberFormat="1" applyFont="1" applyFill="1"/>
    <xf numFmtId="0" fontId="30" fillId="15" borderId="0" xfId="0" applyFont="1" applyFill="1" applyAlignment="1">
      <alignment horizontal="right"/>
    </xf>
    <xf numFmtId="0" fontId="27" fillId="18" borderId="0" xfId="0" applyFont="1" applyFill="1" applyAlignment="1">
      <alignment horizontal="center" vertical="center" wrapText="1"/>
    </xf>
    <xf numFmtId="0" fontId="28" fillId="19" borderId="0" xfId="0" applyFont="1" applyFill="1" applyAlignment="1">
      <alignment horizontal="center" vertical="center" wrapText="1"/>
    </xf>
    <xf numFmtId="0" fontId="28" fillId="20" borderId="0" xfId="0" applyFont="1" applyFill="1" applyAlignment="1">
      <alignment horizontal="center" vertical="center" wrapText="1"/>
    </xf>
    <xf numFmtId="0" fontId="28" fillId="21" borderId="0" xfId="0" applyFont="1" applyFill="1" applyAlignment="1">
      <alignment horizontal="center" vertical="center" wrapText="1"/>
    </xf>
    <xf numFmtId="0" fontId="29" fillId="3" borderId="0" xfId="0" applyFont="1" applyFill="1" applyAlignment="1">
      <alignment vertical="center"/>
    </xf>
    <xf numFmtId="0" fontId="29" fillId="3" borderId="0" xfId="0" applyFont="1" applyFill="1" applyAlignment="1">
      <alignment vertical="center" wrapText="1"/>
    </xf>
    <xf numFmtId="0" fontId="31" fillId="3" borderId="0" xfId="0" applyFont="1" applyFill="1"/>
    <xf numFmtId="0" fontId="33" fillId="13" borderId="0" xfId="1" applyFont="1" applyFill="1" applyAlignment="1">
      <alignment horizontal="center" vertical="center"/>
    </xf>
    <xf numFmtId="0" fontId="32" fillId="13" borderId="0" xfId="0" applyFont="1" applyFill="1" applyAlignment="1">
      <alignment horizontal="center" vertical="center"/>
    </xf>
    <xf numFmtId="0" fontId="33" fillId="14" borderId="0" xfId="1" applyFont="1" applyFill="1" applyAlignment="1">
      <alignment horizontal="center" vertical="center"/>
    </xf>
    <xf numFmtId="0" fontId="34" fillId="15" borderId="0" xfId="0" applyFont="1" applyFill="1" applyAlignment="1">
      <alignment vertical="center"/>
    </xf>
    <xf numFmtId="0" fontId="35" fillId="14" borderId="0" xfId="0" applyFont="1" applyFill="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vertical="center" wrapText="1"/>
    </xf>
    <xf numFmtId="0" fontId="36" fillId="0" borderId="0" xfId="0" applyFont="1" applyAlignment="1">
      <alignment vertical="center" wrapText="1"/>
    </xf>
    <xf numFmtId="0" fontId="37" fillId="3" borderId="0" xfId="0" applyFont="1" applyFill="1" applyAlignment="1">
      <alignment vertical="center" wrapText="1"/>
    </xf>
    <xf numFmtId="0" fontId="38" fillId="3" borderId="0" xfId="0" applyFont="1" applyFill="1"/>
    <xf numFmtId="0" fontId="32" fillId="13" borderId="0" xfId="0" applyFont="1" applyFill="1" applyAlignment="1">
      <alignment horizontal="center" vertical="center" wrapText="1"/>
    </xf>
    <xf numFmtId="0" fontId="39" fillId="0" borderId="0" xfId="0" applyFont="1"/>
    <xf numFmtId="0" fontId="0" fillId="17" borderId="0" xfId="0" applyFill="1"/>
    <xf numFmtId="0" fontId="0" fillId="0" borderId="51" xfId="0" applyBorder="1"/>
    <xf numFmtId="0" fontId="0" fillId="0" borderId="52" xfId="0" applyBorder="1"/>
    <xf numFmtId="0" fontId="0" fillId="0" borderId="53" xfId="0" applyBorder="1"/>
    <xf numFmtId="0" fontId="0" fillId="0" borderId="54" xfId="0" applyBorder="1"/>
    <xf numFmtId="0" fontId="0" fillId="0" borderId="55" xfId="0" applyBorder="1"/>
    <xf numFmtId="0" fontId="40" fillId="17" borderId="54" xfId="0" applyFont="1" applyFill="1" applyBorder="1"/>
    <xf numFmtId="0" fontId="39" fillId="17" borderId="54" xfId="0" applyFont="1" applyFill="1" applyBorder="1"/>
    <xf numFmtId="0" fontId="0" fillId="22" borderId="0" xfId="0" applyFill="1"/>
    <xf numFmtId="0" fontId="0" fillId="0" borderId="56" xfId="0" applyBorder="1"/>
    <xf numFmtId="0" fontId="0" fillId="0" borderId="46" xfId="0" applyBorder="1"/>
    <xf numFmtId="0" fontId="0" fillId="0" borderId="57" xfId="0" applyBorder="1"/>
    <xf numFmtId="22" fontId="0" fillId="0" borderId="0" xfId="0" applyNumberFormat="1"/>
    <xf numFmtId="16" fontId="0" fillId="0" borderId="0" xfId="0" applyNumberFormat="1"/>
    <xf numFmtId="0" fontId="0" fillId="23" borderId="0" xfId="0" applyFill="1"/>
    <xf numFmtId="0" fontId="1" fillId="0" borderId="0" xfId="0" applyFont="1" applyAlignment="1">
      <alignment horizontal="center" vertical="center" wrapText="1"/>
    </xf>
    <xf numFmtId="0" fontId="41" fillId="0" borderId="0" xfId="0" applyFont="1" applyAlignment="1">
      <alignment horizontal="center" vertical="center" wrapText="1"/>
    </xf>
    <xf numFmtId="22" fontId="1" fillId="0" borderId="0" xfId="0" applyNumberFormat="1" applyFont="1" applyAlignment="1">
      <alignment horizontal="center" vertical="center" wrapText="1"/>
    </xf>
    <xf numFmtId="0" fontId="1" fillId="0" borderId="0" xfId="0" applyFont="1"/>
    <xf numFmtId="0" fontId="1" fillId="0" borderId="0" xfId="0" applyFont="1" applyAlignment="1">
      <alignment horizontal="center" vertical="center"/>
    </xf>
    <xf numFmtId="0" fontId="41" fillId="0" borderId="0" xfId="0" applyFont="1" applyAlignment="1">
      <alignment horizontal="center" vertical="center"/>
    </xf>
    <xf numFmtId="22" fontId="1" fillId="0" borderId="0" xfId="0" applyNumberFormat="1" applyFont="1"/>
    <xf numFmtId="164" fontId="1" fillId="0" borderId="0" xfId="0" applyNumberFormat="1" applyFont="1"/>
    <xf numFmtId="14" fontId="1" fillId="0" borderId="0" xfId="0" applyNumberFormat="1" applyFont="1"/>
    <xf numFmtId="0" fontId="1" fillId="17" borderId="0" xfId="0" applyFont="1" applyFill="1"/>
    <xf numFmtId="0" fontId="41" fillId="17" borderId="0" xfId="0" applyFont="1" applyFill="1" applyAlignment="1">
      <alignment horizontal="center" vertical="center"/>
    </xf>
    <xf numFmtId="0" fontId="1" fillId="0" borderId="0" xfId="0" applyFont="1" applyAlignment="1">
      <alignment horizontal="center"/>
    </xf>
    <xf numFmtId="0" fontId="1" fillId="24" borderId="0" xfId="0" applyFont="1" applyFill="1"/>
    <xf numFmtId="0" fontId="41" fillId="0" borderId="0" xfId="0" applyFont="1" applyAlignment="1">
      <alignment horizontal="center"/>
    </xf>
    <xf numFmtId="0" fontId="32" fillId="25" borderId="0" xfId="0" applyFont="1" applyFill="1" applyAlignment="1">
      <alignment horizontal="center" vertical="center"/>
    </xf>
    <xf numFmtId="0" fontId="33" fillId="25" borderId="0" xfId="1" applyFont="1" applyFill="1" applyAlignment="1">
      <alignment horizontal="center" vertical="center"/>
    </xf>
    <xf numFmtId="0" fontId="32" fillId="2" borderId="0" xfId="0" applyFont="1" applyFill="1" applyAlignment="1">
      <alignment horizontal="center" vertical="center"/>
    </xf>
    <xf numFmtId="0" fontId="0" fillId="26" borderId="0" xfId="0" applyFill="1"/>
    <xf numFmtId="0" fontId="0" fillId="3" borderId="0" xfId="0" applyFill="1" applyAlignment="1">
      <alignment wrapText="1"/>
    </xf>
    <xf numFmtId="0" fontId="0" fillId="3" borderId="0" xfId="0" applyFill="1" applyAlignment="1">
      <alignment horizontal="center" vertical="center" wrapText="1"/>
    </xf>
    <xf numFmtId="0" fontId="0" fillId="18" borderId="0" xfId="0" applyFill="1" applyAlignment="1">
      <alignment horizontal="center" vertical="center" wrapText="1"/>
    </xf>
    <xf numFmtId="0" fontId="44" fillId="15" borderId="0" xfId="0" applyFont="1" applyFill="1" applyAlignment="1">
      <alignment horizontal="left" vertical="center"/>
    </xf>
    <xf numFmtId="0" fontId="0" fillId="14" borderId="0" xfId="0" applyFill="1" applyAlignment="1">
      <alignment horizontal="center" vertical="center" wrapText="1"/>
    </xf>
    <xf numFmtId="0" fontId="13" fillId="22" borderId="0" xfId="0" applyFont="1" applyFill="1" applyAlignment="1">
      <alignment horizontal="center" vertical="center"/>
    </xf>
    <xf numFmtId="0" fontId="43" fillId="15" borderId="0" xfId="0" applyFont="1" applyFill="1" applyAlignment="1">
      <alignment horizontal="center" vertical="center"/>
    </xf>
    <xf numFmtId="0" fontId="43" fillId="19" borderId="0" xfId="0" applyFont="1" applyFill="1" applyAlignment="1">
      <alignment horizontal="center" vertical="center"/>
    </xf>
    <xf numFmtId="0" fontId="45" fillId="15" borderId="0" xfId="0" applyFont="1" applyFill="1" applyAlignment="1">
      <alignment horizontal="left" vertical="center"/>
    </xf>
    <xf numFmtId="0" fontId="42" fillId="0" borderId="0" xfId="0" applyFont="1" applyAlignment="1">
      <alignment horizontal="left" vertical="center"/>
    </xf>
    <xf numFmtId="0" fontId="46" fillId="27" borderId="58" xfId="0" applyFont="1" applyFill="1" applyBorder="1"/>
    <xf numFmtId="0" fontId="46" fillId="27" borderId="59" xfId="0" applyFont="1" applyFill="1" applyBorder="1"/>
    <xf numFmtId="0" fontId="18" fillId="28" borderId="60" xfId="0" applyFont="1" applyFill="1" applyBorder="1"/>
    <xf numFmtId="0" fontId="18" fillId="28" borderId="61" xfId="0" applyFont="1" applyFill="1" applyBorder="1"/>
    <xf numFmtId="0" fontId="18" fillId="29" borderId="60" xfId="0" applyFont="1" applyFill="1" applyBorder="1"/>
    <xf numFmtId="0" fontId="18" fillId="29" borderId="61" xfId="0" applyFont="1" applyFill="1" applyBorder="1"/>
    <xf numFmtId="0" fontId="18" fillId="28" borderId="62" xfId="0" applyFont="1" applyFill="1" applyBorder="1"/>
    <xf numFmtId="0" fontId="18" fillId="28" borderId="63" xfId="0" applyFont="1" applyFill="1" applyBorder="1"/>
    <xf numFmtId="0" fontId="18" fillId="29" borderId="61" xfId="0" applyFont="1" applyFill="1" applyBorder="1" applyAlignment="1">
      <alignment wrapText="1"/>
    </xf>
    <xf numFmtId="0" fontId="18" fillId="28" borderId="61" xfId="0" applyFont="1" applyFill="1" applyBorder="1" applyAlignment="1">
      <alignment wrapText="1"/>
    </xf>
    <xf numFmtId="0" fontId="0" fillId="17" borderId="0" xfId="0" applyFill="1" applyAlignment="1">
      <alignment horizontal="left" vertical="center"/>
    </xf>
    <xf numFmtId="0" fontId="47" fillId="0" borderId="0" xfId="0" applyFont="1"/>
    <xf numFmtId="0" fontId="47" fillId="0" borderId="0" xfId="0" applyFont="1" applyAlignment="1">
      <alignment horizontal="center"/>
    </xf>
    <xf numFmtId="0" fontId="48" fillId="0" borderId="0" xfId="0" applyFont="1" applyAlignment="1">
      <alignment horizontal="center" vertical="center"/>
    </xf>
    <xf numFmtId="0" fontId="47" fillId="24" borderId="0" xfId="0" applyFont="1" applyFill="1"/>
    <xf numFmtId="22" fontId="47" fillId="0" borderId="0" xfId="0" applyNumberFormat="1" applyFont="1"/>
    <xf numFmtId="0" fontId="49" fillId="0" borderId="0" xfId="0" applyFont="1"/>
    <xf numFmtId="0" fontId="2" fillId="0" borderId="64" xfId="0" applyFont="1" applyBorder="1" applyAlignment="1">
      <alignment horizontal="center" vertical="top"/>
    </xf>
    <xf numFmtId="0" fontId="2" fillId="2" borderId="64" xfId="0" applyFont="1" applyFill="1" applyBorder="1" applyAlignment="1">
      <alignment horizontal="center" vertical="top"/>
    </xf>
    <xf numFmtId="0" fontId="0" fillId="2" borderId="0" xfId="0" applyFill="1"/>
    <xf numFmtId="11" fontId="0" fillId="0" borderId="0" xfId="0" applyNumberFormat="1"/>
    <xf numFmtId="0" fontId="0" fillId="0" borderId="64" xfId="0" applyBorder="1"/>
    <xf numFmtId="22" fontId="0" fillId="0" borderId="64" xfId="0" applyNumberFormat="1" applyBorder="1"/>
    <xf numFmtId="11" fontId="0" fillId="0" borderId="64" xfId="0" applyNumberFormat="1" applyBorder="1"/>
    <xf numFmtId="0" fontId="2" fillId="30" borderId="64" xfId="0" applyFont="1" applyFill="1" applyBorder="1" applyAlignment="1">
      <alignment horizontal="center" vertical="top"/>
    </xf>
    <xf numFmtId="0" fontId="0" fillId="30" borderId="0" xfId="0" applyFill="1"/>
    <xf numFmtId="0" fontId="0" fillId="30" borderId="0" xfId="0" applyFill="1" applyAlignment="1">
      <alignment horizontal="left" vertical="center"/>
    </xf>
    <xf numFmtId="0" fontId="42" fillId="30" borderId="0" xfId="0" applyFont="1" applyFill="1"/>
    <xf numFmtId="0" fontId="50" fillId="30" borderId="0" xfId="0" applyFont="1" applyFill="1"/>
    <xf numFmtId="0" fontId="51" fillId="30" borderId="0" xfId="0" applyFont="1" applyFill="1"/>
    <xf numFmtId="0" fontId="51" fillId="30" borderId="0" xfId="0" applyFont="1" applyFill="1" applyAlignment="1">
      <alignment horizontal="left" vertical="center"/>
    </xf>
    <xf numFmtId="0" fontId="52" fillId="0" borderId="0" xfId="0" applyFont="1"/>
    <xf numFmtId="0" fontId="0" fillId="0" borderId="0" xfId="0" applyAlignment="1">
      <alignment horizontal="left"/>
    </xf>
    <xf numFmtId="0" fontId="53" fillId="30" borderId="0" xfId="0" applyFont="1" applyFill="1"/>
    <xf numFmtId="0" fontId="50" fillId="30" borderId="0" xfId="0" applyFont="1" applyFill="1" applyAlignment="1">
      <alignment wrapText="1"/>
    </xf>
    <xf numFmtId="0" fontId="2" fillId="0" borderId="0" xfId="0" applyFont="1" applyAlignment="1">
      <alignment horizontal="center" vertical="top"/>
    </xf>
    <xf numFmtId="0" fontId="0" fillId="0" borderId="0" xfId="0" applyAlignment="1">
      <alignment horizontal="center" vertical="center" wrapText="1"/>
    </xf>
    <xf numFmtId="0" fontId="0" fillId="0" borderId="66" xfId="0" applyBorder="1"/>
    <xf numFmtId="0" fontId="0" fillId="18" borderId="0" xfId="0" applyFill="1"/>
    <xf numFmtId="0" fontId="0" fillId="18" borderId="66" xfId="0" applyFill="1" applyBorder="1" applyAlignment="1">
      <alignment vertical="center"/>
    </xf>
    <xf numFmtId="0" fontId="0" fillId="17" borderId="66" xfId="0" applyFill="1" applyBorder="1" applyAlignment="1">
      <alignment vertical="center"/>
    </xf>
    <xf numFmtId="0" fontId="0" fillId="0" borderId="66" xfId="0" applyBorder="1" applyAlignment="1">
      <alignment horizontal="center" vertical="center"/>
    </xf>
    <xf numFmtId="0" fontId="0" fillId="18" borderId="66" xfId="0" applyFill="1" applyBorder="1" applyAlignment="1">
      <alignment horizontal="center" vertical="center"/>
    </xf>
    <xf numFmtId="0" fontId="0" fillId="17" borderId="66" xfId="0" applyFill="1" applyBorder="1" applyAlignment="1">
      <alignment horizontal="center" vertical="center"/>
    </xf>
    <xf numFmtId="2" fontId="0" fillId="17" borderId="66" xfId="0" applyNumberFormat="1" applyFill="1" applyBorder="1" applyAlignment="1">
      <alignment horizontal="center" vertical="center"/>
    </xf>
    <xf numFmtId="168" fontId="0" fillId="17" borderId="66" xfId="0" applyNumberFormat="1" applyFill="1" applyBorder="1" applyAlignment="1">
      <alignment horizontal="center" vertical="center"/>
    </xf>
    <xf numFmtId="2" fontId="0" fillId="18" borderId="66" xfId="0" applyNumberFormat="1" applyFill="1" applyBorder="1" applyAlignment="1">
      <alignment horizontal="center" vertical="center"/>
    </xf>
    <xf numFmtId="168" fontId="0" fillId="18" borderId="66" xfId="0" applyNumberFormat="1" applyFill="1" applyBorder="1" applyAlignment="1">
      <alignment horizontal="center" vertical="center"/>
    </xf>
    <xf numFmtId="0" fontId="57" fillId="0" borderId="0" xfId="0" applyFont="1" applyAlignment="1">
      <alignment horizontal="center" vertical="center" wrapText="1"/>
    </xf>
    <xf numFmtId="0" fontId="57" fillId="0" borderId="0" xfId="0" applyFont="1" applyAlignment="1">
      <alignment horizontal="center" vertical="center"/>
    </xf>
    <xf numFmtId="0" fontId="57" fillId="0" borderId="0" xfId="0" applyFont="1" applyAlignment="1">
      <alignment horizontal="left" vertical="center"/>
    </xf>
    <xf numFmtId="0" fontId="57" fillId="17" borderId="0" xfId="0" applyFont="1" applyFill="1" applyAlignment="1">
      <alignment horizontal="left" vertical="center"/>
    </xf>
    <xf numFmtId="0" fontId="57" fillId="0" borderId="0" xfId="0" applyFont="1" applyAlignment="1">
      <alignment horizontal="left" vertical="center" wrapText="1"/>
    </xf>
    <xf numFmtId="0" fontId="57" fillId="18" borderId="0" xfId="0" applyFont="1" applyFill="1" applyAlignment="1">
      <alignment horizontal="left" vertical="center" wrapText="1"/>
    </xf>
    <xf numFmtId="0" fontId="57" fillId="17" borderId="0" xfId="0" applyFont="1" applyFill="1" applyAlignment="1">
      <alignment horizontal="left" vertical="center" wrapText="1"/>
    </xf>
    <xf numFmtId="0" fontId="57" fillId="32" borderId="0" xfId="0" applyFont="1" applyFill="1" applyAlignment="1">
      <alignment horizontal="left" vertical="center"/>
    </xf>
    <xf numFmtId="0" fontId="57" fillId="18" borderId="0" xfId="0" applyFont="1" applyFill="1" applyAlignment="1">
      <alignment horizontal="left" vertical="center"/>
    </xf>
    <xf numFmtId="0" fontId="58" fillId="0" borderId="0" xfId="0" applyFont="1" applyAlignment="1">
      <alignment horizontal="left" vertical="center"/>
    </xf>
    <xf numFmtId="0" fontId="57" fillId="0" borderId="0" xfId="0" applyFont="1"/>
    <xf numFmtId="164" fontId="57" fillId="0" borderId="0" xfId="0" applyNumberFormat="1" applyFont="1" applyAlignment="1">
      <alignment horizontal="left" vertical="center"/>
    </xf>
    <xf numFmtId="0" fontId="0" fillId="0" borderId="66" xfId="0" applyBorder="1" applyAlignment="1">
      <alignment horizontal="center" vertical="center" wrapText="1"/>
    </xf>
    <xf numFmtId="2" fontId="59" fillId="17" borderId="66" xfId="0" applyNumberFormat="1" applyFont="1" applyFill="1" applyBorder="1" applyAlignment="1">
      <alignment horizontal="center" vertical="center"/>
    </xf>
    <xf numFmtId="168" fontId="59" fillId="17" borderId="66" xfId="0" applyNumberFormat="1" applyFont="1" applyFill="1" applyBorder="1" applyAlignment="1">
      <alignment horizontal="center" vertical="center"/>
    </xf>
    <xf numFmtId="0" fontId="59" fillId="18" borderId="66" xfId="0" applyFont="1" applyFill="1" applyBorder="1" applyAlignment="1">
      <alignment horizontal="center" vertical="center"/>
    </xf>
    <xf numFmtId="0" fontId="59" fillId="17" borderId="66" xfId="0" applyFont="1" applyFill="1" applyBorder="1" applyAlignment="1">
      <alignment horizontal="center" vertical="center"/>
    </xf>
    <xf numFmtId="0" fontId="60" fillId="0" borderId="0" xfId="0" applyFont="1" applyAlignment="1">
      <alignment wrapText="1"/>
    </xf>
    <xf numFmtId="0" fontId="60" fillId="0" borderId="0" xfId="0" applyFont="1"/>
    <xf numFmtId="0" fontId="61" fillId="13" borderId="64" xfId="0" applyFont="1" applyFill="1" applyBorder="1"/>
    <xf numFmtId="0" fontId="54" fillId="13" borderId="64" xfId="0" applyFont="1" applyFill="1" applyBorder="1"/>
    <xf numFmtId="0" fontId="54" fillId="13" borderId="65" xfId="0" applyFont="1" applyFill="1" applyBorder="1"/>
    <xf numFmtId="0" fontId="0" fillId="13" borderId="0" xfId="0" applyFill="1"/>
    <xf numFmtId="0" fontId="55" fillId="13" borderId="0" xfId="0" applyFont="1" applyFill="1"/>
    <xf numFmtId="169" fontId="55" fillId="13" borderId="0" xfId="0" applyNumberFormat="1" applyFont="1" applyFill="1"/>
    <xf numFmtId="169" fontId="60" fillId="13" borderId="0" xfId="0" applyNumberFormat="1" applyFont="1" applyFill="1"/>
    <xf numFmtId="0" fontId="60" fillId="13" borderId="0" xfId="0" applyFont="1" applyFill="1"/>
    <xf numFmtId="0" fontId="56" fillId="13" borderId="0" xfId="0" applyFont="1" applyFill="1"/>
    <xf numFmtId="0" fontId="62" fillId="0" borderId="0" xfId="0" applyFont="1" applyAlignment="1">
      <alignment wrapText="1"/>
    </xf>
    <xf numFmtId="22" fontId="62" fillId="0" borderId="0" xfId="0" applyNumberFormat="1" applyFont="1" applyAlignment="1">
      <alignment wrapText="1"/>
    </xf>
    <xf numFmtId="9" fontId="62" fillId="0" borderId="0" xfId="0" applyNumberFormat="1" applyFont="1" applyAlignment="1">
      <alignment wrapText="1"/>
    </xf>
    <xf numFmtId="0" fontId="63" fillId="31" borderId="0" xfId="0" applyFont="1" applyFill="1"/>
    <xf numFmtId="0" fontId="63" fillId="0" borderId="0" xfId="0" applyFont="1"/>
    <xf numFmtId="0" fontId="63" fillId="12" borderId="0" xfId="0" applyFont="1" applyFill="1"/>
    <xf numFmtId="0" fontId="64" fillId="0" borderId="0" xfId="0" applyFont="1"/>
    <xf numFmtId="0" fontId="64" fillId="0" borderId="0" xfId="0" applyFont="1" applyAlignment="1">
      <alignment horizontal="left" vertical="center"/>
    </xf>
    <xf numFmtId="0" fontId="65" fillId="31" borderId="0" xfId="0" applyFont="1" applyFill="1"/>
    <xf numFmtId="11" fontId="63" fillId="0" borderId="0" xfId="0" applyNumberFormat="1" applyFont="1"/>
    <xf numFmtId="0" fontId="66" fillId="31" borderId="0" xfId="0" applyFont="1" applyFill="1"/>
    <xf numFmtId="0" fontId="65" fillId="0" borderId="0" xfId="0" applyFont="1"/>
    <xf numFmtId="0" fontId="64" fillId="18" borderId="0" xfId="0" applyFont="1" applyFill="1" applyAlignment="1">
      <alignment horizontal="left" vertical="center"/>
    </xf>
    <xf numFmtId="0" fontId="67" fillId="0" borderId="0" xfId="0" applyFont="1" applyAlignment="1">
      <alignment horizontal="left" vertical="center"/>
    </xf>
    <xf numFmtId="0" fontId="64" fillId="17" borderId="0" xfId="0" applyFont="1" applyFill="1" applyAlignment="1">
      <alignment horizontal="left" vertical="center"/>
    </xf>
    <xf numFmtId="0" fontId="66" fillId="0" borderId="0" xfId="0" applyFont="1"/>
    <xf numFmtId="164" fontId="64" fillId="0" borderId="0" xfId="0" applyNumberFormat="1" applyFont="1" applyAlignment="1">
      <alignment horizontal="left" vertical="center"/>
    </xf>
    <xf numFmtId="14" fontId="63" fillId="0" borderId="0" xfId="0" applyNumberFormat="1" applyFont="1"/>
    <xf numFmtId="0" fontId="68" fillId="0" borderId="0" xfId="0" applyFont="1" applyAlignment="1">
      <alignment vertical="center"/>
    </xf>
    <xf numFmtId="0" fontId="54" fillId="13" borderId="0" xfId="0" applyFont="1" applyFill="1"/>
    <xf numFmtId="0" fontId="0" fillId="2" borderId="0" xfId="0" applyFill="1" applyAlignment="1">
      <alignment horizontal="center" vertical="center" wrapText="1"/>
    </xf>
    <xf numFmtId="0" fontId="0" fillId="0" borderId="0" xfId="0" applyAlignment="1">
      <alignment horizontal="center" wrapText="1"/>
    </xf>
    <xf numFmtId="22" fontId="64" fillId="0" borderId="0" xfId="0" applyNumberFormat="1" applyFont="1"/>
    <xf numFmtId="0" fontId="64" fillId="0" borderId="0" xfId="0" applyFont="1" applyAlignment="1">
      <alignment wrapText="1"/>
    </xf>
    <xf numFmtId="9" fontId="64" fillId="0" borderId="0" xfId="0" applyNumberFormat="1" applyFont="1"/>
    <xf numFmtId="0" fontId="0" fillId="0" borderId="0" xfId="0" applyAlignment="1">
      <alignment horizontal="center" vertical="center"/>
    </xf>
    <xf numFmtId="0" fontId="0" fillId="30" borderId="0" xfId="0" applyFill="1" applyAlignment="1">
      <alignment horizontal="center"/>
    </xf>
    <xf numFmtId="0" fontId="21" fillId="0" borderId="0" xfId="0" applyFont="1" applyAlignment="1">
      <alignment horizontal="center"/>
    </xf>
    <xf numFmtId="0" fontId="21" fillId="0" borderId="0" xfId="0" applyFont="1" applyAlignment="1">
      <alignment vertical="center"/>
    </xf>
    <xf numFmtId="9" fontId="21" fillId="0" borderId="0" xfId="0" applyNumberFormat="1" applyFont="1" applyAlignment="1">
      <alignment horizontal="center"/>
    </xf>
    <xf numFmtId="0" fontId="21" fillId="0" borderId="0" xfId="0" applyFont="1" applyAlignment="1">
      <alignment horizontal="center" vertical="center"/>
    </xf>
    <xf numFmtId="14" fontId="21" fillId="0" borderId="0" xfId="0" applyNumberFormat="1" applyFont="1" applyAlignment="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1" fillId="0" borderId="0" xfId="0" applyFont="1" applyAlignment="1"/>
    <xf numFmtId="22" fontId="21" fillId="0" borderId="0" xfId="0" applyNumberFormat="1" applyFont="1" applyAlignment="1"/>
    <xf numFmtId="0" fontId="21" fillId="12" borderId="0" xfId="0" applyFont="1" applyFill="1"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549088</xdr:colOff>
      <xdr:row>0</xdr:row>
      <xdr:rowOff>44824</xdr:rowOff>
    </xdr:from>
    <xdr:to>
      <xdr:col>7</xdr:col>
      <xdr:colOff>4045251</xdr:colOff>
      <xdr:row>0</xdr:row>
      <xdr:rowOff>435404</xdr:rowOff>
    </xdr:to>
    <xdr:pic>
      <xdr:nvPicPr>
        <xdr:cNvPr id="2" name="Picture 1">
          <a:extLst>
            <a:ext uri="{FF2B5EF4-FFF2-40B4-BE49-F238E27FC236}">
              <a16:creationId xmlns:a16="http://schemas.microsoft.com/office/drawing/2014/main" id="{94AB3715-AEC4-2048-784A-DA9A3F05EC9C}"/>
            </a:ext>
          </a:extLst>
        </xdr:cNvPr>
        <xdr:cNvPicPr>
          <a:picLocks noChangeAspect="1"/>
        </xdr:cNvPicPr>
      </xdr:nvPicPr>
      <xdr:blipFill>
        <a:blip xmlns:r="http://schemas.openxmlformats.org/officeDocument/2006/relationships" r:embed="rId1"/>
        <a:stretch>
          <a:fillRect/>
        </a:stretch>
      </xdr:blipFill>
      <xdr:spPr>
        <a:xfrm>
          <a:off x="16136470" y="44824"/>
          <a:ext cx="3496163" cy="390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619125</xdr:colOff>
      <xdr:row>8</xdr:row>
      <xdr:rowOff>180975</xdr:rowOff>
    </xdr:from>
    <xdr:to>
      <xdr:col>1</xdr:col>
      <xdr:colOff>1419224</xdr:colOff>
      <xdr:row>11</xdr:row>
      <xdr:rowOff>169208</xdr:rowOff>
    </xdr:to>
    <xdr:pic>
      <xdr:nvPicPr>
        <xdr:cNvPr id="6" name="Graphic 5" descr="Toy Train with solid fill">
          <a:extLst>
            <a:ext uri="{FF2B5EF4-FFF2-40B4-BE49-F238E27FC236}">
              <a16:creationId xmlns:a16="http://schemas.microsoft.com/office/drawing/2014/main" id="{3A92824B-61AB-EE95-2074-B44CEF8D96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8725" y="1647825"/>
          <a:ext cx="800099" cy="645458"/>
        </a:xfrm>
        <a:prstGeom prst="rect">
          <a:avLst/>
        </a:prstGeom>
      </xdr:spPr>
    </xdr:pic>
    <xdr:clientData/>
  </xdr:twoCellAnchor>
  <xdr:twoCellAnchor editAs="oneCell">
    <xdr:from>
      <xdr:col>1</xdr:col>
      <xdr:colOff>619125</xdr:colOff>
      <xdr:row>11</xdr:row>
      <xdr:rowOff>9525</xdr:rowOff>
    </xdr:from>
    <xdr:to>
      <xdr:col>1</xdr:col>
      <xdr:colOff>1419224</xdr:colOff>
      <xdr:row>13</xdr:row>
      <xdr:rowOff>207308</xdr:rowOff>
    </xdr:to>
    <xdr:pic>
      <xdr:nvPicPr>
        <xdr:cNvPr id="7" name="Graphic 6" descr="Toy Train with solid fill">
          <a:extLst>
            <a:ext uri="{FF2B5EF4-FFF2-40B4-BE49-F238E27FC236}">
              <a16:creationId xmlns:a16="http://schemas.microsoft.com/office/drawing/2014/main" id="{405F41AB-C72B-48D6-BC46-E27D43DA38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8725" y="2133600"/>
          <a:ext cx="800099" cy="6454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7.716909606483" createdVersion="8" refreshedVersion="8" minRefreshableVersion="3" recordCount="286" xr:uid="{2C862317-1A12-4495-A9C3-4CBED64F08C6}">
  <cacheSource type="worksheet">
    <worksheetSource ref="A1:U277" sheet="Proposed Data Tables (2 tables)"/>
  </cacheSource>
  <cacheFields count="15">
    <cacheField name="Table" numFmtId="0">
      <sharedItems count="2">
        <s v="Train_Detail"/>
        <s v="Train_Summary"/>
      </sharedItems>
    </cacheField>
    <cacheField name="Suggested_x000a_Field SQNC" numFmtId="0">
      <sharedItems containsSemiMixedTypes="0" containsString="0" containsNumber="1" containsInteger="1" minValue="1" maxValue="195"/>
    </cacheField>
    <cacheField name="Code" numFmtId="0">
      <sharedItems/>
    </cacheField>
    <cacheField name="Source" numFmtId="0">
      <sharedItems count="4">
        <s v="BrandNew"/>
        <s v="TrnLvlSmry"/>
        <s v="BMR(Qlik)"/>
        <s v="TrnCnstDtl"/>
      </sharedItems>
    </cacheField>
    <cacheField name="PoC_x000a_(TrnDtl)" numFmtId="0">
      <sharedItems count="3">
        <s v="Y"/>
        <s v="d"/>
        <s v="X"/>
      </sharedItems>
    </cacheField>
    <cacheField name="Dimension" numFmtId="0">
      <sharedItems count="14">
        <s v="Time"/>
        <s v="Time Stamp"/>
        <s v="System"/>
        <s v="Train"/>
        <s v="Location"/>
        <s v="Key"/>
        <s v="Miles"/>
        <s v="Equipment"/>
        <s v="Weight"/>
        <s v="TonneMiles"/>
        <s v="Length"/>
        <s v="Consist"/>
        <s v="Waybill"/>
        <s v="Mechanical"/>
      </sharedItems>
    </cacheField>
    <cacheField name="Field_Name" numFmtId="0">
      <sharedItems/>
    </cacheField>
    <cacheField name="Example or Methodology" numFmtId="0">
      <sharedItems containsDate="1" containsBlank="1" containsMixedTypes="1" minDate="1899-12-31T00:00:00" maxDate="1900-01-08T02:45:05"/>
    </cacheField>
    <cacheField name="Active Data?_x000a_(Y/N)" numFmtId="0">
      <sharedItems/>
    </cacheField>
    <cacheField name="Source Schema.Table.Column Name // Vicky's Comments" numFmtId="0">
      <sharedItems containsBlank="1" containsMixedTypes="1" containsNumber="1" containsInteger="1" minValue="0" maxValue="0" longText="1"/>
    </cacheField>
    <cacheField name="Transformations  / Validation / If/else" numFmtId="0">
      <sharedItems containsBlank="1" containsMixedTypes="1" containsNumber="1" containsInteger="1" minValue="0" maxValue="0"/>
    </cacheField>
    <cacheField name="ExpectedResult" numFmtId="0">
      <sharedItems containsBlank="1" containsMixedTypes="1" containsNumber="1" containsInteger="1" minValue="1" maxValue="1"/>
    </cacheField>
    <cacheField name="Count of NULl" numFmtId="0">
      <sharedItems containsNonDate="0" containsString="0" containsBlank="1"/>
    </cacheField>
    <cacheField name="Count of TTL Rows" numFmtId="0">
      <sharedItems containsNonDate="0" containsString="0" containsBlank="1"/>
    </cacheField>
    <cacheField name="% of NUL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9.948476504629" createdVersion="8" refreshedVersion="8" minRefreshableVersion="3" recordCount="278" xr:uid="{97CD5DB1-CC7D-4D82-B856-95DAA41C868A}">
  <cacheSource type="worksheet">
    <worksheetSource ref="A1:R279" sheet="Proposed Data Tables (2 tables)"/>
  </cacheSource>
  <cacheFields count="17">
    <cacheField name="Table" numFmtId="0">
      <sharedItems count="2">
        <s v="Train_Detail"/>
        <s v="Train_Summary"/>
      </sharedItems>
    </cacheField>
    <cacheField name="Suggested_x000a_Field SQNC" numFmtId="0">
      <sharedItems containsSemiMixedTypes="0" containsString="0" containsNumber="1" containsInteger="1" minValue="1" maxValue="195"/>
    </cacheField>
    <cacheField name="Code" numFmtId="0">
      <sharedItems containsBlank="1"/>
    </cacheField>
    <cacheField name="Source" numFmtId="0">
      <sharedItems count="4">
        <s v="BrandNew"/>
        <s v="TrnLvlSmry"/>
        <s v="BMR(Qlik)"/>
        <s v="TrnCnstDtl"/>
      </sharedItems>
    </cacheField>
    <cacheField name="Validation_Priority" numFmtId="0">
      <sharedItems/>
    </cacheField>
    <cacheField name="Validation_Requried" numFmtId="0">
      <sharedItems containsBlank="1" count="4">
        <s v="N"/>
        <s v="Y"/>
        <s v="?"/>
        <m u="1"/>
      </sharedItems>
    </cacheField>
    <cacheField name="Validation_Logic_Approach" numFmtId="0">
      <sharedItems containsBlank="1" longText="1"/>
    </cacheField>
    <cacheField name="PoC_x000a_(TrnDtl)" numFmtId="0">
      <sharedItems/>
    </cacheField>
    <cacheField name="Dimension" numFmtId="0">
      <sharedItems count="13">
        <s v="Time"/>
        <s v="System"/>
        <s v="Train"/>
        <s v="Location"/>
        <s v="Miles"/>
        <s v="Equipment"/>
        <s v="Weight"/>
        <s v="TonneMiles"/>
        <s v="Length"/>
        <s v="Consist"/>
        <s v="Waybill"/>
        <s v="Key"/>
        <s v="Mechanical"/>
      </sharedItems>
    </cacheField>
    <cacheField name="Field_Name" numFmtId="0">
      <sharedItems/>
    </cacheField>
    <cacheField name="Data Dictionary" numFmtId="0">
      <sharedItems containsBlank="1"/>
    </cacheField>
    <cacheField name="Example or Methodology" numFmtId="0">
      <sharedItems containsDate="1" containsBlank="1" containsMixedTypes="1" minDate="1899-12-31T00:00:00" maxDate="1900-01-08T02:45:05"/>
    </cacheField>
    <cacheField name="Active Data?_x000a_(Y/N)" numFmtId="0">
      <sharedItems containsBlank="1"/>
    </cacheField>
    <cacheField name="Source Schema.Table.Column Name // Vicky's Comments" numFmtId="0">
      <sharedItems containsBlank="1" containsMixedTypes="1" containsNumber="1" containsInteger="1" minValue="0" maxValue="0" longText="1"/>
    </cacheField>
    <cacheField name="Future Sources" numFmtId="0">
      <sharedItems containsBlank="1"/>
    </cacheField>
    <cacheField name="Transformations  / Validation / If/else" numFmtId="0">
      <sharedItems containsBlank="1" containsMixedTypes="1" containsNumber="1" containsInteger="1" minValue="0" maxValue="0"/>
    </cacheField>
    <cacheField name="ExpectedResult" numFmtId="0">
      <sharedItems containsBlank="1"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
  <r>
    <x v="0"/>
    <n v="1"/>
    <s v="Train142"/>
    <x v="0"/>
    <x v="0"/>
    <x v="0"/>
    <s v="Train Year"/>
    <s v="Based on DFLC TMS"/>
    <s v="Y"/>
    <s v="eqpmv.eqpmv_rfeqp_mvmnt_event.report_tms"/>
    <s v="Y"/>
    <s v="N/A"/>
    <m/>
    <m/>
    <m/>
  </r>
  <r>
    <x v="0"/>
    <n v="2"/>
    <s v="Train143"/>
    <x v="0"/>
    <x v="0"/>
    <x v="0"/>
    <s v="Train Quarter"/>
    <s v="Based on DFLC TMS"/>
    <s v="Y"/>
    <s v="eqpmv.eqpmv_rfeqp_mvmnt_event.report_tms"/>
    <s v="Y"/>
    <s v="N/A"/>
    <m/>
    <m/>
    <m/>
  </r>
  <r>
    <x v="0"/>
    <n v="3"/>
    <s v="Train144"/>
    <x v="0"/>
    <x v="0"/>
    <x v="0"/>
    <s v="Train Month"/>
    <s v="Based on DFLC TMS"/>
    <s v="Y"/>
    <s v="eqpmv.eqpmv_rfeqp_mvmnt_event.report_tms"/>
    <s v="Y"/>
    <s v="N/A"/>
    <m/>
    <m/>
    <m/>
  </r>
  <r>
    <x v="0"/>
    <n v="4"/>
    <s v="Train145"/>
    <x v="0"/>
    <x v="0"/>
    <x v="0"/>
    <s v="Train Day"/>
    <s v="Based on DFLC TMS"/>
    <s v="Y"/>
    <s v="eqpmv.eqpmv_rfeqp_mvmnt_event.report_tms"/>
    <s v="Y"/>
    <s v="N/A"/>
    <m/>
    <m/>
    <m/>
  </r>
  <r>
    <x v="0"/>
    <n v="5"/>
    <s v="Train009"/>
    <x v="1"/>
    <x v="0"/>
    <x v="1"/>
    <s v="SADB_RECEIVING_DT"/>
    <d v="2025-08-02T00:00:00"/>
    <s v="Y"/>
    <s v="eqpmv.eqpmv_rfeqp_mvmnt_event_x000a_lcmtv.lcmtv_mvmnt_event"/>
    <s v="N"/>
    <n v="1"/>
    <m/>
    <m/>
    <m/>
  </r>
  <r>
    <x v="0"/>
    <n v="6"/>
    <s v="Train001"/>
    <x v="1"/>
    <x v="0"/>
    <x v="2"/>
    <s v="SRC_SYS"/>
    <s v="KCS"/>
    <s v="Y"/>
    <s v="Exact Source not identified yet"/>
    <s v="N"/>
    <n v="1"/>
    <m/>
    <m/>
    <m/>
  </r>
  <r>
    <x v="0"/>
    <n v="7"/>
    <s v="Train048"/>
    <x v="1"/>
    <x v="0"/>
    <x v="3"/>
    <s v="TRAIN_SERIES"/>
    <n v="100"/>
    <s v="Y"/>
    <s v="Derived from Train_Name"/>
    <s v="Y"/>
    <m/>
    <m/>
    <m/>
    <m/>
  </r>
  <r>
    <x v="0"/>
    <n v="8"/>
    <s v="Train050"/>
    <x v="1"/>
    <x v="0"/>
    <x v="3"/>
    <s v="TRAIN_SYMBOL"/>
    <n v="181"/>
    <s v="Y"/>
    <s v="Derived from Train_Name"/>
    <s v="Y"/>
    <m/>
    <m/>
    <m/>
    <m/>
  </r>
  <r>
    <x v="0"/>
    <n v="9"/>
    <s v="Train011"/>
    <x v="1"/>
    <x v="0"/>
    <x v="3"/>
    <s v="TRAIN_NAME"/>
    <s v=" 181-01"/>
    <s v="Y"/>
    <s v="train.train_cnst_smry.train_nm"/>
    <s v="N"/>
    <n v="1"/>
    <m/>
    <m/>
    <m/>
  </r>
  <r>
    <x v="0"/>
    <n v="10"/>
    <s v="Train051"/>
    <x v="1"/>
    <x v="0"/>
    <x v="3"/>
    <s v="TRAIN_TYPE_CD"/>
    <s v="FRT"/>
    <s v="Y"/>
    <s v="atm_train.train_plan.train_type_cd_x000a_atm_train.optrn.train_type_cd"/>
    <s v="Y"/>
    <m/>
    <m/>
    <m/>
    <m/>
  </r>
  <r>
    <x v="0"/>
    <n v="11"/>
    <s v="Train052"/>
    <x v="1"/>
    <x v="0"/>
    <x v="3"/>
    <s v="TRAIN_KIND_CD"/>
    <s v="PRIM"/>
    <s v="Y"/>
    <s v="atm_train.train_plan.train_kind_cd_x000a_atm_train.optrn.train_kind_cd"/>
    <s v="Y"/>
    <m/>
    <m/>
    <m/>
    <m/>
  </r>
  <r>
    <x v="0"/>
    <n v="12"/>
    <s v="Train059"/>
    <x v="2"/>
    <x v="0"/>
    <x v="3"/>
    <s v="TYPE"/>
    <s v="OP"/>
    <s v="Y"/>
    <s v="train.train_cnst_smry.train_nm"/>
    <s v="Y"/>
    <m/>
    <m/>
    <m/>
    <m/>
  </r>
  <r>
    <x v="0"/>
    <n v="13"/>
    <s v="Train013"/>
    <x v="1"/>
    <x v="0"/>
    <x v="4"/>
    <s v="DEPART_FSAC"/>
    <n v="5770"/>
    <s v="Y"/>
    <s v="trkfc.trkfc_trstn.fsac_cd"/>
    <s v="N"/>
    <n v="1"/>
    <m/>
    <m/>
    <m/>
  </r>
  <r>
    <x v="0"/>
    <n v="14"/>
    <s v="Train014"/>
    <x v="1"/>
    <x v="0"/>
    <x v="4"/>
    <s v="ARRIVE_FSAC"/>
    <n v="5772"/>
    <s v="Y"/>
    <s v="trkfc.trkfc_trstn.fsac_cd"/>
    <s v="N"/>
    <n v="1"/>
    <m/>
    <m/>
    <m/>
  </r>
  <r>
    <x v="0"/>
    <n v="17"/>
    <s v="Train007"/>
    <x v="1"/>
    <x v="0"/>
    <x v="1"/>
    <s v="ARRIVAL_TMS"/>
    <d v="2025-08-01T23:43:00"/>
    <s v="Y"/>
    <s v="eqpmv.eqpmv_rfeqp_mvmnt_event.report_tms"/>
    <s v="N"/>
    <n v="1"/>
    <m/>
    <m/>
    <m/>
  </r>
  <r>
    <x v="0"/>
    <n v="18"/>
    <s v="Train008"/>
    <x v="1"/>
    <x v="0"/>
    <x v="1"/>
    <s v="DEPARTURE_TMS"/>
    <d v="2025-08-01T21:37:00"/>
    <s v="Y"/>
    <s v="eqpmv.eqpmv_rfeqp_mvmnt_event.report_tms"/>
    <s v="Y"/>
    <n v="1"/>
    <m/>
    <m/>
    <m/>
  </r>
  <r>
    <x v="0"/>
    <n v="19"/>
    <s v="Train010"/>
    <x v="1"/>
    <x v="0"/>
    <x v="5"/>
    <s v="TITAN_NBR"/>
    <n v="942442"/>
    <s v="Y"/>
    <s v="train.train_plan_leg.mtp_titan_nbr_x000a_train.optrn_leg.mtp_titan_nbr"/>
    <s v="N"/>
    <n v="1"/>
    <m/>
    <m/>
    <m/>
  </r>
  <r>
    <x v="0"/>
    <n v="20"/>
    <s v="Train021"/>
    <x v="1"/>
    <x v="0"/>
    <x v="6"/>
    <s v="TRAIN_MILES"/>
    <n v="7.9859999999999998"/>
    <s v="Y"/>
    <s v="ctnapp.ctng_line_dn.gmtry"/>
    <s v="Y"/>
    <n v="1"/>
    <m/>
    <m/>
    <m/>
  </r>
  <r>
    <x v="0"/>
    <n v="21"/>
    <s v="Train026"/>
    <x v="1"/>
    <x v="0"/>
    <x v="6"/>
    <s v="CONTENT_TON_MILES"/>
    <n v="16043.874"/>
    <s v="Y"/>
    <s v="train.train_cnst_dtl_rail_eqpt.net_weight_tons_qty"/>
    <m/>
    <m/>
    <m/>
    <m/>
    <m/>
  </r>
  <r>
    <x v="0"/>
    <n v="22"/>
    <s v="Train081"/>
    <x v="3"/>
    <x v="0"/>
    <x v="7"/>
    <s v="TARE_WEIGHT_TONS_QTY"/>
    <s v="66"/>
    <s v="Y"/>
    <s v="train.train_cnst_dtl_rail_eqpt.tare_weight_tons_qty"/>
    <s v="N"/>
    <m/>
    <m/>
    <m/>
    <m/>
  </r>
  <r>
    <x v="0"/>
    <n v="23"/>
    <s v="Train088"/>
    <x v="3"/>
    <x v="0"/>
    <x v="7"/>
    <s v="NET_WEIGHT_TONS_QTY"/>
    <s v="104"/>
    <s v="Y"/>
    <s v="train.train_cnst_dtl_rail_eqpt.net_weight_tons_qty"/>
    <s v="N"/>
    <m/>
    <m/>
    <m/>
    <m/>
  </r>
  <r>
    <x v="0"/>
    <n v="25"/>
    <s v="Train025"/>
    <x v="1"/>
    <x v="0"/>
    <x v="8"/>
    <s v="LOCO_FULL_WEIGHT"/>
    <n v="424"/>
    <s v="Y"/>
    <s v="lcmtv.lcmtv_emis.full_weight_qty"/>
    <s v="Y"/>
    <m/>
    <m/>
    <m/>
    <m/>
  </r>
  <r>
    <x v="0"/>
    <n v="25"/>
    <s v="Train027"/>
    <x v="1"/>
    <x v="1"/>
    <x v="8"/>
    <s v="TARE_TONS"/>
    <n v="1598.45"/>
    <s v="Y"/>
    <s v="lcmtv.lcmtv_emis.full_weight_qty_x000a_train.train_cnst_dtl_rail_eqpt.tare_weight_tons_qty"/>
    <s v="Y"/>
    <m/>
    <m/>
    <m/>
    <m/>
  </r>
  <r>
    <x v="0"/>
    <n v="26"/>
    <s v="Train015"/>
    <x v="1"/>
    <x v="0"/>
    <x v="0"/>
    <s v="TRAIN_HRS"/>
    <n v="2"/>
    <s v="Y"/>
    <s v="ctnapp.ctng_line_dn.gmtry _x000a_mvmnt_type hard coded as 'lcmtv' or 'eqpmv'_x000a_train.train_cnst_dtl_rail_eqpt.lead_lcmtv_ind_x000a_train.train_cnst_dtl_rail_eqpt.lcmtv_cnst_status_cd"/>
    <s v="Y"/>
    <n v="1"/>
    <m/>
    <m/>
    <m/>
  </r>
  <r>
    <x v="0"/>
    <n v="27"/>
    <s v="Train016"/>
    <x v="1"/>
    <x v="0"/>
    <x v="0"/>
    <s v="TRAIN_MINS"/>
    <n v="6.02"/>
    <s v="Y"/>
    <s v="Derived from ARRIVAL_TMS, DEPARTURE_TMS, TOT_MILES, TRAIN_MILES"/>
    <s v="Y"/>
    <n v="1"/>
    <m/>
    <m/>
    <m/>
  </r>
  <r>
    <x v="0"/>
    <n v="28"/>
    <s v="Train020"/>
    <x v="1"/>
    <x v="0"/>
    <x v="6"/>
    <s v="EQPMT_MILES"/>
    <n v="167.70599999999999"/>
    <s v="Y"/>
    <s v="ctnapp.ctng_line_dn.gmtry"/>
    <s v="Y"/>
    <n v="1"/>
    <m/>
    <m/>
    <m/>
  </r>
  <r>
    <x v="0"/>
    <n v="29"/>
    <s v="Train028"/>
    <x v="1"/>
    <x v="0"/>
    <x v="9"/>
    <s v="TARE_TON_MILES"/>
    <n v="9379.1579999999994"/>
    <s v="Y"/>
    <s v="lcmtv.lcmtv_emis.full_weight_qty_x000a_train.train_cnst_dtl_rail_eqpt.tare_weight_tons_qty_x000a_ctnapp.ctng_line_dn.gmtry "/>
    <s v="Y"/>
    <m/>
    <m/>
    <m/>
    <m/>
  </r>
  <r>
    <x v="0"/>
    <n v="30"/>
    <s v="Train029"/>
    <x v="1"/>
    <x v="0"/>
    <x v="9"/>
    <s v="GROSS_TON_MILES"/>
    <n v="25423.031999999999"/>
    <s v="Y"/>
    <s v="Derived from TARE_TON_MILES, DH_TARE_TON_MILES, CONTENT_TON_MILES"/>
    <s v="Y"/>
    <m/>
    <m/>
    <m/>
    <m/>
  </r>
  <r>
    <x v="0"/>
    <n v="31"/>
    <s v="Train023"/>
    <x v="1"/>
    <x v="0"/>
    <x v="9"/>
    <s v="DH_TARE_TON_MILES"/>
    <n v="0"/>
    <s v="Y"/>
    <s v="lcmtv.lcmtv_emis.full_weight_qty_x000a_train.train_cnst_dtl_rail_eqpt.tare_weight_tons_qty_x000a_ctnapp.ctng_line_dn.gmtry "/>
    <s v="Y"/>
    <m/>
    <m/>
    <m/>
    <m/>
  </r>
  <r>
    <x v="0"/>
    <n v="32"/>
    <s v="Train024"/>
    <x v="1"/>
    <x v="0"/>
    <x v="9"/>
    <s v="LOCO_TARE_TON_MILES"/>
    <n v="3386.0639999999999"/>
    <s v="Y"/>
    <s v="lcmtv.lcmtv_emis.full_weight_qty_x000a_train.train_cnst_dtl_rail_eqpt.tare_weight_tons_qty_x000a_ctnapp.ctng_line_dn.gmtry "/>
    <s v="Y"/>
    <m/>
    <m/>
    <m/>
    <m/>
  </r>
  <r>
    <x v="0"/>
    <n v="33"/>
    <s v="Train032"/>
    <x v="1"/>
    <x v="0"/>
    <x v="6"/>
    <s v="REV_CAR_MILES_LOADED"/>
    <n v="167.70599999999999"/>
    <s v="Y"/>
    <s v="eqpmt.eqpmnt_aar_base.aar_car_cd_x000a_train.train_cnst_dtl_rail_eqpt.net_weight_tons_qty_x000a_ctnapp.ctng_line_dn.gmtry "/>
    <s v="Y"/>
    <m/>
    <m/>
    <m/>
    <m/>
  </r>
  <r>
    <x v="0"/>
    <n v="34"/>
    <s v="Train033"/>
    <x v="1"/>
    <x v="0"/>
    <x v="6"/>
    <s v="REV_CAR_MILES_EMPTY"/>
    <n v="0"/>
    <s v="Y"/>
    <s v="eqpmt.eqpmnt_aar_base.aar_car_cd_x000a_train.train_cnst_dtl_rail_eqpt.net_weight_tons_qty_x000a_ctnapp.ctng_line_dn.gmtry "/>
    <s v="Y"/>
    <m/>
    <m/>
    <m/>
    <m/>
  </r>
  <r>
    <x v="0"/>
    <n v="35"/>
    <s v="Train034"/>
    <x v="1"/>
    <x v="0"/>
    <x v="6"/>
    <s v="LIVE_LOCO_MILES"/>
    <n v="15.972"/>
    <s v="Y"/>
    <s v="ctnapp.ctng_line_dn.gmtry _x000a_dm_dim.gis_orgn_dstntn_mlg_by_stprv.miles"/>
    <s v="Y"/>
    <m/>
    <m/>
    <m/>
    <m/>
  </r>
  <r>
    <x v="0"/>
    <n v="36"/>
    <s v="Train035"/>
    <x v="1"/>
    <x v="0"/>
    <x v="6"/>
    <s v="DH_LOCO_MILES"/>
    <n v="0"/>
    <s v="Y"/>
    <s v="ctnapp.ctng_line_dn.gmtry _x000a_dm_dim.gis_orgn_dstntn_mlg_by_stprv.miles"/>
    <s v="Y"/>
    <s v="?"/>
    <m/>
    <m/>
    <m/>
  </r>
  <r>
    <x v="0"/>
    <n v="37"/>
    <s v="Train036"/>
    <x v="1"/>
    <x v="0"/>
    <x v="6"/>
    <s v="PASS_BUS_MILES"/>
    <n v="0"/>
    <s v="Y"/>
    <s v="ctnapp.ctng_line_dn.gmtry _x000a_dm_dim.gis_orgn_dstntn_mlg_by_stprv.miles"/>
    <s v="Y"/>
    <s v="?"/>
    <m/>
    <m/>
    <m/>
  </r>
  <r>
    <x v="0"/>
    <n v="38"/>
    <s v="Train037"/>
    <x v="1"/>
    <x v="0"/>
    <x v="6"/>
    <s v="WORK_CAR_MILES"/>
    <n v="0"/>
    <s v="Y"/>
    <s v="eqpmt.eqpmnt_aar_base.aar_car_cd_x000a_ctnapp.ctng_line_dn.gmtry _x000a_trkfc.trkfcg_sbdvsn.sbdvsn_id_x000a_trkfc.trkfcg_fxpla_track_lctn_dn.rfrnc_low_miles_qty_x000a_dm_dim.gis_orgn_dstntn_mlg_by_stprv.miles_x000a_dm_dim.dim_subdvsn_zone.high_track_mile_x000a_dm_dim.dim_subdvsn_zone.low_track_mile"/>
    <s v="Y"/>
    <m/>
    <m/>
    <m/>
    <m/>
  </r>
  <r>
    <x v="0"/>
    <n v="39"/>
    <s v="Train038"/>
    <x v="1"/>
    <x v="2"/>
    <x v="6"/>
    <s v="CABOOSE_MILES"/>
    <n v="0"/>
    <s v="Y"/>
    <s v="eqpmt.eqpmnt_aar_base.aar_car_cd_x000a_ctnapp.ctng_line_dn.gmtry_x000a_dm_dim.gis_orgn_dstntn_mlg_by_stprv.miles"/>
    <s v="Y"/>
    <m/>
    <m/>
    <m/>
    <m/>
  </r>
  <r>
    <x v="0"/>
    <n v="40"/>
    <s v="Train039"/>
    <x v="1"/>
    <x v="0"/>
    <x v="6"/>
    <s v="LIVE_LOCO_HP_MILES"/>
    <n v="69478.2"/>
    <s v="Y"/>
    <s v="lcmtv.lcmtv_emis.hrspwr_qty_x000a_ctnapp.ctng_line_dn.gmtry_x000a_dm_dim.gis_orgn_dstntn_mlg_by_stprv.miles"/>
    <s v="Y"/>
    <m/>
    <m/>
    <m/>
    <m/>
  </r>
  <r>
    <x v="0"/>
    <n v="41"/>
    <s v="Train040"/>
    <x v="1"/>
    <x v="0"/>
    <x v="6"/>
    <s v="DH_LOCO_HP_MILES"/>
    <n v="0"/>
    <s v="Y"/>
    <s v="lcmtv.lcmtv_emis.hrspwr_qty_x000a_ctnapp.ctng_line_dn.gmtry_x000a_dm_dim.gis_orgn_dstntn_mlg_by_stprv.miles"/>
    <s v="Y"/>
    <m/>
    <m/>
    <m/>
    <m/>
  </r>
  <r>
    <x v="0"/>
    <n v="42"/>
    <s v="Train041"/>
    <x v="1"/>
    <x v="0"/>
    <x v="10"/>
    <s v="LIVE_LOCO_FOOT_MILES"/>
    <n v="1224.52"/>
    <s v="Y"/>
    <s v="eqpmt.eqpmnt_aar_base.otsd_length_qty_x000a_ctnapp.ctng_line_dn.gmtry_x000a_dm_dim.gis_orgn_dstntn_mlg_by_stprv.miles"/>
    <s v="Y"/>
    <m/>
    <m/>
    <m/>
    <m/>
  </r>
  <r>
    <x v="0"/>
    <n v="43"/>
    <s v="Train042"/>
    <x v="1"/>
    <x v="0"/>
    <x v="10"/>
    <s v="DH_LOCO_FOOT_MILES"/>
    <n v="0"/>
    <s v="Y"/>
    <s v="eqpmt.eqpmnt_aar_base.otsd_length_qty_x000a_ctnapp.ctng_line_dn.gmtry_x000a_dm_dim.gis_orgn_dstntn_mlg_by_stprv.miles"/>
    <s v="Y"/>
    <m/>
    <m/>
    <m/>
    <m/>
  </r>
  <r>
    <x v="0"/>
    <n v="44"/>
    <s v="Train043"/>
    <x v="1"/>
    <x v="0"/>
    <x v="10"/>
    <s v="CAR_FOOT_MILES"/>
    <n v="28790.861000000001"/>
    <s v="Y"/>
    <s v="eqpmt.eqpmnt_aar_base.otsd_length_qty"/>
    <s v="Y"/>
    <m/>
    <m/>
    <m/>
    <m/>
  </r>
  <r>
    <x v="0"/>
    <n v="45"/>
    <s v="Train044"/>
    <x v="1"/>
    <x v="0"/>
    <x v="10"/>
    <s v="TOTAL_TRAIN_FOOT_MILES"/>
    <n v="30015.381000000001"/>
    <s v="Y"/>
    <s v="eqpmt.eqpmnt_aar_base.otsd_length_qty"/>
    <s v="Y"/>
    <m/>
    <m/>
    <m/>
    <m/>
  </r>
  <r>
    <x v="0"/>
    <n v="46"/>
    <s v="Train146"/>
    <x v="0"/>
    <x v="0"/>
    <x v="0"/>
    <s v="Train DoW"/>
    <s v="Based on DFLC TMS"/>
    <s v="Y"/>
    <s v="eqpmv.eqpmv_rfeqp_mvmnt_event.report_tms"/>
    <s v="Y"/>
    <s v="N/A"/>
    <m/>
    <m/>
    <m/>
  </r>
  <r>
    <x v="0"/>
    <n v="47"/>
    <s v="Train150"/>
    <x v="0"/>
    <x v="0"/>
    <x v="11"/>
    <s v="SQNC_NBR"/>
    <s v="Current logic or enhacement"/>
    <s v="Y"/>
    <s v="train.train_cnst_dtl_rail_eqpt.sqnc_nbr"/>
    <s v="N"/>
    <s v="N/A"/>
    <m/>
    <m/>
    <m/>
  </r>
  <r>
    <x v="0"/>
    <n v="48"/>
    <s v="Train070"/>
    <x v="3"/>
    <x v="0"/>
    <x v="7"/>
    <s v="MARK_CD"/>
    <s v="AOK"/>
    <s v="Y"/>
    <s v="train.train_cnst_dtl_rail_eqpt.mark_cd"/>
    <s v="N"/>
    <n v="1"/>
    <m/>
    <m/>
    <m/>
  </r>
  <r>
    <x v="0"/>
    <n v="49"/>
    <s v="Train071"/>
    <x v="3"/>
    <x v="0"/>
    <x v="7"/>
    <s v="EQPUN_NBR"/>
    <s v="55688"/>
    <s v="Y"/>
    <s v="train.train_cnst_dtl_rail_eqpt.eqpun_nbr"/>
    <s v="N"/>
    <n v="1"/>
    <m/>
    <m/>
    <m/>
  </r>
  <r>
    <x v="0"/>
    <n v="50"/>
    <s v="Train177"/>
    <x v="0"/>
    <x v="0"/>
    <x v="7"/>
    <s v="Load_Empty_Ind"/>
    <m/>
    <s v="Y"/>
    <m/>
    <m/>
    <s v="N/A"/>
    <m/>
    <m/>
    <m/>
  </r>
  <r>
    <x v="0"/>
    <n v="51"/>
    <s v="Train185"/>
    <x v="0"/>
    <x v="0"/>
    <x v="12"/>
    <s v="Cycle_Serial_Nbr"/>
    <n v="667123456"/>
    <s v="Y"/>
    <m/>
    <m/>
    <s v="N/A"/>
    <m/>
    <m/>
    <m/>
  </r>
  <r>
    <x v="0"/>
    <n v="52"/>
    <s v="Train183"/>
    <x v="0"/>
    <x v="0"/>
    <x v="12"/>
    <s v="WYBL_NBR"/>
    <m/>
    <s v="Y"/>
    <m/>
    <m/>
    <s v="N/A"/>
    <m/>
    <m/>
    <m/>
  </r>
  <r>
    <x v="0"/>
    <n v="53"/>
    <s v="Train182"/>
    <x v="0"/>
    <x v="0"/>
    <x v="12"/>
    <s v="Wybl_ID"/>
    <m/>
    <s v="Y"/>
    <m/>
    <m/>
    <s v="N/A"/>
    <m/>
    <m/>
    <m/>
  </r>
  <r>
    <x v="0"/>
    <n v="54"/>
    <s v="Train082"/>
    <x v="3"/>
    <x v="0"/>
    <x v="12"/>
    <s v="ORIGIN_SCAC_CD"/>
    <s v="KCSM"/>
    <s v="Y"/>
    <s v="train.train_cnst_dtl_rail_eqpt.origin_scac_cd"/>
    <s v="N"/>
    <m/>
    <m/>
    <m/>
    <m/>
  </r>
  <r>
    <x v="0"/>
    <n v="55"/>
    <s v="Train085"/>
    <x v="3"/>
    <x v="0"/>
    <x v="12"/>
    <s v="DSTNTN_SCAC_CD"/>
    <s v="CPRS"/>
    <s v="Y"/>
    <s v="train.train_cnst_dtl_rail_eqpt.dstntn_scac_cd"/>
    <s v="N"/>
    <m/>
    <m/>
    <m/>
    <m/>
  </r>
  <r>
    <x v="0"/>
    <n v="56"/>
    <s v="Train083"/>
    <x v="3"/>
    <x v="0"/>
    <x v="12"/>
    <s v="ORIGIN_FSAC_CD"/>
    <s v="426"/>
    <s v="Y"/>
    <s v="train.train_cnst_dtl_rail_eqpt.origin_fsac_cd"/>
    <s v="N"/>
    <m/>
    <m/>
    <m/>
    <m/>
  </r>
  <r>
    <x v="0"/>
    <n v="57"/>
    <s v="Train086"/>
    <x v="3"/>
    <x v="0"/>
    <x v="12"/>
    <s v="DSTNTN_FSAC_CD"/>
    <s v="4541"/>
    <s v="Y"/>
    <s v="train.train_cnst_dtl_rail_eqpt.dstntn_fsac_cd"/>
    <s v="N"/>
    <m/>
    <m/>
    <m/>
    <m/>
  </r>
  <r>
    <x v="0"/>
    <n v="58"/>
    <s v="Train173"/>
    <x v="0"/>
    <x v="0"/>
    <x v="12"/>
    <s v="ORIGIN_STN_NM"/>
    <m/>
    <s v="Y"/>
    <s v="If this is shipment route origin at the car level, then we can leverage stnwyb_msg_dn"/>
    <m/>
    <s v="N/A"/>
    <m/>
    <m/>
    <m/>
  </r>
  <r>
    <x v="0"/>
    <n v="59"/>
    <s v="Train174"/>
    <x v="0"/>
    <x v="0"/>
    <x v="12"/>
    <s v="DSTNTN_STN_NM"/>
    <m/>
    <s v="Y"/>
    <s v="If this is shipment route origin at the car level, then we can leverage stnwyb_msg_dn"/>
    <m/>
    <s v="N/A"/>
    <m/>
    <m/>
    <m/>
  </r>
  <r>
    <x v="0"/>
    <n v="60"/>
    <s v="Train084"/>
    <x v="3"/>
    <x v="0"/>
    <x v="12"/>
    <s v="ORIGIN_TRSTN_VRSN_NBR"/>
    <s v="3"/>
    <s v="Y"/>
    <s v="train.train_cnst_dtl_rail_eqpt.origin_trstn_vrsn_nbr"/>
    <s v="N"/>
    <m/>
    <m/>
    <m/>
    <m/>
  </r>
  <r>
    <x v="0"/>
    <n v="61"/>
    <s v="Train087"/>
    <x v="3"/>
    <x v="0"/>
    <x v="12"/>
    <s v="DSTNTN_TRSTN_VRSN_NBR"/>
    <s v="10"/>
    <s v="Y"/>
    <s v="train.train_cnst_dtl_rail_eqpt.dstntn_trstn_vrsn_nbr"/>
    <s v="N"/>
    <m/>
    <m/>
    <m/>
    <m/>
  </r>
  <r>
    <x v="0"/>
    <n v="62"/>
    <s v="Train092"/>
    <x v="3"/>
    <x v="0"/>
    <x v="12"/>
    <s v="SHPPR_CPRS_CSTMR_ID"/>
    <s v="CPINTSER"/>
    <s v="Y"/>
    <s v="train.train_cnst_dtl_rail_eqpt.shppr_cprs_cstmr_id"/>
    <s v="N"/>
    <m/>
    <m/>
    <m/>
    <m/>
  </r>
  <r>
    <x v="0"/>
    <n v="63"/>
    <s v="Train093"/>
    <x v="3"/>
    <x v="0"/>
    <x v="12"/>
    <s v="CNSGN_CPRS_CSTMR_ID"/>
    <s v="CPINTSER"/>
    <s v="Y"/>
    <s v="train.train_cnst_dtl_rail_eqpt.cnsgn_cprs_cstmr_id"/>
    <s v="N"/>
    <m/>
    <m/>
    <m/>
    <m/>
  </r>
  <r>
    <x v="0"/>
    <n v="64"/>
    <s v="Train130"/>
    <x v="3"/>
    <x v="0"/>
    <x v="12"/>
    <s v="CARE_OF_PARTY_CPRS_CSTMR_ID"/>
    <s v="NULL"/>
    <s v="Y"/>
    <s v="train.train_cnst_dtl_rail_eqpt.care_of_party_cprs_cstmr_id"/>
    <s v="N"/>
    <m/>
    <m/>
    <m/>
    <m/>
  </r>
  <r>
    <x v="0"/>
    <n v="65"/>
    <s v="Train089"/>
    <x v="3"/>
    <x v="0"/>
    <x v="12"/>
    <s v="CLRNC_PLATE_CD"/>
    <s v="H"/>
    <s v="Y"/>
    <s v="train.train_cnst_dtl_rail_eqpt.clrnc_plate_cd"/>
    <s v="N"/>
    <m/>
    <m/>
    <m/>
    <m/>
  </r>
  <r>
    <x v="0"/>
    <n v="66"/>
    <s v="Train096"/>
    <x v="3"/>
    <x v="0"/>
    <x v="12"/>
    <s v="STCC_CD"/>
    <s v="9980205"/>
    <s v="Y"/>
    <s v="train.train_cnst_dtl_rail_eqpt.stcc_cd"/>
    <s v="N"/>
    <m/>
    <m/>
    <m/>
    <m/>
  </r>
  <r>
    <x v="0"/>
    <n v="67"/>
    <s v="Train186"/>
    <x v="0"/>
    <x v="0"/>
    <x v="12"/>
    <s v="SUB-LOB"/>
    <s v="PULP"/>
    <s v="N/A"/>
    <s v="Need to know source to ascertain whether this is active or not"/>
    <m/>
    <s v="N/A"/>
    <m/>
    <m/>
    <m/>
  </r>
  <r>
    <x v="0"/>
    <n v="68"/>
    <s v="Train187"/>
    <x v="0"/>
    <x v="0"/>
    <x v="12"/>
    <s v="LOB"/>
    <s v="FOREST_PRODUCTS"/>
    <s v="N/A"/>
    <m/>
    <m/>
    <s v="N/A"/>
    <m/>
    <m/>
    <m/>
  </r>
  <r>
    <x v="0"/>
    <n v="69"/>
    <s v="Train097"/>
    <x v="3"/>
    <x v="0"/>
    <x v="12"/>
    <s v="HZCMD_MTRL_RSPNS_CD"/>
    <s v="NULL"/>
    <s v="Y"/>
    <s v="train.train_cnst_dtl_rail_eqpt.hzcmd_mtrl_rspns_cd"/>
    <s v="N"/>
    <m/>
    <m/>
    <m/>
    <m/>
  </r>
  <r>
    <x v="0"/>
    <n v="71"/>
    <s v="Train094"/>
    <x v="3"/>
    <x v="0"/>
    <x v="12"/>
    <s v="FSTWY_WYBL_NBR"/>
    <s v="NULL"/>
    <s v="Y"/>
    <s v="train.train_cnst_dtl_rail_eqpt.fstwy_wybl_nbr"/>
    <s v="N"/>
    <m/>
    <m/>
    <m/>
    <m/>
  </r>
  <r>
    <x v="0"/>
    <n v="72"/>
    <s v="Train175"/>
    <x v="0"/>
    <x v="0"/>
    <x v="12"/>
    <s v="*Revenue in CAD? (active version)"/>
    <s v="Do we need to know how much revenue each train generates?"/>
    <s v="N/A"/>
    <s v="this is a good metric for business; if we need it, and we need, can we bring from existing data sources is the question as revenue may involve RMS, SAP-Finance, SAP FCC etc."/>
    <m/>
    <s v="N/A"/>
    <m/>
    <m/>
    <m/>
  </r>
  <r>
    <x v="0"/>
    <n v="73"/>
    <s v="Train188"/>
    <x v="0"/>
    <x v="0"/>
    <x v="12"/>
    <s v="DG/HZD Indicator?"/>
    <s v="NON HZD"/>
    <s v="Y"/>
    <s v="Need to point to exact sources to ascertain transformations required"/>
    <m/>
    <s v="N/A"/>
    <m/>
    <m/>
    <m/>
  </r>
  <r>
    <x v="0"/>
    <n v="74"/>
    <s v="Train189"/>
    <x v="0"/>
    <x v="0"/>
    <x v="12"/>
    <s v="REV_CAR_MILES_LOADED_IND"/>
    <m/>
    <s v="N/A"/>
    <m/>
    <m/>
    <s v="N/A"/>
    <m/>
    <m/>
    <m/>
  </r>
  <r>
    <x v="0"/>
    <n v="75"/>
    <s v="Train190"/>
    <x v="0"/>
    <x v="0"/>
    <x v="12"/>
    <s v="REV_CAR_MILES_EMPTY_IND"/>
    <m/>
    <s v="N/A"/>
    <m/>
    <m/>
    <s v="N/A"/>
    <m/>
    <m/>
    <m/>
  </r>
  <r>
    <x v="0"/>
    <n v="84"/>
    <s v="Train139"/>
    <x v="3"/>
    <x v="0"/>
    <x v="12"/>
    <s v="EQPMT_ASGNMN_ID"/>
    <s v="5933239369"/>
    <s v="Y"/>
    <s v="train.train_cnst_dtl_rail_eqpt.eqpmt_asgnmn_id"/>
    <s v="N"/>
    <m/>
    <m/>
    <m/>
    <m/>
  </r>
  <r>
    <x v="0"/>
    <n v="85"/>
    <s v="Train140"/>
    <x v="3"/>
    <x v="0"/>
    <x v="12"/>
    <s v="SHPMT_ID"/>
    <s v="5933239360"/>
    <s v="Y"/>
    <s v="train.train_cnst_dtl_rail_eqpt.shpmt_id"/>
    <s v="N"/>
    <m/>
    <m/>
    <m/>
    <m/>
  </r>
  <r>
    <x v="0"/>
    <n v="86"/>
    <s v="Train126"/>
    <x v="3"/>
    <x v="0"/>
    <x v="4"/>
    <s v="CNST_CHNG_MVMNT_EVENT_ID"/>
    <s v="NULL"/>
    <s v="Y"/>
    <s v="train.train_cnst_dtl_rail_eqpt.cnst_chng_mvmnt_event_id"/>
    <s v="N"/>
    <m/>
    <m/>
    <m/>
    <m/>
  </r>
  <r>
    <x v="0"/>
    <n v="87"/>
    <s v="Train127"/>
    <x v="3"/>
    <x v="0"/>
    <x v="4"/>
    <s v="CNST_CHNG_SCAC_CD"/>
    <s v="CPRS"/>
    <s v="Y"/>
    <s v="train.train_cnst_dtl_rail_eqpt.cnst_chng_scac_cd"/>
    <s v="N"/>
    <m/>
    <m/>
    <m/>
    <m/>
  </r>
  <r>
    <x v="0"/>
    <n v="88"/>
    <s v="Train128"/>
    <x v="3"/>
    <x v="0"/>
    <x v="4"/>
    <s v="CNST_CHNG_FSAC_CD"/>
    <s v="5770"/>
    <s v="Y"/>
    <s v="train.train_cnst_dtl_rail_eqpt.cnst_chng_fsac_cd"/>
    <s v="N"/>
    <m/>
    <m/>
    <m/>
    <m/>
  </r>
  <r>
    <x v="0"/>
    <n v="89"/>
    <s v="Train129"/>
    <x v="3"/>
    <x v="0"/>
    <x v="4"/>
    <s v="CNST_CHNG_TRSTN_VRSN_NBR"/>
    <s v="1"/>
    <s v="Y"/>
    <s v="train.train_cnst_dtl_rail_eqpt.cnst_chng_trstn_vrsn_nbr"/>
    <s v="N"/>
    <m/>
    <m/>
    <m/>
    <m/>
  </r>
  <r>
    <x v="0"/>
    <n v="90"/>
    <s v="Train141"/>
    <x v="3"/>
    <x v="0"/>
    <x v="4"/>
    <s v="CNST_LCM_OPRSTS_ID"/>
    <s v="NULL"/>
    <s v="Y"/>
    <s v="train.train_cnst_dtl_rail_eqpt.cnst_lcm_oprsts_id"/>
    <s v="N"/>
    <m/>
    <m/>
    <m/>
    <m/>
  </r>
  <r>
    <x v="0"/>
    <n v="91"/>
    <s v="Train045"/>
    <x v="1"/>
    <x v="0"/>
    <x v="4"/>
    <s v="SUBDIVISION"/>
    <s v="LAREDO"/>
    <s v="Y"/>
    <s v="dm_dim.gis_orgn_dstntn_mlg_by_stprv.sbdvsn_nm"/>
    <s v="N"/>
    <m/>
    <m/>
    <m/>
    <m/>
  </r>
  <r>
    <x v="0"/>
    <n v="92"/>
    <s v="Train058"/>
    <x v="2"/>
    <x v="0"/>
    <x v="4"/>
    <s v="District"/>
    <s v="Southwest"/>
    <s v="Y"/>
    <s v="dm_dim.dim_subdvsn_zone"/>
    <s v="N"/>
    <m/>
    <m/>
    <m/>
    <m/>
  </r>
  <r>
    <x v="0"/>
    <n v="93"/>
    <s v="Train054"/>
    <x v="1"/>
    <x v="0"/>
    <x v="4"/>
    <s v="ZONE"/>
    <s v="SOUTHWEST"/>
    <s v="Y"/>
    <s v="dm_dim.dim_subdvsn_zone.zone_x000a_dm_dim.dim_subdvsn .zone"/>
    <s v="Y"/>
    <m/>
    <m/>
    <m/>
    <m/>
  </r>
  <r>
    <x v="0"/>
    <n v="94"/>
    <s v="Train047"/>
    <x v="1"/>
    <x v="0"/>
    <x v="4"/>
    <s v="DIVISION"/>
    <s v="South West"/>
    <s v="Y"/>
    <s v="dm_dim.dim_subdvsn_zone.division_nm_x000a_dm_dim.dim_subdvsn .division_nm"/>
    <s v="Y"/>
    <m/>
    <m/>
    <m/>
    <m/>
  </r>
  <r>
    <x v="0"/>
    <n v="95"/>
    <s v="Train046"/>
    <x v="1"/>
    <x v="0"/>
    <x v="4"/>
    <s v="REGION"/>
    <s v="Mexico"/>
    <s v="Y"/>
    <s v="dm_dim.dim_subdvsn_zone.region_x000a_dm_dim.dim_subdvsn .region"/>
    <s v="Y"/>
    <m/>
    <m/>
    <m/>
    <m/>
  </r>
  <r>
    <x v="0"/>
    <n v="96"/>
    <s v="Train057"/>
    <x v="2"/>
    <x v="0"/>
    <x v="4"/>
    <s v="Country"/>
    <s v="US"/>
    <s v="Y"/>
    <s v="trkfc.trkfc_trstn.fsac_cd_x000a_dm_dim.dim_location"/>
    <s v="N"/>
    <m/>
    <m/>
    <m/>
    <m/>
  </r>
  <r>
    <x v="0"/>
    <n v="97"/>
    <s v="Train055"/>
    <x v="2"/>
    <x v="0"/>
    <x v="4"/>
    <s v="Company"/>
    <s v="KCSR"/>
    <s v="TBA"/>
    <s v="Need to find the source to map to"/>
    <m/>
    <m/>
    <m/>
    <m/>
    <m/>
  </r>
  <r>
    <x v="0"/>
    <n v="98"/>
    <s v="Train056"/>
    <x v="2"/>
    <x v="0"/>
    <x v="4"/>
    <s v="RAIL_LINE"/>
    <s v="KCSR"/>
    <s v="Y"/>
    <s v="dm_dim.dim_location"/>
    <s v="N"/>
    <m/>
    <m/>
    <m/>
    <m/>
  </r>
  <r>
    <x v="0"/>
    <n v="99"/>
    <s v="Train098"/>
    <x v="3"/>
    <x v="0"/>
    <x v="4"/>
    <s v="ON_JNCTN_SCAC_CD"/>
    <s v="CPRS"/>
    <s v="Y"/>
    <s v="train.train_cnst_dtl_rail_eqpt.on_jnctn_scac_cd"/>
    <s v="N"/>
    <m/>
    <m/>
    <m/>
    <m/>
  </r>
  <r>
    <x v="0"/>
    <n v="100"/>
    <s v="Train102"/>
    <x v="3"/>
    <x v="0"/>
    <x v="4"/>
    <s v="OFF_JNCTN_SCAC_CD"/>
    <s v="CPRS"/>
    <s v="Y"/>
    <s v="train.train_cnst_dtl_rail_eqpt.off_jnctn_scac_cd"/>
    <s v="N"/>
    <m/>
    <m/>
    <m/>
    <m/>
  </r>
  <r>
    <x v="0"/>
    <n v="101"/>
    <s v="Train099"/>
    <x v="3"/>
    <x v="0"/>
    <x v="4"/>
    <s v="ON_JNCTN_FSAC_CD"/>
    <s v="5770"/>
    <s v="Y"/>
    <s v="train.train_cnst_dtl_rail_eqpt.on_jnctn_fsac_cd"/>
    <s v="N"/>
    <m/>
    <m/>
    <m/>
    <m/>
  </r>
  <r>
    <x v="0"/>
    <n v="102"/>
    <s v="Train103"/>
    <x v="3"/>
    <x v="0"/>
    <x v="4"/>
    <s v="OFF_JNCTN_FSAC_CD"/>
    <s v="4541"/>
    <s v="Y"/>
    <s v="train.train_cnst_dtl_rail_eqpt.off_jnctn_fsac_cd"/>
    <s v="N"/>
    <m/>
    <m/>
    <m/>
    <m/>
  </r>
  <r>
    <x v="0"/>
    <n v="103"/>
    <s v="Train100"/>
    <x v="3"/>
    <x v="0"/>
    <x v="4"/>
    <s v="ON_JNCTN_TRSTN_VRSN_NBR"/>
    <s v="1"/>
    <s v="Y"/>
    <s v="train.train_cnst_dtl_rail_eqpt.on_jnctn_trstn_vrsn_nbr"/>
    <s v="N"/>
    <m/>
    <m/>
    <m/>
    <m/>
  </r>
  <r>
    <x v="0"/>
    <n v="104"/>
    <s v="Train104"/>
    <x v="3"/>
    <x v="0"/>
    <x v="4"/>
    <s v="OFF_JNCTN_TRSTN_VRSN_NBR"/>
    <s v="10"/>
    <s v="Y"/>
    <s v="train.train_cnst_dtl_rail_eqpt.off_jnctn_trstn_vrsn_nbr"/>
    <s v="N"/>
    <m/>
    <m/>
    <m/>
    <m/>
  </r>
  <r>
    <x v="0"/>
    <n v="105"/>
    <s v="Train101"/>
    <x v="3"/>
    <x v="0"/>
    <x v="4"/>
    <s v="RCVD_FROM_SCAC_CD"/>
    <s v="KCSM"/>
    <s v="Y"/>
    <s v="train.train_cnst_dtl_rail_eqpt.rcvd_from_scac_cd"/>
    <s v="N"/>
    <m/>
    <m/>
    <m/>
    <m/>
  </r>
  <r>
    <x v="0"/>
    <n v="106"/>
    <s v="Train105"/>
    <x v="3"/>
    <x v="0"/>
    <x v="4"/>
    <s v="DLVR_TO_SCAC_CD"/>
    <s v="CPRS"/>
    <s v="Y"/>
    <s v="train.train_cnst_dtl_rail_eqpt.dlvr_to_scac_cd"/>
    <s v="N"/>
    <m/>
    <m/>
    <m/>
    <m/>
  </r>
  <r>
    <x v="0"/>
    <n v="107"/>
    <s v="Train110"/>
    <x v="3"/>
    <x v="0"/>
    <x v="4"/>
    <s v="ORNTN_CD"/>
    <s v="NULL"/>
    <s v="Y"/>
    <s v="train.train_cnst_dtl_rail_eqpt.orntn_cd"/>
    <s v="N"/>
    <m/>
    <m/>
    <m/>
    <m/>
  </r>
  <r>
    <x v="0"/>
    <n v="108"/>
    <s v="Train063"/>
    <x v="2"/>
    <x v="0"/>
    <x v="4"/>
    <s v="Depart Station"/>
    <s v="LAREDO BRIDGE"/>
    <s v="TBA"/>
    <m/>
    <m/>
    <n v="1"/>
    <m/>
    <m/>
    <m/>
  </r>
  <r>
    <x v="0"/>
    <n v="109"/>
    <s v="Train064"/>
    <x v="2"/>
    <x v="0"/>
    <x v="4"/>
    <s v="Arrival Station"/>
    <s v="LAREDO YARD"/>
    <s v="TBA"/>
    <m/>
    <m/>
    <n v="1"/>
    <m/>
    <m/>
    <m/>
  </r>
  <r>
    <x v="0"/>
    <n v="110"/>
    <s v="Train151"/>
    <x v="0"/>
    <x v="0"/>
    <x v="4"/>
    <s v="DEPART_RAIL_LINE"/>
    <s v="KCSR"/>
    <s v="Y"/>
    <s v="Need to know source to ascertain whether this is active or not"/>
    <m/>
    <s v="N/A"/>
    <m/>
    <m/>
    <m/>
  </r>
  <r>
    <x v="0"/>
    <n v="111"/>
    <s v="Train152"/>
    <x v="0"/>
    <x v="0"/>
    <x v="4"/>
    <s v="ARRIVE_RAIL_LINE"/>
    <s v="KCSR"/>
    <s v="Y"/>
    <m/>
    <m/>
    <s v="N/A"/>
    <m/>
    <m/>
    <m/>
  </r>
  <r>
    <x v="0"/>
    <n v="112"/>
    <s v="Train153"/>
    <x v="0"/>
    <x v="0"/>
    <x v="4"/>
    <s v="DEPART_SUBDIVISION"/>
    <s v="Based on FSAC"/>
    <s v="Y"/>
    <s v="CTN Tables &amp; MDW Tables.. _x000a__x000a_TRKFC.TRSTN_TRSTN_x000a_TRKFC.TRKFC_STN_HRCHY.. To be explored further.._x000a_MDQ Tables --_x000a_DM_DIM.DIM_SUBDVSN_ZONE"/>
    <m/>
    <s v="N/A"/>
    <m/>
    <m/>
    <m/>
  </r>
  <r>
    <x v="0"/>
    <n v="113"/>
    <s v="Train154"/>
    <x v="0"/>
    <x v="0"/>
    <x v="4"/>
    <s v="ARRIVE_SUBDIVISOIN"/>
    <s v="Based on FSAC"/>
    <s v="Y"/>
    <m/>
    <m/>
    <s v="N/A"/>
    <m/>
    <m/>
    <m/>
  </r>
  <r>
    <x v="0"/>
    <n v="114"/>
    <s v="Train155"/>
    <x v="0"/>
    <x v="0"/>
    <x v="4"/>
    <s v="DEPART_DISTRICT"/>
    <s v="Based on FSAC"/>
    <s v="Y"/>
    <m/>
    <m/>
    <s v="N/A"/>
    <m/>
    <m/>
    <m/>
  </r>
  <r>
    <x v="0"/>
    <n v="115"/>
    <s v="Train156"/>
    <x v="0"/>
    <x v="0"/>
    <x v="4"/>
    <s v="ARRIVE_DISTRICT"/>
    <s v="Based on FSAC"/>
    <s v="Y"/>
    <m/>
    <m/>
    <s v="N/A"/>
    <m/>
    <m/>
    <m/>
  </r>
  <r>
    <x v="0"/>
    <n v="116"/>
    <s v="Train157"/>
    <x v="0"/>
    <x v="0"/>
    <x v="4"/>
    <s v="DEPART_DIVISION"/>
    <s v="Based on FSAC"/>
    <s v="Y"/>
    <m/>
    <m/>
    <s v="N/A"/>
    <m/>
    <m/>
    <m/>
  </r>
  <r>
    <x v="0"/>
    <n v="117"/>
    <s v="Train158"/>
    <x v="0"/>
    <x v="0"/>
    <x v="4"/>
    <s v="ARRIVE_DIVISION"/>
    <s v="Based on FSAC"/>
    <s v="Y"/>
    <m/>
    <m/>
    <s v="N/A"/>
    <m/>
    <m/>
    <m/>
  </r>
  <r>
    <x v="0"/>
    <n v="118"/>
    <s v="Train159"/>
    <x v="0"/>
    <x v="0"/>
    <x v="4"/>
    <s v="DEPART_ZONE"/>
    <s v="Based on FSAC"/>
    <s v="Y"/>
    <m/>
    <m/>
    <s v="N/A"/>
    <m/>
    <m/>
    <m/>
  </r>
  <r>
    <x v="0"/>
    <n v="119"/>
    <s v="Train160"/>
    <x v="0"/>
    <x v="0"/>
    <x v="4"/>
    <s v="ARRIVE_ZONE"/>
    <s v="Based on FSAC"/>
    <s v="Y"/>
    <m/>
    <m/>
    <s v="N/A"/>
    <m/>
    <m/>
    <m/>
  </r>
  <r>
    <x v="0"/>
    <n v="120"/>
    <s v="Train161"/>
    <x v="0"/>
    <x v="0"/>
    <x v="4"/>
    <s v="DEPART_REGION"/>
    <s v="Based on FSAC"/>
    <s v="Y"/>
    <m/>
    <m/>
    <s v="N/A"/>
    <m/>
    <m/>
    <m/>
  </r>
  <r>
    <x v="0"/>
    <n v="121"/>
    <s v="Train162"/>
    <x v="0"/>
    <x v="0"/>
    <x v="4"/>
    <s v="ARRIVE_REGION"/>
    <s v="Based on FSAC"/>
    <s v="Y"/>
    <m/>
    <m/>
    <s v="N/A"/>
    <m/>
    <m/>
    <m/>
  </r>
  <r>
    <x v="0"/>
    <n v="122"/>
    <s v="Train163"/>
    <x v="0"/>
    <x v="0"/>
    <x v="4"/>
    <s v="DEPART_STPRV"/>
    <s v="Based on FSAC"/>
    <s v="Y"/>
    <m/>
    <m/>
    <s v="N/A"/>
    <m/>
    <m/>
    <m/>
  </r>
  <r>
    <x v="0"/>
    <n v="123"/>
    <s v="Train164"/>
    <x v="0"/>
    <x v="0"/>
    <x v="4"/>
    <s v="ARRIVE_STPRV"/>
    <s v="Based on FSAC"/>
    <s v="Y"/>
    <m/>
    <m/>
    <s v="N/A"/>
    <m/>
    <m/>
    <m/>
  </r>
  <r>
    <x v="0"/>
    <n v="124"/>
    <s v="Train167"/>
    <x v="0"/>
    <x v="0"/>
    <x v="4"/>
    <s v="DEPART_REGION"/>
    <s v="Based on FSAC"/>
    <s v="Y"/>
    <s v="trkfc.trkfc_trstn.fsac_cd"/>
    <s v="Y"/>
    <s v="N/A"/>
    <m/>
    <m/>
    <m/>
  </r>
  <r>
    <x v="0"/>
    <n v="125"/>
    <s v="Train168"/>
    <x v="0"/>
    <x v="0"/>
    <x v="4"/>
    <s v="ARRIVE_REGION"/>
    <s v="Based on FSAC"/>
    <s v="Y"/>
    <s v="trkfc.trkfc_trstn.fsac_cd"/>
    <s v="Y"/>
    <s v="N/A"/>
    <m/>
    <m/>
    <m/>
  </r>
  <r>
    <x v="0"/>
    <n v="126"/>
    <s v="Train165"/>
    <x v="0"/>
    <x v="0"/>
    <x v="4"/>
    <s v="DEPART_COUNTRY"/>
    <s v="US"/>
    <s v="Y"/>
    <s v="trkfc.trkfc_trstn.fsac_cd"/>
    <s v="Y"/>
    <s v="N/A"/>
    <m/>
    <m/>
    <m/>
  </r>
  <r>
    <x v="0"/>
    <n v="127"/>
    <s v="Train166"/>
    <x v="0"/>
    <x v="0"/>
    <x v="4"/>
    <s v="ARRIVE_COUNTRY"/>
    <s v="US"/>
    <s v="Y"/>
    <s v="trkfc.trkfc_trstn.fsac_cd"/>
    <s v="Y"/>
    <s v="N/A"/>
    <m/>
    <m/>
    <m/>
  </r>
  <r>
    <x v="0"/>
    <n v="128"/>
    <s v="Train169"/>
    <x v="0"/>
    <x v="0"/>
    <x v="4"/>
    <s v="DEPART_UPDATED_BY(SRC SYS NM AEI/SENTINNEL/GEOFENCE/WITRO)"/>
    <s v="MCS"/>
    <s v="N/A"/>
    <s v="Source TBD"/>
    <m/>
    <s v="N/A"/>
    <m/>
    <m/>
    <m/>
  </r>
  <r>
    <x v="0"/>
    <n v="129"/>
    <s v="Train170"/>
    <x v="0"/>
    <x v="0"/>
    <x v="4"/>
    <s v="ARRIVE_UPDATED_BY(SRC SYS NM AEI/SENTINNEL/GEOFENCE/WITRO)"/>
    <s v="TYES"/>
    <s v="N/A"/>
    <m/>
    <m/>
    <s v="N/A"/>
    <m/>
    <m/>
    <m/>
  </r>
  <r>
    <x v="0"/>
    <n v="130"/>
    <s v="Train171"/>
    <x v="0"/>
    <x v="0"/>
    <x v="4"/>
    <s v="DEPART_REGION"/>
    <m/>
    <s v="Y"/>
    <s v="Train161 -- is same as this"/>
    <m/>
    <s v="N/A"/>
    <m/>
    <m/>
    <m/>
  </r>
  <r>
    <x v="0"/>
    <n v="131"/>
    <s v="Train172"/>
    <x v="0"/>
    <x v="0"/>
    <x v="4"/>
    <s v="ARRIVE_REGION"/>
    <m/>
    <s v="Y"/>
    <s v="Train162 -- is same as this"/>
    <m/>
    <s v="N/A"/>
    <m/>
    <m/>
    <m/>
  </r>
  <r>
    <x v="0"/>
    <n v="132"/>
    <s v="Train078"/>
    <x v="3"/>
    <x v="0"/>
    <x v="7"/>
    <s v="AAR_CAR_TYPE_CD"/>
    <s v="S635"/>
    <s v="Y"/>
    <s v="train.train_cnst_dtl_rail_eqpt.aar_car_type_cd"/>
    <s v="N"/>
    <n v="1"/>
    <m/>
    <m/>
    <m/>
  </r>
  <r>
    <x v="0"/>
    <n v="133"/>
    <s v="Train079"/>
    <x v="3"/>
    <x v="0"/>
    <x v="7"/>
    <s v="OTSD_LENGTH_FEET_QTY"/>
    <s v="204"/>
    <s v="Y"/>
    <s v="train.train_cnst_dtl_rail_eqpt.otsd_length_feet_qty"/>
    <s v="N"/>
    <m/>
    <m/>
    <m/>
    <m/>
  </r>
  <r>
    <x v="0"/>
    <n v="134"/>
    <s v="Train080"/>
    <x v="3"/>
    <x v="0"/>
    <x v="7"/>
    <s v="OTSD_LENGTH_INCHES_QTY"/>
    <s v="2"/>
    <s v="Y"/>
    <s v="train.train_cnst_dtl_rail_eqpt.otsd_length_inches_qty"/>
    <s v="N"/>
    <m/>
    <m/>
    <m/>
    <m/>
  </r>
  <r>
    <x v="0"/>
    <n v="135"/>
    <s v="Train149"/>
    <x v="0"/>
    <x v="0"/>
    <x v="7"/>
    <s v="Railcar ETA"/>
    <s v="Logic TBC"/>
    <s v="N/A"/>
    <m/>
    <m/>
    <s v="N/A"/>
    <m/>
    <m/>
    <m/>
  </r>
  <r>
    <x v="0"/>
    <n v="136"/>
    <s v="Train176"/>
    <x v="0"/>
    <x v="0"/>
    <x v="7"/>
    <s v="Asset Type (Loco/Railcar/Container/EoT)"/>
    <m/>
    <s v="Y"/>
    <s v="Multiple SADB tables inluding stnwyb_msg_dn; UMLER/EMIS tables"/>
    <m/>
    <s v="N/A"/>
    <m/>
    <m/>
    <m/>
  </r>
  <r>
    <x v="0"/>
    <n v="137"/>
    <s v="Train178"/>
    <x v="0"/>
    <x v="0"/>
    <x v="7"/>
    <s v="Equipment_Type(Box car)"/>
    <m/>
    <s v="Y"/>
    <m/>
    <m/>
    <s v="N/A"/>
    <m/>
    <m/>
    <m/>
  </r>
  <r>
    <x v="0"/>
    <n v="138"/>
    <s v="Train179"/>
    <x v="0"/>
    <x v="0"/>
    <x v="7"/>
    <s v="Ownership"/>
    <m/>
    <s v="Y"/>
    <m/>
    <m/>
    <s v="N/A"/>
    <m/>
    <m/>
    <m/>
  </r>
  <r>
    <x v="0"/>
    <n v="139"/>
    <s v="Train180"/>
    <x v="0"/>
    <x v="0"/>
    <x v="7"/>
    <s v="AAR_Car_Kind"/>
    <s v="BXA"/>
    <s v="Y"/>
    <m/>
    <m/>
    <s v="N/A"/>
    <m/>
    <m/>
    <m/>
  </r>
  <r>
    <x v="0"/>
    <n v="140"/>
    <s v="Train181"/>
    <x v="0"/>
    <x v="0"/>
    <x v="7"/>
    <s v="AAR_Pool_NBR"/>
    <s v="BOXCAR"/>
    <s v="Y"/>
    <m/>
    <m/>
    <s v="N/A"/>
    <m/>
    <m/>
    <m/>
  </r>
  <r>
    <x v="0"/>
    <n v="141"/>
    <s v="Train189"/>
    <x v="0"/>
    <x v="0"/>
    <x v="7"/>
    <s v="LIVE_LOCO_IND"/>
    <m/>
    <s v="N/A"/>
    <m/>
    <m/>
    <s v="N/A"/>
    <m/>
    <m/>
    <m/>
  </r>
  <r>
    <x v="0"/>
    <n v="142"/>
    <s v="Train190"/>
    <x v="0"/>
    <x v="0"/>
    <x v="7"/>
    <s v="DH_LOCO_IND"/>
    <m/>
    <s v="N/A"/>
    <m/>
    <m/>
    <s v="N/A"/>
    <m/>
    <m/>
    <m/>
  </r>
  <r>
    <x v="0"/>
    <n v="143"/>
    <s v="Train194"/>
    <x v="0"/>
    <x v="0"/>
    <x v="7"/>
    <s v="WORK_CAR_IND"/>
    <m/>
    <s v="N/A"/>
    <m/>
    <m/>
    <s v="N/A"/>
    <m/>
    <m/>
    <m/>
  </r>
  <r>
    <x v="0"/>
    <n v="144"/>
    <s v="Train195"/>
    <x v="0"/>
    <x v="0"/>
    <x v="7"/>
    <s v="OT57_Registered_IND"/>
    <s v="are cars authorized to move in CPKC? registered in Railinc OT57 registry"/>
    <s v="N/A"/>
    <m/>
    <m/>
    <s v="N/A"/>
    <m/>
    <m/>
    <m/>
  </r>
  <r>
    <x v="0"/>
    <n v="145"/>
    <s v="Train196"/>
    <x v="0"/>
    <x v="0"/>
    <x v="7"/>
    <s v="Reigsered_IND"/>
    <s v="are cars registered in Umler? / DIM equipment"/>
    <s v="N/A"/>
    <m/>
    <m/>
    <s v="N/A"/>
    <m/>
    <m/>
    <m/>
  </r>
  <r>
    <x v="0"/>
    <n v="146"/>
    <s v="Train030"/>
    <x v="1"/>
    <x v="0"/>
    <x v="11"/>
    <s v="LIVE_LOCO_COUNT"/>
    <n v="2"/>
    <s v="Y"/>
    <s v="M/EDW -- INFA Sequence: DM_DIM.DIM_LOCOMOTIVE.DIM_LOCOMOTIVE_ID"/>
    <s v="Y"/>
    <m/>
    <m/>
    <m/>
    <m/>
  </r>
  <r>
    <x v="0"/>
    <n v="147"/>
    <s v="Train031"/>
    <x v="1"/>
    <x v="0"/>
    <x v="11"/>
    <s v="DH_LOCO_COUNT"/>
    <n v="0"/>
    <s v="Y"/>
    <s v="M/EDW -- INFA Sequence: DM_DIM.DIM_LOCOMOTIVE.DIM_LOCOMOTIVE_ID"/>
    <s v="Y"/>
    <m/>
    <m/>
    <m/>
    <m/>
  </r>
  <r>
    <x v="0"/>
    <n v="148"/>
    <s v="Train111"/>
    <x v="3"/>
    <x v="0"/>
    <x v="11"/>
    <s v="LEAD_LCMTV_IND"/>
    <s v="NULL"/>
    <s v="Y or N_x000a_Only 157474 of 15M records have this as not null, for the rest of the records this is null"/>
    <s v="train.train_cnst_dtl_rail_eqpt.lead_lcmtv_ind"/>
    <s v="N"/>
    <m/>
    <m/>
    <m/>
    <m/>
  </r>
  <r>
    <x v="0"/>
    <n v="149"/>
    <s v="Train112"/>
    <x v="3"/>
    <x v="0"/>
    <x v="11"/>
    <s v="LCMTV_CNST_STATUS_CD"/>
    <s v="NULL"/>
    <s v="Y or N_x000a_Only 120575 of 15M records have this as not null, for the rest of the records this is null"/>
    <s v="train.train_cnst_dtl_rail_eqpt.lcmtv_cnst_status_cd"/>
    <s v="N"/>
    <m/>
    <m/>
    <m/>
    <m/>
  </r>
  <r>
    <x v="0"/>
    <n v="150"/>
    <s v="Train115"/>
    <x v="3"/>
    <x v="0"/>
    <x v="11"/>
    <s v="LIFT_MVMNT_EVENT_ID"/>
    <s v="NULL"/>
    <s v="N"/>
    <s v="train.train_cnst_dtl_rail_eqpt.lift_mvmnt_event_id"/>
    <s v="N"/>
    <m/>
    <m/>
    <m/>
    <m/>
  </r>
  <r>
    <x v="0"/>
    <n v="151"/>
    <s v="Train120"/>
    <x v="3"/>
    <x v="0"/>
    <x v="11"/>
    <s v="SET_MVMNT_EVENT_ID"/>
    <s v="NULL"/>
    <s v="N"/>
    <s v="train.train_cnst_dtl_rail_eqpt.set_mvmnt_event_id"/>
    <s v="N"/>
    <m/>
    <m/>
    <m/>
    <m/>
  </r>
  <r>
    <x v="0"/>
    <n v="152"/>
    <s v="Train116"/>
    <x v="3"/>
    <x v="0"/>
    <x v="11"/>
    <s v="LIFT_EVENT_TMS"/>
    <s v="NULL"/>
    <s v="N"/>
    <s v="train.train_cnst_dtl_rail_eqpt.lift_event_tms"/>
    <s v="N"/>
    <m/>
    <m/>
    <m/>
    <m/>
  </r>
  <r>
    <x v="0"/>
    <n v="153"/>
    <s v="Train121"/>
    <x v="3"/>
    <x v="0"/>
    <x v="11"/>
    <s v="SET_EVENT_TMS"/>
    <s v="NULL"/>
    <s v="N"/>
    <s v="train.train_cnst_dtl_rail_eqpt.set_event_tms"/>
    <s v="N"/>
    <m/>
    <m/>
    <m/>
    <m/>
  </r>
  <r>
    <x v="0"/>
    <n v="154"/>
    <s v="Train117"/>
    <x v="3"/>
    <x v="0"/>
    <x v="11"/>
    <s v="LIFT_SCAC_CD"/>
    <s v="NULL"/>
    <s v="N"/>
    <s v="train.train_cnst_dtl_rail_eqpt.lift_scac_cd"/>
    <s v="N"/>
    <m/>
    <m/>
    <m/>
    <m/>
  </r>
  <r>
    <x v="0"/>
    <n v="155"/>
    <s v="Train122"/>
    <x v="3"/>
    <x v="0"/>
    <x v="11"/>
    <s v="SET_SCAC_CD"/>
    <s v="NULL"/>
    <s v="N"/>
    <s v="train.train_cnst_dtl_rail_eqpt.set_scac_cd"/>
    <s v="N"/>
    <m/>
    <m/>
    <m/>
    <m/>
  </r>
  <r>
    <x v="0"/>
    <n v="156"/>
    <s v="Train118"/>
    <x v="3"/>
    <x v="0"/>
    <x v="11"/>
    <s v="LIFT_FSAC_CD"/>
    <s v="NULL"/>
    <s v="N"/>
    <s v="train.train_cnst_dtl_rail_eqpt.lift_fsac_cd"/>
    <s v="N"/>
    <m/>
    <m/>
    <m/>
    <m/>
  </r>
  <r>
    <x v="0"/>
    <n v="157"/>
    <s v="Train123"/>
    <x v="3"/>
    <x v="0"/>
    <x v="11"/>
    <s v="SET_FSAC_CD"/>
    <s v="NULL"/>
    <s v="N"/>
    <s v="train.train_cnst_dtl_rail_eqpt.set_fsac_cd"/>
    <s v="N"/>
    <m/>
    <m/>
    <m/>
    <m/>
  </r>
  <r>
    <x v="0"/>
    <n v="158"/>
    <s v="Train119"/>
    <x v="3"/>
    <x v="0"/>
    <x v="11"/>
    <s v="LIFT_TRSTN_VRSN_NBR"/>
    <s v="NULL"/>
    <s v="N"/>
    <s v="train.train_cnst_dtl_rail_eqpt.lift_trstn_vrsn_nbr"/>
    <s v="N"/>
    <m/>
    <m/>
    <m/>
    <m/>
  </r>
  <r>
    <x v="0"/>
    <n v="159"/>
    <s v="Train124"/>
    <x v="3"/>
    <x v="0"/>
    <x v="11"/>
    <s v="SET_TRSTN_VRSN_NBR"/>
    <s v="NULL"/>
    <s v="N"/>
    <s v="train.train_cnst_dtl_rail_eqpt.set_trstn_vrsn_nbr"/>
    <s v="N"/>
    <m/>
    <m/>
    <m/>
    <m/>
  </r>
  <r>
    <x v="0"/>
    <n v="160"/>
    <s v="Train131"/>
    <x v="3"/>
    <x v="0"/>
    <x v="11"/>
    <s v="LIFT_RPRTNG_TM_ZN_CD"/>
    <s v="NULL"/>
    <s v="N"/>
    <s v="train.train_cnst_dtl_rail_eqpt.lift_rprtng_tm_zn_cd"/>
    <s v="N"/>
    <m/>
    <m/>
    <m/>
    <m/>
  </r>
  <r>
    <x v="0"/>
    <n v="161"/>
    <s v="Train132"/>
    <x v="3"/>
    <x v="0"/>
    <x v="11"/>
    <s v="LIFT_RPRTNG_TM_ZN_YR_NBR"/>
    <s v="NULL"/>
    <s v="N"/>
    <s v="train.train_cnst_dtl_rail_eqpt.lift_rprtng_tm_zn_yr_nbr"/>
    <s v="N"/>
    <m/>
    <m/>
    <m/>
    <m/>
  </r>
  <r>
    <x v="0"/>
    <n v="162"/>
    <s v="Train012"/>
    <x v="1"/>
    <x v="0"/>
    <x v="5"/>
    <s v="CONSIST_NBR"/>
    <n v="4994"/>
    <s v="Y"/>
    <s v="train.train_cnst_smry.source_system_train_cnst_nbr"/>
    <s v="N"/>
    <n v="1"/>
    <m/>
    <m/>
    <m/>
  </r>
  <r>
    <x v="0"/>
    <n v="163"/>
    <s v="Train053"/>
    <x v="1"/>
    <x v="0"/>
    <x v="5"/>
    <s v="RUN_NBR"/>
    <s v="NULL"/>
    <s v="N"/>
    <s v="No source found"/>
    <s v="NA"/>
    <m/>
    <m/>
    <m/>
    <m/>
  </r>
  <r>
    <x v="0"/>
    <n v="164"/>
    <s v="Train072"/>
    <x v="3"/>
    <x v="0"/>
    <x v="5"/>
    <s v="TRAIN_CNST_SMRY_ID"/>
    <s v="15469189991"/>
    <s v="Y"/>
    <s v="train.train_cnst_dtl_rail_eqpt.train_cnst_smry_id"/>
    <s v="N"/>
    <m/>
    <m/>
    <m/>
    <m/>
  </r>
  <r>
    <x v="0"/>
    <n v="165"/>
    <s v="Train073"/>
    <x v="3"/>
    <x v="0"/>
    <x v="5"/>
    <s v="TRAIN_CNST_SMRY_VRSN_NBR"/>
    <s v="2"/>
    <s v="Y"/>
    <s v="train.train_cnst_dtl_rail_eqpt.train_cnst_smry_vrsn_nbr"/>
    <s v="N"/>
    <m/>
    <m/>
    <m/>
    <m/>
  </r>
  <r>
    <x v="0"/>
    <n v="166"/>
    <s v="Train106"/>
    <x v="3"/>
    <x v="0"/>
    <x v="5"/>
    <s v="RFEQP_ASGN_NBR"/>
    <s v="NULL"/>
    <s v="Y or N _x000a_only  603 records out of 15M records had this as not null"/>
    <s v="train.train_cnst_dtl_rail_eqpt.rfeqp_asgn_nbr"/>
    <s v="N"/>
    <m/>
    <m/>
    <m/>
    <m/>
  </r>
  <r>
    <x v="0"/>
    <n v="167"/>
    <s v="Train107"/>
    <x v="3"/>
    <x v="0"/>
    <x v="5"/>
    <s v="RFEQP_DATA_BASE_CN"/>
    <s v="NULL"/>
    <s v="Y or N _x000a_only  603 records out of 15M records had this as not null"/>
    <s v="train.train_cnst_dtl_rail_eqpt.rfeqp_data_base_cn"/>
    <s v="N"/>
    <m/>
    <m/>
    <m/>
    <m/>
  </r>
  <r>
    <x v="0"/>
    <n v="168"/>
    <s v="Train108"/>
    <x v="3"/>
    <x v="0"/>
    <x v="5"/>
    <s v="SHPMT_NBR"/>
    <s v="NULL"/>
    <s v="Y"/>
    <s v="train.train_cnst_dtl_rail_eqpt.shpmt_nbr"/>
    <s v="N"/>
    <m/>
    <m/>
    <m/>
    <m/>
  </r>
  <r>
    <x v="0"/>
    <n v="169"/>
    <s v="Train109"/>
    <x v="3"/>
    <x v="0"/>
    <x v="5"/>
    <s v="SHPMT_DATA_BASE_CN"/>
    <s v="NULL"/>
    <s v="Y"/>
    <s v="train.train_cnst_dtl_rail_eqpt.shpmt_data_base_cn"/>
    <s v="N"/>
    <m/>
    <m/>
    <m/>
    <m/>
  </r>
  <r>
    <x v="0"/>
    <n v="170"/>
    <s v="Train137"/>
    <x v="3"/>
    <x v="0"/>
    <x v="5"/>
    <s v="INTRCH_MVMNT_ATHRTY_CD"/>
    <s v="NULL"/>
    <s v="Y"/>
    <s v="train.train_cnst_dtl_rail_eqpt.intrch_mvmnt_athrty_cd"/>
    <s v="N"/>
    <m/>
    <m/>
    <m/>
    <m/>
  </r>
  <r>
    <x v="0"/>
    <n v="171"/>
    <s v="Train135"/>
    <x v="3"/>
    <x v="0"/>
    <x v="0"/>
    <s v="CNST_CHNG_RPRTNG_TM_ZN_CD"/>
    <s v="CT"/>
    <s v="Y"/>
    <s v="train.train_cnst_dtl_rail_eqpt.cnst_chng_rprtng_tm_zn_cd"/>
    <s v="N"/>
    <m/>
    <m/>
    <m/>
    <m/>
  </r>
  <r>
    <x v="0"/>
    <n v="172"/>
    <s v="Train136"/>
    <x v="3"/>
    <x v="0"/>
    <x v="0"/>
    <s v="CNST_CHNG_RPRTNG_TM_ZN_YR_NBR"/>
    <s v="2025"/>
    <s v="Y"/>
    <s v="train.train_cnst_dtl_rail_eqpt.cnst_chng_rprtng_tm_zn_yr_nbr"/>
    <s v="N"/>
    <m/>
    <m/>
    <m/>
    <m/>
  </r>
  <r>
    <x v="0"/>
    <n v="173"/>
    <s v="Train095"/>
    <x v="3"/>
    <x v="0"/>
    <x v="1"/>
    <s v="WYBL_TMS"/>
    <n v="45870.797222222202"/>
    <s v="Y"/>
    <s v="train.train_cnst_dtl_rail_eqpt.wybl_tms"/>
    <s v="N"/>
    <m/>
    <m/>
    <m/>
    <m/>
  </r>
  <r>
    <x v="0"/>
    <n v="174"/>
    <s v="Train125"/>
    <x v="3"/>
    <x v="0"/>
    <x v="1"/>
    <s v="CNST_CHNG_EVENT_TMS"/>
    <s v="45870.7604166667"/>
    <s v="Y"/>
    <s v="train.train_cnst_dtl_rail_eqpt.cnst_chng_event_tms"/>
    <s v="N"/>
    <m/>
    <m/>
    <m/>
    <m/>
  </r>
  <r>
    <x v="0"/>
    <n v="175"/>
    <s v="Train133"/>
    <x v="3"/>
    <x v="0"/>
    <x v="1"/>
    <s v="SET_RPRTNG_TM_ZN_CD"/>
    <s v="NULL"/>
    <s v="N"/>
    <s v="train.train_cnst_dtl_rail_eqpt.set_rprtng_tm_zn_cd"/>
    <s v="N"/>
    <m/>
    <m/>
    <m/>
    <m/>
  </r>
  <r>
    <x v="0"/>
    <n v="176"/>
    <s v="Train134"/>
    <x v="3"/>
    <x v="0"/>
    <x v="1"/>
    <s v="SET_RPRTNG_TM_ZN_YR_NBR"/>
    <s v="NULL"/>
    <s v="N"/>
    <s v="train.train_cnst_dtl_rail_eqpt.set_rprtng_tm_zn_yr_nbr"/>
    <s v="N"/>
    <m/>
    <m/>
    <m/>
    <m/>
  </r>
  <r>
    <x v="0"/>
    <n v="177"/>
    <s v="Train148"/>
    <x v="0"/>
    <x v="0"/>
    <x v="3"/>
    <s v="Train ETA"/>
    <s v="Logic TBC"/>
    <s v="N/A"/>
    <m/>
    <m/>
    <s v="N/A"/>
    <m/>
    <m/>
    <m/>
  </r>
  <r>
    <x v="0"/>
    <n v="178"/>
    <s v="Train022"/>
    <x v="1"/>
    <x v="0"/>
    <x v="13"/>
    <s v="SUM_HRSPWR_QTY"/>
    <n v="8700"/>
    <s v="Y"/>
    <s v="lcmtv.lcmtv_emis.hrspwr_qty"/>
    <s v="Y"/>
    <m/>
    <m/>
    <m/>
    <m/>
  </r>
  <r>
    <x v="0"/>
    <n v="179"/>
    <s v="Train049"/>
    <x v="1"/>
    <x v="0"/>
    <x v="3"/>
    <s v="NS_TRAIN_TYPE"/>
    <n v="8"/>
    <s v="Y"/>
    <s v="Derived from Train_Series"/>
    <s v="Y"/>
    <m/>
    <m/>
    <m/>
    <m/>
  </r>
  <r>
    <x v="0"/>
    <n v="180"/>
    <s v="Train060"/>
    <x v="2"/>
    <x v="0"/>
    <x v="3"/>
    <s v="Previous Train Series"/>
    <s v="100"/>
    <s v="TBA"/>
    <s v="Need to find the source to map these and identify whether these are active or not"/>
    <m/>
    <s v="?"/>
    <m/>
    <m/>
    <m/>
  </r>
  <r>
    <x v="0"/>
    <n v="181"/>
    <s v="Train061"/>
    <x v="2"/>
    <x v="0"/>
    <x v="3"/>
    <s v="Previous Train Symbol"/>
    <s v="181"/>
    <s v="TBA"/>
    <m/>
    <m/>
    <s v="?"/>
    <m/>
    <m/>
    <m/>
  </r>
  <r>
    <x v="0"/>
    <n v="182"/>
    <s v="Train062"/>
    <x v="2"/>
    <x v="0"/>
    <x v="3"/>
    <s v="Previous Train Type"/>
    <s v="181"/>
    <s v="TBA"/>
    <m/>
    <m/>
    <s v="?"/>
    <m/>
    <m/>
    <m/>
  </r>
  <r>
    <x v="0"/>
    <n v="183"/>
    <s v="Train090"/>
    <x v="3"/>
    <x v="0"/>
    <x v="13"/>
    <s v="BAD_ORDER_CAR_GRADE_CD"/>
    <s v="NULL"/>
    <s v="Y"/>
    <s v="train.train_cnst_dtl_rail_eqpt.bad_order_car_grade_cd"/>
    <s v="N"/>
    <m/>
    <m/>
    <m/>
    <m/>
  </r>
  <r>
    <x v="0"/>
    <n v="184"/>
    <s v="Train091"/>
    <x v="3"/>
    <x v="0"/>
    <x v="13"/>
    <s v="BAD_ORDER_REASON_CD"/>
    <s v="NULL"/>
    <s v="Y"/>
    <s v="train.train_cnst_dtl_rail_eqpt.bad_order_reason_cd"/>
    <s v="N"/>
    <m/>
    <m/>
    <m/>
    <m/>
  </r>
  <r>
    <x v="0"/>
    <n v="185"/>
    <s v="Train113"/>
    <x v="3"/>
    <x v="0"/>
    <x v="13"/>
    <s v="LCMTV_MCHNCL_STATUS_CD"/>
    <s v="NULL"/>
    <s v="Y"/>
    <s v="train.train_cnst_dtl_rail_eqpt.lcmtv_mchncl_status_cd"/>
    <s v="N"/>
    <m/>
    <m/>
    <m/>
    <m/>
  </r>
  <r>
    <x v="0"/>
    <n v="186"/>
    <s v="Train114"/>
    <x v="3"/>
    <x v="0"/>
    <x v="3"/>
    <s v="BRNG_TYPE_CD"/>
    <s v="N"/>
    <s v="Y"/>
    <s v="train.train_cnst_dtl_rail_eqpt.brng_type_cd"/>
    <s v="N"/>
    <m/>
    <m/>
    <m/>
    <m/>
  </r>
  <r>
    <x v="0"/>
    <n v="187"/>
    <s v="Train138"/>
    <x v="3"/>
    <x v="0"/>
    <x v="3"/>
    <s v="OCS_UPDATE_CD"/>
    <s v="Y"/>
    <s v="Y"/>
    <s v="train.train_cnst_dtl_rail_eqpt.ocs_update_cd"/>
    <s v="N"/>
    <m/>
    <m/>
    <m/>
    <m/>
  </r>
  <r>
    <x v="0"/>
    <n v="188"/>
    <s v="Train147"/>
    <x v="0"/>
    <x v="0"/>
    <x v="3"/>
    <s v="Key Train Indicator"/>
    <s v="Logic TBC"/>
    <s v="N/A"/>
    <s v="Need to know source to ascertain whether this is active or not"/>
    <m/>
    <s v="N/A"/>
    <m/>
    <m/>
    <m/>
  </r>
  <r>
    <x v="0"/>
    <n v="189"/>
    <s v="Train193"/>
    <x v="0"/>
    <x v="0"/>
    <x v="3"/>
    <s v="PASS_BUS_IND"/>
    <m/>
    <s v="N/A"/>
    <m/>
    <m/>
    <s v="N/A"/>
    <m/>
    <m/>
    <m/>
  </r>
  <r>
    <x v="0"/>
    <n v="190"/>
    <s v="Train196"/>
    <x v="0"/>
    <x v="0"/>
    <x v="7"/>
    <s v="DRCTN_CD"/>
    <s v="N/W/E/S"/>
    <s v="N/A"/>
    <s v="BLANKS NOW IN FIELD LISTING"/>
    <m/>
    <m/>
    <m/>
    <m/>
    <m/>
  </r>
  <r>
    <x v="1"/>
    <n v="191"/>
    <s v="Train203"/>
    <x v="0"/>
    <x v="0"/>
    <x v="7"/>
    <s v="TRAVEL_DRCTN_CD"/>
    <s v="N/W/E/S"/>
    <s v="ATM_EQPMV.EQPMV_HFEQP_MVMNT_EVENT"/>
    <m/>
    <m/>
    <m/>
    <m/>
    <m/>
    <m/>
  </r>
  <r>
    <x v="1"/>
    <n v="192"/>
    <s v="Train204"/>
    <x v="0"/>
    <x v="0"/>
    <x v="7"/>
    <s v="TRAVEL_DRCTN_CD"/>
    <s v="N/W/E/S"/>
    <s v="ATM_EQPMV.EQPMV_RFEQP_MVMNT_EVENT"/>
    <m/>
    <m/>
    <m/>
    <m/>
    <m/>
    <m/>
  </r>
  <r>
    <x v="1"/>
    <n v="193"/>
    <s v="Train205"/>
    <x v="0"/>
    <x v="0"/>
    <x v="7"/>
    <s v="TRAVEL_DRCTN_CD"/>
    <s v="N/W/E/S"/>
    <s v="ATM_EQPMV.EQPMV_RFEQP_MVMNT_EVENT_KCSM_INTERCHANGE"/>
    <m/>
    <m/>
    <m/>
    <m/>
    <m/>
    <m/>
  </r>
  <r>
    <x v="1"/>
    <n v="194"/>
    <s v="Train206"/>
    <x v="0"/>
    <x v="0"/>
    <x v="7"/>
    <s v="TRAVEL_DRCTN_CD"/>
    <s v="N/W/E/S"/>
    <s v="ATM_LCMTV.LCMTV_MVMNT_EVENT"/>
    <m/>
    <m/>
    <m/>
    <m/>
    <m/>
    <m/>
  </r>
  <r>
    <x v="1"/>
    <n v="195"/>
    <s v="Train207"/>
    <x v="0"/>
    <x v="0"/>
    <x v="7"/>
    <s v="TRAVEL_DRCTN_CD"/>
    <s v="N/W/E/S"/>
    <s v="ATM_TRAIN.OPTRN_EVENT"/>
    <m/>
    <m/>
    <m/>
    <m/>
    <m/>
    <m/>
  </r>
  <r>
    <x v="1"/>
    <n v="1"/>
    <s v="Train142"/>
    <x v="0"/>
    <x v="0"/>
    <x v="0"/>
    <s v="Train Year"/>
    <s v="Based on DFLC TMS"/>
    <s v="Y"/>
    <s v="eqpmv.eqpmv_rfeqp_mvmnt_event.report_tms"/>
    <s v="Y"/>
    <m/>
    <m/>
    <m/>
    <m/>
  </r>
  <r>
    <x v="1"/>
    <n v="2"/>
    <s v="Train143"/>
    <x v="0"/>
    <x v="0"/>
    <x v="0"/>
    <s v="Train Quarter"/>
    <s v="Based on DFLC TMS"/>
    <s v="Y"/>
    <s v="eqpmv.eqpmv_rfeqp_mvmnt_event.report_tms"/>
    <s v="Y"/>
    <m/>
    <m/>
    <m/>
    <m/>
  </r>
  <r>
    <x v="1"/>
    <n v="3"/>
    <s v="Train144"/>
    <x v="0"/>
    <x v="0"/>
    <x v="0"/>
    <s v="Train Month"/>
    <s v="Based on DFLC TMS"/>
    <s v="Y"/>
    <s v="eqpmv.eqpmv_rfeqp_mvmnt_event.report_tms"/>
    <s v="Y"/>
    <m/>
    <m/>
    <m/>
    <m/>
  </r>
  <r>
    <x v="1"/>
    <n v="4"/>
    <s v="Train145"/>
    <x v="0"/>
    <x v="0"/>
    <x v="0"/>
    <s v="Train Day"/>
    <s v="Based on DFLC TMS"/>
    <s v="Y"/>
    <s v="eqpmv.eqpmv_rfeqp_mvmnt_event.report_tms"/>
    <s v="Y"/>
    <m/>
    <m/>
    <m/>
    <m/>
  </r>
  <r>
    <x v="1"/>
    <n v="5"/>
    <s v="Train009"/>
    <x v="1"/>
    <x v="0"/>
    <x v="1"/>
    <s v="SADB_RECEIVING_DT"/>
    <d v="2025-08-02T00:00:00"/>
    <s v="Y"/>
    <s v="eqpmv.eqpmv_rfeqp_mvmnt_event_x000a_lcmtv.lcmtv_mvmnt_event"/>
    <s v="N"/>
    <m/>
    <m/>
    <m/>
    <m/>
  </r>
  <r>
    <x v="1"/>
    <n v="6"/>
    <s v="Train001"/>
    <x v="1"/>
    <x v="0"/>
    <x v="2"/>
    <s v="SRC_SYS"/>
    <s v="KCS"/>
    <s v="Y"/>
    <s v="Exact Source not identified yet"/>
    <s v="N"/>
    <m/>
    <m/>
    <m/>
    <m/>
  </r>
  <r>
    <x v="1"/>
    <n v="7"/>
    <s v="Train048"/>
    <x v="1"/>
    <x v="0"/>
    <x v="3"/>
    <s v="TRAIN_SERIES"/>
    <n v="100"/>
    <s v="Y"/>
    <s v="Derived from Train_Name"/>
    <s v="Y"/>
    <m/>
    <m/>
    <m/>
    <m/>
  </r>
  <r>
    <x v="1"/>
    <n v="8"/>
    <s v="Train050"/>
    <x v="1"/>
    <x v="0"/>
    <x v="3"/>
    <s v="TRAIN_SYMBOL"/>
    <n v="181"/>
    <s v="Y"/>
    <s v="Derived from Train_Name"/>
    <s v="Y"/>
    <m/>
    <m/>
    <m/>
    <m/>
  </r>
  <r>
    <x v="1"/>
    <n v="9"/>
    <s v="Train011"/>
    <x v="1"/>
    <x v="0"/>
    <x v="3"/>
    <s v="TRAIN_NAME"/>
    <s v="181-01"/>
    <s v="Y"/>
    <s v="train.train_cnst_smry.train_nm"/>
    <s v="N"/>
    <m/>
    <m/>
    <m/>
    <m/>
  </r>
  <r>
    <x v="1"/>
    <n v="10"/>
    <s v="Train051"/>
    <x v="1"/>
    <x v="0"/>
    <x v="3"/>
    <s v="TRAIN_TYPE_CD"/>
    <s v="FRT"/>
    <s v="Y"/>
    <s v="atm_train.train_plan.train_type_cd_x000a_atm_train.optrn.train_type_cd"/>
    <s v="Y"/>
    <m/>
    <m/>
    <m/>
    <m/>
  </r>
  <r>
    <x v="1"/>
    <n v="11"/>
    <s v="Train052"/>
    <x v="1"/>
    <x v="0"/>
    <x v="3"/>
    <s v="TRAIN_KIND_CD"/>
    <s v="PRIM"/>
    <s v="Y"/>
    <s v="atm_train.train_plan.train_kind_cd_x000a_atm_train.optrn.train_kind_cd"/>
    <s v="Y"/>
    <m/>
    <m/>
    <m/>
    <m/>
  </r>
  <r>
    <x v="1"/>
    <n v="12"/>
    <s v="Train059"/>
    <x v="2"/>
    <x v="0"/>
    <x v="3"/>
    <s v="TYPE"/>
    <s v="OP"/>
    <s v="Y"/>
    <s v="train.train_cnst_smry.train_nm"/>
    <s v="Y"/>
    <m/>
    <m/>
    <m/>
    <m/>
  </r>
  <r>
    <x v="1"/>
    <n v="13"/>
    <s v="Train013"/>
    <x v="1"/>
    <x v="0"/>
    <x v="4"/>
    <s v="DEPART_FSAC"/>
    <n v="5770"/>
    <s v="Y"/>
    <s v="trkfc.trkfc_trstn.fsac_cd"/>
    <s v="N"/>
    <s v="All FSAC's within train routes must be reported"/>
    <m/>
    <m/>
    <m/>
  </r>
  <r>
    <x v="1"/>
    <n v="14"/>
    <s v="Train014"/>
    <x v="1"/>
    <x v="0"/>
    <x v="4"/>
    <s v="ARRIVE_FSAC"/>
    <n v="5772"/>
    <s v="Y"/>
    <s v="trkfc.trkfc_trstn.fsac_cd"/>
    <s v="N"/>
    <s v="All FSAC's within train routes must be reported"/>
    <m/>
    <m/>
    <m/>
  </r>
  <r>
    <x v="1"/>
    <n v="15"/>
    <s v="Train007"/>
    <x v="1"/>
    <x v="0"/>
    <x v="1"/>
    <s v="ARRIVAL_TMS"/>
    <d v="2025-08-01T23:43:00"/>
    <s v="Y"/>
    <s v="eqpmv.eqpmv_rfeqp_mvmnt_event.report_tms"/>
    <s v="N"/>
    <m/>
    <m/>
    <m/>
    <m/>
  </r>
  <r>
    <x v="1"/>
    <n v="16"/>
    <s v="Train008"/>
    <x v="1"/>
    <x v="0"/>
    <x v="1"/>
    <s v="DEPARTURE_TMS"/>
    <d v="2025-08-01T21:37:00"/>
    <s v="Y"/>
    <s v="eqpmv.eqpmv_rfeqp_mvmnt_event.report_tms"/>
    <s v="Y"/>
    <m/>
    <m/>
    <m/>
    <m/>
  </r>
  <r>
    <x v="1"/>
    <n v="17"/>
    <s v="Train010"/>
    <x v="1"/>
    <x v="0"/>
    <x v="5"/>
    <s v="TITAN_NBR"/>
    <n v="942442"/>
    <s v="Y"/>
    <s v="train.train_plan_leg.mtp_titan_nbr_x000a_train.optrn_leg.mtp_titan_nbr"/>
    <s v="N"/>
    <m/>
    <m/>
    <m/>
    <m/>
  </r>
  <r>
    <x v="1"/>
    <n v="18"/>
    <s v="Train021"/>
    <x v="1"/>
    <x v="0"/>
    <x v="6"/>
    <s v="TRAIN_MILES"/>
    <n v="7.9859999999999998"/>
    <s v="Y"/>
    <s v="ctnapp.ctng_line_dn.gmtry"/>
    <s v="Y"/>
    <s v="does not make sense at car level "/>
    <m/>
    <m/>
    <m/>
  </r>
  <r>
    <x v="1"/>
    <n v="19"/>
    <s v="Train026"/>
    <x v="1"/>
    <x v="0"/>
    <x v="6"/>
    <s v="CONTENT_TON_MILES"/>
    <n v="16043.874"/>
    <s v="Y"/>
    <s v="train.train_cnst_dtl_rail_eqpt.net_weight_tons_qty"/>
    <n v="0"/>
    <m/>
    <m/>
    <m/>
    <m/>
  </r>
  <r>
    <x v="1"/>
    <n v="20"/>
    <s v="Train025"/>
    <x v="1"/>
    <x v="0"/>
    <x v="8"/>
    <s v="LOCO_FULL_WEIGHT"/>
    <n v="424"/>
    <s v="Y"/>
    <s v="lcmtv.lcmtv_emis.full_weight_qty"/>
    <s v="Y"/>
    <m/>
    <m/>
    <m/>
    <m/>
  </r>
  <r>
    <x v="1"/>
    <n v="20"/>
    <s v="Train027"/>
    <x v="1"/>
    <x v="0"/>
    <x v="8"/>
    <s v="TARE_TONS"/>
    <n v="1598.45"/>
    <s v="Y"/>
    <s v="lcmtv.lcmtv_emis.full_weight_qty_x000a_train.train_cnst_dtl_rail_eqpt.tare_weight_tons_qty"/>
    <s v="Y"/>
    <m/>
    <m/>
    <m/>
    <m/>
  </r>
  <r>
    <x v="1"/>
    <n v="21"/>
    <s v="Train015"/>
    <x v="1"/>
    <x v="0"/>
    <x v="0"/>
    <s v="TRAIN_HRS"/>
    <n v="2"/>
    <s v="Y"/>
    <s v="ctnapp.ctng_line_dn.gmtry _x000a_mvmnt_type hard coded as 'lcmtv' or 'eqpmv'_x000a_train.train_cnst_dtl_rail_eqpt.lead_lcmtv_ind_x000a_train.train_cnst_dtl_rail_eqpt.lcmtv_cnst_status_cd"/>
    <s v="Y"/>
    <m/>
    <m/>
    <m/>
    <m/>
  </r>
  <r>
    <x v="1"/>
    <n v="22"/>
    <s v="Train016"/>
    <x v="1"/>
    <x v="0"/>
    <x v="0"/>
    <s v="TRAIN_MINS"/>
    <n v="6.02"/>
    <s v="Y"/>
    <s v="Derived from ARRIVAL_TMS, DEPARTURE_TMS, TOT_MILES, TRAIN_MILES"/>
    <s v="Y"/>
    <m/>
    <m/>
    <m/>
    <m/>
  </r>
  <r>
    <x v="1"/>
    <n v="23"/>
    <s v="Train020"/>
    <x v="1"/>
    <x v="0"/>
    <x v="6"/>
    <s v="EQPMT_MILES"/>
    <n v="167.70599999999999"/>
    <s v="Y"/>
    <s v="ctnapp.ctng_line_dn.gmtry"/>
    <s v="Y"/>
    <m/>
    <m/>
    <m/>
    <m/>
  </r>
  <r>
    <x v="1"/>
    <n v="24"/>
    <s v="Train028"/>
    <x v="1"/>
    <x v="0"/>
    <x v="9"/>
    <s v="TARE_TON_MILES"/>
    <n v="9379.1579999999994"/>
    <s v="Y"/>
    <s v="lcmtv.lcmtv_emis.full_weight_qty_x000a_train.train_cnst_dtl_rail_eqpt.tare_weight_tons_qty_x000a_ctnapp.ctng_line_dn.gmtry "/>
    <s v="Y"/>
    <m/>
    <m/>
    <m/>
    <m/>
  </r>
  <r>
    <x v="1"/>
    <n v="25"/>
    <s v="Train029"/>
    <x v="1"/>
    <x v="0"/>
    <x v="9"/>
    <s v="GROSS_TON_MILES"/>
    <n v="25423.031999999999"/>
    <s v="Y"/>
    <s v="Derived from TARE_TON_MILES, DH_TARE_TON_MILES, CONTENT_TON_MILES"/>
    <s v="Y"/>
    <m/>
    <m/>
    <m/>
    <m/>
  </r>
  <r>
    <x v="1"/>
    <n v="26"/>
    <s v="Train023"/>
    <x v="1"/>
    <x v="0"/>
    <x v="6"/>
    <s v="DH_TARE_TON_MILES"/>
    <n v="0"/>
    <s v="Y"/>
    <s v="lcmtv.lcmtv_emis.full_weight_qty_x000a_train.train_cnst_dtl_rail_eqpt.tare_weight_tons_qty_x000a_ctnapp.ctng_line_dn.gmtry "/>
    <s v="Y"/>
    <s v="Applicable for locos only"/>
    <m/>
    <m/>
    <m/>
  </r>
  <r>
    <x v="1"/>
    <n v="27"/>
    <s v="Train024"/>
    <x v="1"/>
    <x v="0"/>
    <x v="6"/>
    <s v="LOCO_TARE_TON_MILES"/>
    <n v="3386.0639999999999"/>
    <s v="Y"/>
    <s v="lcmtv.lcmtv_emis.full_weight_qty_x000a_train.train_cnst_dtl_rail_eqpt.tare_weight_tons_qty_x000a_ctnapp.ctng_line_dn.gmtry "/>
    <s v="Y"/>
    <m/>
    <m/>
    <m/>
    <m/>
  </r>
  <r>
    <x v="1"/>
    <n v="28"/>
    <s v="Train032"/>
    <x v="1"/>
    <x v="0"/>
    <x v="6"/>
    <s v="REV_CAR_MILES_LOADED"/>
    <n v="167.70599999999999"/>
    <s v="Y"/>
    <s v="eqpmt.eqpmnt_aar_base.aar_car_cd_x000a_train.train_cnst_dtl_rail_eqpt.net_weight_tons_qty_x000a_ctnapp.ctng_line_dn.gmtry "/>
    <s v="Y"/>
    <m/>
    <m/>
    <m/>
    <m/>
  </r>
  <r>
    <x v="1"/>
    <n v="29"/>
    <s v="Train033"/>
    <x v="1"/>
    <x v="0"/>
    <x v="6"/>
    <s v="REV_CAR_MILES_EMPTY"/>
    <n v="0"/>
    <s v="Y"/>
    <s v="eqpmt.eqpmnt_aar_base.aar_car_cd_x000a_train.train_cnst_dtl_rail_eqpt.net_weight_tons_qty_x000a_ctnapp.ctng_line_dn.gmtry "/>
    <s v="Y"/>
    <m/>
    <m/>
    <m/>
    <m/>
  </r>
  <r>
    <x v="1"/>
    <n v="30"/>
    <s v="Train034"/>
    <x v="1"/>
    <x v="0"/>
    <x v="6"/>
    <s v="LIVE_LOCO_MILES"/>
    <n v="15.972"/>
    <s v="Y"/>
    <s v="ctnapp.ctng_line_dn.gmtry _x000a_dm_dim.gis_orgn_dstntn_mlg_by_stprv.miles"/>
    <s v="Y"/>
    <s v="Applicable for locos only"/>
    <m/>
    <m/>
    <m/>
  </r>
  <r>
    <x v="1"/>
    <n v="31"/>
    <s v="Train035"/>
    <x v="1"/>
    <x v="0"/>
    <x v="6"/>
    <s v="DH_LOCO_MILES"/>
    <n v="0"/>
    <s v="Y"/>
    <s v="ctnapp.ctng_line_dn.gmtry _x000a_dm_dim.gis_orgn_dstntn_mlg_by_stprv.miles"/>
    <s v="Y"/>
    <s v="Applicable for locos only"/>
    <m/>
    <m/>
    <m/>
  </r>
  <r>
    <x v="1"/>
    <n v="32"/>
    <s v="Train036"/>
    <x v="1"/>
    <x v="0"/>
    <x v="6"/>
    <s v="PASS_BUS_MILES"/>
    <n v="0"/>
    <s v="Y"/>
    <s v="ctnapp.ctng_line_dn.gmtry _x000a_dm_dim.gis_orgn_dstntn_mlg_by_stprv.miles"/>
    <s v="Y"/>
    <m/>
    <m/>
    <m/>
    <m/>
  </r>
  <r>
    <x v="1"/>
    <n v="33"/>
    <s v="Train037"/>
    <x v="1"/>
    <x v="0"/>
    <x v="6"/>
    <s v="WORK_CAR_MILES"/>
    <n v="0"/>
    <s v="Y"/>
    <s v="eqpmt.eqpmnt_aar_base.aar_car_cd_x000a_ctnapp.ctng_line_dn.gmtry _x000a_trkfc.trkfcg_sbdvsn.sbdvsn_id_x000a_trkfc.trkfcg_fxpla_track_lctn_dn.rfrnc_low_miles_qty_x000a_dm_dim.gis_orgn_dstntn_mlg_by_stprv.miles_x000a_dm_dim.dim_subdvsn_zone.high_track_mile_x000a_dm_dim.dim_subdvsn_zone.low_track_mile"/>
    <s v="Y"/>
    <m/>
    <m/>
    <m/>
    <m/>
  </r>
  <r>
    <x v="1"/>
    <n v="34"/>
    <s v="Train038"/>
    <x v="1"/>
    <x v="2"/>
    <x v="6"/>
    <s v="CABOOSE_MILES"/>
    <n v="0"/>
    <s v="Y"/>
    <s v="eqpmt.eqpmnt_aar_base.aar_car_cd_x000a_ctnapp.ctng_line_dn.gmtry_x000a_dm_dim.gis_orgn_dstntn_mlg_by_stprv.miles"/>
    <s v="Y"/>
    <m/>
    <m/>
    <m/>
    <m/>
  </r>
  <r>
    <x v="1"/>
    <n v="35"/>
    <s v="Train039"/>
    <x v="1"/>
    <x v="0"/>
    <x v="6"/>
    <s v="LIVE_LOCO_HP_MILES"/>
    <n v="69478.2"/>
    <s v="Y"/>
    <s v="lcmtv.lcmtv_emis.hrspwr_qty_x000a_ctnapp.ctng_line_dn.gmtry_x000a_dm_dim.gis_orgn_dstntn_mlg_by_stprv.miles"/>
    <s v="Y"/>
    <m/>
    <m/>
    <m/>
    <m/>
  </r>
  <r>
    <x v="1"/>
    <n v="36"/>
    <s v="Train040"/>
    <x v="1"/>
    <x v="0"/>
    <x v="6"/>
    <s v="DH_LOCO_HP_MILES"/>
    <n v="0"/>
    <s v="Y"/>
    <s v="lcmtv.lcmtv_emis.hrspwr_qty_x000a_ctnapp.ctng_line_dn.gmtry_x000a_dm_dim.gis_orgn_dstntn_mlg_by_stprv.miles"/>
    <s v="Y"/>
    <m/>
    <m/>
    <m/>
    <m/>
  </r>
  <r>
    <x v="1"/>
    <n v="37"/>
    <s v="Train041"/>
    <x v="1"/>
    <x v="0"/>
    <x v="6"/>
    <s v="LIVE_LOCO_FOOT_MILES"/>
    <n v="1224.52"/>
    <s v="Y"/>
    <s v="eqpmt.eqpmnt_aar_base.otsd_length_qty_x000a_ctnapp.ctng_line_dn.gmtry_x000a_dm_dim.gis_orgn_dstntn_mlg_by_stprv.miles"/>
    <s v="Y"/>
    <m/>
    <m/>
    <m/>
    <m/>
  </r>
  <r>
    <x v="1"/>
    <n v="38"/>
    <s v="Train042"/>
    <x v="1"/>
    <x v="0"/>
    <x v="6"/>
    <s v="DH_LOCO_FOOT_MILES"/>
    <n v="0"/>
    <s v="Y"/>
    <s v="eqpmt.eqpmnt_aar_base.otsd_length_qty_x000a_ctnapp.ctng_line_dn.gmtry_x000a_dm_dim.gis_orgn_dstntn_mlg_by_stprv.miles"/>
    <s v="Y"/>
    <m/>
    <m/>
    <m/>
    <m/>
  </r>
  <r>
    <x v="1"/>
    <n v="39"/>
    <s v="Train043"/>
    <x v="1"/>
    <x v="0"/>
    <x v="6"/>
    <s v="CAR_FOOT_MILES"/>
    <n v="28790.861000000001"/>
    <s v="Y"/>
    <s v="eqpmt.eqpmnt_aar_base.otsd_length_qty"/>
    <s v="Y"/>
    <m/>
    <m/>
    <m/>
    <m/>
  </r>
  <r>
    <x v="1"/>
    <n v="40"/>
    <s v="Train044"/>
    <x v="1"/>
    <x v="0"/>
    <x v="6"/>
    <s v="TOTAL_TRAIN_FOOT_MILES"/>
    <n v="30015.381000000001"/>
    <s v="Y"/>
    <s v="eqpmt.eqpmnt_aar_base.otsd_length_qty"/>
    <s v="Y"/>
    <m/>
    <m/>
    <m/>
    <m/>
  </r>
  <r>
    <x v="1"/>
    <n v="41"/>
    <s v="Train146"/>
    <x v="0"/>
    <x v="0"/>
    <x v="0"/>
    <s v="Train DoW"/>
    <s v="Based on DFLC TMS"/>
    <s v="Y"/>
    <s v="eqpmv.eqpmv_rfeqp_mvmnt_event.report_tms"/>
    <s v="Y"/>
    <m/>
    <m/>
    <m/>
    <m/>
  </r>
  <r>
    <x v="1"/>
    <n v="42"/>
    <s v="Train045"/>
    <x v="1"/>
    <x v="0"/>
    <x v="4"/>
    <s v="SUBDIVISION"/>
    <s v="LAREDO"/>
    <s v="Y"/>
    <s v="dm_dim.gis_orgn_dstntn_mlg_by_stprv.sbdvsn_nm"/>
    <s v="N"/>
    <m/>
    <m/>
    <m/>
    <m/>
  </r>
  <r>
    <x v="1"/>
    <n v="43"/>
    <s v="Train058"/>
    <x v="2"/>
    <x v="0"/>
    <x v="4"/>
    <s v="District"/>
    <s v="Southwest"/>
    <s v="Y"/>
    <s v="dm_dim.dim_subdvsn_zone"/>
    <s v="N"/>
    <m/>
    <m/>
    <m/>
    <m/>
  </r>
  <r>
    <x v="1"/>
    <n v="44"/>
    <s v="Train054"/>
    <x v="1"/>
    <x v="0"/>
    <x v="4"/>
    <s v="ZONE"/>
    <s v="SOUTHWEST"/>
    <s v="Y"/>
    <s v="dm_dim.dim_subdvsn_zone.zone_x000a_dm_dim.dim_subdvsn .zone"/>
    <s v="Y"/>
    <m/>
    <m/>
    <m/>
    <m/>
  </r>
  <r>
    <x v="1"/>
    <n v="45"/>
    <s v="Train047"/>
    <x v="1"/>
    <x v="0"/>
    <x v="4"/>
    <s v="DIVISION"/>
    <s v="South West"/>
    <s v="Y"/>
    <s v="dm_dim.dim_subdvsn_zone.division_nm_x000a_dm_dim.dim_subdvsn .division_nm"/>
    <s v="Y"/>
    <m/>
    <m/>
    <m/>
    <m/>
  </r>
  <r>
    <x v="1"/>
    <n v="46"/>
    <s v="Train046"/>
    <x v="1"/>
    <x v="0"/>
    <x v="4"/>
    <s v="REGION"/>
    <s v="Mexico"/>
    <s v="Y"/>
    <s v="dm_dim.dim_subdvsn_zone.region_x000a_dm_dim.dim_subdvsn .region"/>
    <s v="Y"/>
    <m/>
    <m/>
    <m/>
    <m/>
  </r>
  <r>
    <x v="1"/>
    <n v="47"/>
    <s v="Train057"/>
    <x v="2"/>
    <x v="0"/>
    <x v="4"/>
    <s v="Country"/>
    <s v="US"/>
    <s v="Y"/>
    <s v="trkfc.trkfc_trstn.fsac_cd_x000a_dm_dim.dim_location"/>
    <s v="N"/>
    <m/>
    <m/>
    <m/>
    <m/>
  </r>
  <r>
    <x v="1"/>
    <n v="48"/>
    <s v="Train055"/>
    <x v="2"/>
    <x v="0"/>
    <x v="4"/>
    <s v="Company"/>
    <s v="KCSR (CP,KCSR,KCSM)"/>
    <s v="TBA"/>
    <s v="Need to find the source to map to"/>
    <m/>
    <s v="is company same as owner mark ? - will check column mapping"/>
    <m/>
    <m/>
    <m/>
  </r>
  <r>
    <x v="1"/>
    <n v="49"/>
    <s v="Train056"/>
    <x v="2"/>
    <x v="0"/>
    <x v="4"/>
    <s v="RAIL_LINE"/>
    <s v="KCSR (CP,KCSR,KCSM)"/>
    <s v="Y"/>
    <s v="dm_dim.dim_location"/>
    <s v="N"/>
    <m/>
    <m/>
    <m/>
    <m/>
  </r>
  <r>
    <x v="1"/>
    <n v="50"/>
    <s v="Train063"/>
    <x v="2"/>
    <x v="0"/>
    <x v="4"/>
    <s v="Depart Station"/>
    <s v="LAREDO BRIDGE"/>
    <s v="TBA"/>
    <n v="0"/>
    <m/>
    <m/>
    <m/>
    <m/>
    <m/>
  </r>
  <r>
    <x v="1"/>
    <n v="51"/>
    <s v="Train064"/>
    <x v="2"/>
    <x v="0"/>
    <x v="4"/>
    <s v="Arrival Station"/>
    <s v="LAREDO YARD"/>
    <s v="TBA"/>
    <n v="0"/>
    <m/>
    <m/>
    <m/>
    <m/>
    <m/>
  </r>
  <r>
    <x v="1"/>
    <n v="52"/>
    <s v="Train151"/>
    <x v="0"/>
    <x v="0"/>
    <x v="4"/>
    <s v="DEPART_RAIL_LINE"/>
    <s v="KCSR"/>
    <s v="Y"/>
    <s v="Need to know source to ascertain whether this is active or not"/>
    <m/>
    <m/>
    <m/>
    <m/>
    <m/>
  </r>
  <r>
    <x v="1"/>
    <n v="53"/>
    <s v="Train152"/>
    <x v="0"/>
    <x v="0"/>
    <x v="4"/>
    <s v="ARRIVE_RAIL_LINE"/>
    <s v="KCSR"/>
    <s v="Y"/>
    <m/>
    <m/>
    <m/>
    <m/>
    <m/>
    <m/>
  </r>
  <r>
    <x v="1"/>
    <n v="54"/>
    <s v="Train153"/>
    <x v="0"/>
    <x v="0"/>
    <x v="4"/>
    <s v="DEPART_SUBDIVISION"/>
    <s v="Based on FSAC"/>
    <s v="Y"/>
    <s v="CTN Tables &amp; MDW Tables.. _x000a__x000a_TRKFC.TRSTN_TRSTN_x000a_TRKFC.TRKFC_STN_HRCHY.. To be explored further.._x000a_MDQ Tables --_x000a_DM_DIM.DIM_SUBDVSN_ZONE"/>
    <m/>
    <m/>
    <m/>
    <m/>
    <m/>
  </r>
  <r>
    <x v="1"/>
    <n v="55"/>
    <s v="Train154"/>
    <x v="0"/>
    <x v="0"/>
    <x v="4"/>
    <s v="ARRIVE_SUBDIVISOIN"/>
    <s v="Based on FSAC"/>
    <s v="Y"/>
    <m/>
    <m/>
    <m/>
    <m/>
    <m/>
    <m/>
  </r>
  <r>
    <x v="1"/>
    <n v="56"/>
    <s v="Train155"/>
    <x v="0"/>
    <x v="0"/>
    <x v="4"/>
    <s v="DEPART_DISTRICT"/>
    <s v="Based on FSAC"/>
    <s v="Y"/>
    <m/>
    <m/>
    <m/>
    <m/>
    <m/>
    <m/>
  </r>
  <r>
    <x v="1"/>
    <n v="57"/>
    <s v="Train156"/>
    <x v="0"/>
    <x v="0"/>
    <x v="4"/>
    <s v="ARRIVE_DISTRICT"/>
    <s v="Based on FSAC"/>
    <s v="Y"/>
    <m/>
    <m/>
    <m/>
    <m/>
    <m/>
    <m/>
  </r>
  <r>
    <x v="1"/>
    <n v="58"/>
    <s v="Train157"/>
    <x v="0"/>
    <x v="0"/>
    <x v="4"/>
    <s v="DEPART_DIVISION"/>
    <s v="Based on FSAC"/>
    <s v="Y"/>
    <m/>
    <m/>
    <m/>
    <m/>
    <m/>
    <m/>
  </r>
  <r>
    <x v="1"/>
    <n v="59"/>
    <s v="Train158"/>
    <x v="0"/>
    <x v="0"/>
    <x v="4"/>
    <s v="ARRIVE_DIVISION"/>
    <s v="Based on FSAC"/>
    <s v="Y"/>
    <m/>
    <m/>
    <m/>
    <m/>
    <m/>
    <m/>
  </r>
  <r>
    <x v="1"/>
    <n v="60"/>
    <s v="Train159"/>
    <x v="0"/>
    <x v="0"/>
    <x v="4"/>
    <s v="DEPART_ZONE"/>
    <s v="Based on FSAC"/>
    <s v="Y"/>
    <m/>
    <m/>
    <m/>
    <m/>
    <m/>
    <m/>
  </r>
  <r>
    <x v="1"/>
    <n v="61"/>
    <s v="Train160"/>
    <x v="0"/>
    <x v="0"/>
    <x v="4"/>
    <s v="ARRIVE_ZONE"/>
    <s v="Based on FSAC"/>
    <s v="Y"/>
    <m/>
    <m/>
    <m/>
    <m/>
    <m/>
    <m/>
  </r>
  <r>
    <x v="1"/>
    <n v="62"/>
    <s v="Train161"/>
    <x v="0"/>
    <x v="0"/>
    <x v="4"/>
    <s v="DEPART_REGION"/>
    <s v="Based on FSAC"/>
    <s v="Y"/>
    <m/>
    <m/>
    <m/>
    <m/>
    <m/>
    <m/>
  </r>
  <r>
    <x v="1"/>
    <n v="63"/>
    <s v="Train162"/>
    <x v="0"/>
    <x v="0"/>
    <x v="4"/>
    <s v="ARRIVE_REGION"/>
    <s v="Based on FSAC"/>
    <s v="Y"/>
    <m/>
    <m/>
    <m/>
    <m/>
    <m/>
    <m/>
  </r>
  <r>
    <x v="1"/>
    <n v="64"/>
    <s v="Train163"/>
    <x v="0"/>
    <x v="0"/>
    <x v="4"/>
    <s v="DEPART_STPRV"/>
    <s v="Based on FSAC"/>
    <s v="Y"/>
    <m/>
    <m/>
    <m/>
    <m/>
    <m/>
    <m/>
  </r>
  <r>
    <x v="1"/>
    <n v="65"/>
    <s v="Train164"/>
    <x v="0"/>
    <x v="0"/>
    <x v="4"/>
    <s v="ARRIVE_STPRV"/>
    <s v="Based on FSAC"/>
    <s v="Y"/>
    <m/>
    <m/>
    <m/>
    <m/>
    <m/>
    <m/>
  </r>
  <r>
    <x v="1"/>
    <n v="66"/>
    <s v="Train167"/>
    <x v="0"/>
    <x v="0"/>
    <x v="4"/>
    <s v="DEPART_REGION"/>
    <s v="Based on FSAC"/>
    <s v="Y"/>
    <s v="trkfc.trkfc_trstn.fsac_cd"/>
    <s v="Y"/>
    <m/>
    <m/>
    <m/>
    <m/>
  </r>
  <r>
    <x v="1"/>
    <n v="67"/>
    <s v="Train168"/>
    <x v="0"/>
    <x v="0"/>
    <x v="4"/>
    <s v="ARRIVE_REGION"/>
    <s v="Based on FSAC"/>
    <s v="Y"/>
    <s v="trkfc.trkfc_trstn.fsac_cd"/>
    <s v="Y"/>
    <m/>
    <m/>
    <m/>
    <m/>
  </r>
  <r>
    <x v="1"/>
    <n v="68"/>
    <s v="Train165"/>
    <x v="0"/>
    <x v="0"/>
    <x v="4"/>
    <s v="DEPART_COUNTRY"/>
    <s v="US"/>
    <s v="Y"/>
    <s v="trkfc.trkfc_trstn.fsac_cd"/>
    <s v="Y"/>
    <m/>
    <m/>
    <m/>
    <m/>
  </r>
  <r>
    <x v="1"/>
    <n v="69"/>
    <s v="Train166"/>
    <x v="0"/>
    <x v="0"/>
    <x v="4"/>
    <s v="ARRIVE_COUNTRY"/>
    <s v="US"/>
    <s v="Y"/>
    <s v="trkfc.trkfc_trstn.fsac_cd"/>
    <s v="Y"/>
    <m/>
    <m/>
    <m/>
    <m/>
  </r>
  <r>
    <x v="1"/>
    <n v="70"/>
    <s v="Train169"/>
    <x v="0"/>
    <x v="0"/>
    <x v="4"/>
    <s v="DEPART_UPDATED_BY(SRC SYS NM AEI/SENTINNEL/GEOFENCE/WITRO)"/>
    <s v="MCS"/>
    <s v="N/A"/>
    <s v="Source TBD"/>
    <m/>
    <m/>
    <m/>
    <m/>
    <m/>
  </r>
  <r>
    <x v="1"/>
    <n v="71"/>
    <s v="Train170"/>
    <x v="0"/>
    <x v="0"/>
    <x v="4"/>
    <s v="ARRIVE_UPDATED_BY(SRC SYS NM AEI/SENTINNEL/GEOFENCE/WITRO)"/>
    <s v="TYES"/>
    <s v="N/A"/>
    <m/>
    <m/>
    <m/>
    <m/>
    <m/>
    <m/>
  </r>
  <r>
    <x v="1"/>
    <n v="72"/>
    <s v="Train171"/>
    <x v="0"/>
    <x v="0"/>
    <x v="4"/>
    <s v="DEPART_REGION"/>
    <m/>
    <s v="Y"/>
    <s v="Train161 -- is same as this"/>
    <m/>
    <m/>
    <m/>
    <m/>
    <m/>
  </r>
  <r>
    <x v="1"/>
    <n v="73"/>
    <s v="Train172"/>
    <x v="0"/>
    <x v="0"/>
    <x v="4"/>
    <s v="ARRIVE_REGION"/>
    <m/>
    <s v="Y"/>
    <s v="Train162 -- is same as this"/>
    <m/>
    <m/>
    <m/>
    <m/>
    <m/>
  </r>
  <r>
    <x v="1"/>
    <n v="74"/>
    <s v="Train149"/>
    <x v="0"/>
    <x v="0"/>
    <x v="3"/>
    <s v="Railcar ETA"/>
    <s v="Logic TBC"/>
    <s v="N/A"/>
    <m/>
    <m/>
    <m/>
    <m/>
    <m/>
    <m/>
  </r>
  <r>
    <x v="1"/>
    <n v="75"/>
    <s v="Train030"/>
    <x v="1"/>
    <x v="0"/>
    <x v="11"/>
    <s v="LIVE_LOCO_COUNT"/>
    <n v="2"/>
    <s v="Y"/>
    <s v="M/EDW -- INFA Sequence: DM_DIM.DIM_LOCOMOTIVE.DIM_LOCOMOTIVE_ID"/>
    <s v="Y"/>
    <m/>
    <m/>
    <m/>
    <m/>
  </r>
  <r>
    <x v="1"/>
    <n v="76"/>
    <s v="Train031"/>
    <x v="1"/>
    <x v="0"/>
    <x v="11"/>
    <s v="DH_LOCO_COUNT"/>
    <n v="0"/>
    <s v="Y"/>
    <s v="M/EDW -- INFA Sequence: DM_DIM.DIM_LOCOMOTIVE.DIM_LOCOMOTIVE_ID"/>
    <s v="Y"/>
    <s v="does not make sense at car level "/>
    <m/>
    <m/>
    <m/>
  </r>
  <r>
    <x v="1"/>
    <n v="77"/>
    <s v="Train012"/>
    <x v="1"/>
    <x v="0"/>
    <x v="5"/>
    <s v="CONSIST_NBR"/>
    <n v="4994"/>
    <s v="Y"/>
    <s v="train.train_cnst_smry.source_system_train_cnst_nbr"/>
    <s v="N"/>
    <m/>
    <m/>
    <m/>
    <m/>
  </r>
  <r>
    <x v="1"/>
    <n v="78"/>
    <s v="Train053"/>
    <x v="1"/>
    <x v="0"/>
    <x v="5"/>
    <s v="RUN_NBR"/>
    <s v="NULL"/>
    <s v="N"/>
    <s v="No source found"/>
    <s v="NA"/>
    <m/>
    <m/>
    <m/>
    <m/>
  </r>
  <r>
    <x v="1"/>
    <n v="79"/>
    <s v="Train148"/>
    <x v="0"/>
    <x v="0"/>
    <x v="3"/>
    <s v="Train ETA"/>
    <s v="Logic TBC"/>
    <s v="N/A"/>
    <n v="0"/>
    <m/>
    <s v="car eta ?"/>
    <m/>
    <m/>
    <m/>
  </r>
  <r>
    <x v="1"/>
    <n v="80"/>
    <s v="Train022"/>
    <x v="1"/>
    <x v="0"/>
    <x v="13"/>
    <s v="SUM_HRSPWR_QTY"/>
    <n v="8700"/>
    <s v="Y"/>
    <s v="lcmtv.lcmtv_emis.hrspwr_qty"/>
    <s v="Y"/>
    <s v="Applicable for locos only"/>
    <m/>
    <m/>
    <m/>
  </r>
  <r>
    <x v="1"/>
    <n v="81"/>
    <s v="Train049"/>
    <x v="1"/>
    <x v="0"/>
    <x v="3"/>
    <s v="NS_TRAIN_TYPE"/>
    <n v="8"/>
    <s v="Y"/>
    <s v="Derived from Train_Series"/>
    <s v="Y"/>
    <m/>
    <m/>
    <m/>
    <m/>
  </r>
  <r>
    <x v="1"/>
    <n v="82"/>
    <s v="Train060"/>
    <x v="2"/>
    <x v="0"/>
    <x v="3"/>
    <s v="Previous Train Series"/>
    <s v="100"/>
    <s v="TBA"/>
    <s v="Need to find the source to map these and identify whether these are active or not"/>
    <m/>
    <s v="do we need previous train for the specfic car /Loco?"/>
    <m/>
    <m/>
    <m/>
  </r>
  <r>
    <x v="1"/>
    <n v="83"/>
    <s v="Train061"/>
    <x v="2"/>
    <x v="0"/>
    <x v="3"/>
    <s v="Previous Train Symbol"/>
    <s v="181"/>
    <s v="TBA"/>
    <m/>
    <m/>
    <s v="do we need previous train symbol for the specfic car /Loco?"/>
    <m/>
    <m/>
    <m/>
  </r>
  <r>
    <x v="1"/>
    <n v="84"/>
    <s v="Train062"/>
    <x v="2"/>
    <x v="0"/>
    <x v="3"/>
    <s v="Previous Train Type"/>
    <s v="OP"/>
    <s v="TBA"/>
    <m/>
    <m/>
    <s v="do we need previous train type for the specfic car /Loco?"/>
    <m/>
    <m/>
    <m/>
  </r>
  <r>
    <x v="1"/>
    <n v="85"/>
    <s v="Train147"/>
    <x v="0"/>
    <x v="0"/>
    <x v="3"/>
    <s v="Key Train Indicator"/>
    <s v="Logic TBC"/>
    <s v="N/A"/>
    <s v="Need to know source to ascertain whether this is active or not"/>
    <m/>
    <m/>
    <m/>
    <m/>
    <m/>
  </r>
  <r>
    <x v="1"/>
    <n v="86"/>
    <s v="Train019"/>
    <x v="1"/>
    <x v="0"/>
    <x v="11"/>
    <s v="CARS_TOTAL"/>
    <n v="21"/>
    <s v="Y"/>
    <m/>
    <m/>
    <m/>
    <m/>
    <m/>
    <m/>
  </r>
  <r>
    <x v="1"/>
    <n v="87"/>
    <s v="Train018"/>
    <x v="1"/>
    <x v="0"/>
    <x v="11"/>
    <s v="CARS_LOADED"/>
    <n v="21"/>
    <s v="Y"/>
    <m/>
    <m/>
    <m/>
    <m/>
    <m/>
    <m/>
  </r>
  <r>
    <x v="1"/>
    <n v="88"/>
    <s v="Train017"/>
    <x v="1"/>
    <x v="0"/>
    <x v="11"/>
    <s v="LIVE_UNIT"/>
    <n v="2"/>
    <s v="Y"/>
    <m/>
    <m/>
    <m/>
    <m/>
    <m/>
    <m/>
  </r>
  <r>
    <x v="1"/>
    <n v="89"/>
    <s v="Train065"/>
    <x v="2"/>
    <x v="0"/>
    <x v="9"/>
    <s v="Daily Average Gross Ton Miles"/>
    <s v="25423"/>
    <s v="N/A"/>
    <m/>
    <m/>
    <m/>
    <m/>
    <m/>
    <m/>
  </r>
  <r>
    <x v="1"/>
    <n v="90"/>
    <s v="Train066"/>
    <x v="2"/>
    <x v="0"/>
    <x v="8"/>
    <s v="Daily Average Train Weight"/>
    <s v="3183"/>
    <s v="N/A"/>
    <m/>
    <m/>
    <m/>
    <m/>
    <m/>
    <m/>
  </r>
  <r>
    <x v="1"/>
    <n v="91"/>
    <s v="Train067"/>
    <x v="2"/>
    <x v="0"/>
    <x v="10"/>
    <s v="Daily Average Train Length"/>
    <s v="3759"/>
    <s v="N/A"/>
    <m/>
    <m/>
    <m/>
    <m/>
    <m/>
    <m/>
  </r>
  <r>
    <x v="1"/>
    <n v="92"/>
    <s v="Train068"/>
    <x v="2"/>
    <x v="0"/>
    <x v="6"/>
    <s v="Daily Average Train Miles"/>
    <s v="8"/>
    <s v="N/A"/>
    <m/>
    <m/>
    <m/>
    <m/>
    <m/>
    <m/>
  </r>
  <r>
    <x v="1"/>
    <n v="93"/>
    <s v="Train069"/>
    <x v="2"/>
    <x v="0"/>
    <x v="6"/>
    <s v="Daily Average Total Car Miles"/>
    <s v="168"/>
    <s v="N/A"/>
    <m/>
    <m/>
    <m/>
    <m/>
    <m/>
    <m/>
  </r>
  <r>
    <x v="1"/>
    <n v="94"/>
    <s v="Train196"/>
    <x v="0"/>
    <x v="0"/>
    <x v="7"/>
    <s v="DRCTN_CD"/>
    <s v="N/W/E/S"/>
    <s v="N/A"/>
    <s v="BLANKS NOW IN FIELD LISTING"/>
    <m/>
    <s v="direction of movement should be shown as one letter"/>
    <m/>
    <m/>
    <m/>
  </r>
  <r>
    <x v="1"/>
    <n v="95"/>
    <s v="Train197"/>
    <x v="1"/>
    <x v="0"/>
    <x v="7"/>
    <s v="UNIT_TOTAL"/>
    <n v="3"/>
    <s v="exists in train level smry"/>
    <m/>
    <m/>
    <m/>
    <m/>
    <m/>
    <m/>
  </r>
  <r>
    <x v="1"/>
    <n v="96"/>
    <s v="Train198"/>
    <x v="1"/>
    <x v="0"/>
    <x v="7"/>
    <s v="UNIT_LIVE"/>
    <n v="2"/>
    <s v="exists in train level smry"/>
    <m/>
    <m/>
    <m/>
    <m/>
    <m/>
    <m/>
  </r>
  <r>
    <x v="1"/>
    <n v="97"/>
    <s v="Train199"/>
    <x v="0"/>
    <x v="0"/>
    <x v="7"/>
    <s v="UNIT_NON_LIVE"/>
    <n v="1"/>
    <s v="can calculate from unit_total - unit_live"/>
    <m/>
    <m/>
    <m/>
    <m/>
    <m/>
    <m/>
  </r>
  <r>
    <x v="1"/>
    <n v="98"/>
    <s v="Train200"/>
    <x v="1"/>
    <x v="0"/>
    <x v="7"/>
    <s v="CARS_TOTAL"/>
    <n v="100"/>
    <s v="exists in train level smry"/>
    <m/>
    <m/>
    <m/>
    <m/>
    <m/>
    <m/>
  </r>
  <r>
    <x v="1"/>
    <n v="99"/>
    <s v="Train201"/>
    <x v="1"/>
    <x v="0"/>
    <x v="7"/>
    <s v="CARS_LOADED"/>
    <n v="60"/>
    <s v="exists in train level smry"/>
    <m/>
    <m/>
    <m/>
    <m/>
    <m/>
    <m/>
  </r>
  <r>
    <x v="1"/>
    <n v="100"/>
    <s v="Train202"/>
    <x v="0"/>
    <x v="0"/>
    <x v="7"/>
    <s v="CARS_EMPTY"/>
    <n v="40"/>
    <s v="can calculate from total-empty within train level smry"/>
    <m/>
    <m/>
    <m/>
    <m/>
    <m/>
    <m/>
  </r>
  <r>
    <x v="1"/>
    <n v="101"/>
    <s v="Train207"/>
    <x v="0"/>
    <x v="0"/>
    <x v="7"/>
    <s v="TRAVEL_DRCTN_CD"/>
    <s v="N/W/E/S"/>
    <s v="ATM_TRAIN.OPTRN_EVENT"/>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n v="1"/>
    <s v="Train142"/>
    <x v="0"/>
    <s v="LOW"/>
    <x v="0"/>
    <m/>
    <s v="Y"/>
    <x v="0"/>
    <s v="Train Year"/>
    <s v="Calendar year of the actual departure from origin for this train instance."/>
    <n v="2025"/>
    <s v="Y"/>
    <s v="eqpmv.eqpmv_rfeqp_mvmnt_event.report_tms"/>
    <m/>
    <s v="Y"/>
    <s v="N/A"/>
  </r>
  <r>
    <x v="0"/>
    <n v="2"/>
    <s v="Train143"/>
    <x v="0"/>
    <s v="LOW"/>
    <x v="0"/>
    <m/>
    <s v="Y"/>
    <x v="0"/>
    <s v="Train Quarter"/>
    <s v="Quarter that a train departed from its origin"/>
    <n v="1"/>
    <s v="Y"/>
    <s v="eqpmv.eqpmv_rfeqp_mvmnt_event.report_tms"/>
    <m/>
    <s v="Y"/>
    <s v="N/A"/>
  </r>
  <r>
    <x v="0"/>
    <n v="3"/>
    <s v="Train144"/>
    <x v="0"/>
    <s v="LOW"/>
    <x v="0"/>
    <m/>
    <s v="Y"/>
    <x v="0"/>
    <s v="Train Month"/>
    <s v="Month that a train departed from its origin"/>
    <n v="2"/>
    <s v="Y"/>
    <s v="eqpmv.eqpmv_rfeqp_mvmnt_event.report_tms"/>
    <m/>
    <s v="Y"/>
    <s v="N/A"/>
  </r>
  <r>
    <x v="0"/>
    <n v="4"/>
    <s v="Train145"/>
    <x v="0"/>
    <s v="LOW"/>
    <x v="0"/>
    <m/>
    <s v="Y"/>
    <x v="0"/>
    <s v="Train Day"/>
    <s v="Day that a train departed from its origin"/>
    <n v="25"/>
    <s v="Y"/>
    <s v="eqpmv.eqpmv_rfeqp_mvmnt_event.report_tms"/>
    <m/>
    <s v="Y"/>
    <s v="N/A"/>
  </r>
  <r>
    <x v="0"/>
    <n v="5"/>
    <s v="Train009"/>
    <x v="1"/>
    <s v="HIGH"/>
    <x v="1"/>
    <s v="Data Freshnesss: SADB_RECEIVING_DT = ARRIVE_TMS BY DATE"/>
    <s v="Y"/>
    <x v="0"/>
    <s v="SADB_RECEIVING_DT"/>
    <s v="Reporting time stamp for most recent events at the time train was reported"/>
    <s v="8/2/25 0:00"/>
    <s v="Y"/>
    <s v="eqpmv.eqpmv_rfeqp_mvmnt_event_x000a_lcmtv.lcmtv_mvmnt_event"/>
    <m/>
    <s v="N"/>
    <n v="1"/>
  </r>
  <r>
    <x v="0"/>
    <n v="6"/>
    <s v="Train001"/>
    <x v="1"/>
    <s v="MEDIUM"/>
    <x v="0"/>
    <m/>
    <s v="Y"/>
    <x v="1"/>
    <s v="SRC_SYS"/>
    <s v="Source systems such as KCS = MCS or CP = TYES"/>
    <s v="KCS"/>
    <s v="Y"/>
    <s v="Exact Source not identified yet"/>
    <m/>
    <s v="N"/>
    <n v="1"/>
  </r>
  <r>
    <x v="0"/>
    <n v="7"/>
    <s v="Train048"/>
    <x v="1"/>
    <s v="MEDIUM"/>
    <x v="0"/>
    <m/>
    <s v="Y"/>
    <x v="2"/>
    <s v="TRAIN_SERIES"/>
    <s v="Train series identifier"/>
    <n v="100"/>
    <s v="Y"/>
    <s v="Derived from Train_Name"/>
    <m/>
    <s v="Y"/>
    <m/>
  </r>
  <r>
    <x v="0"/>
    <n v="8"/>
    <s v="Train050"/>
    <x v="1"/>
    <s v="MEDIUM"/>
    <x v="0"/>
    <m/>
    <s v="Y"/>
    <x v="2"/>
    <s v="TRAIN_SYMBOL"/>
    <s v="Train symbol code"/>
    <n v="181"/>
    <s v="Y"/>
    <s v="Derived from Train_Name"/>
    <m/>
    <s v="Y"/>
    <m/>
  </r>
  <r>
    <x v="0"/>
    <n v="9"/>
    <s v="Train011"/>
    <x v="1"/>
    <s v="HIGH"/>
    <x v="0"/>
    <m/>
    <s v="Y"/>
    <x v="2"/>
    <s v="TRAIN_NAME"/>
    <s v="Train name"/>
    <s v=" 181-01"/>
    <s v="Y"/>
    <s v="train.train_cnst_smry.train_nm"/>
    <m/>
    <s v="N"/>
    <n v="1"/>
  </r>
  <r>
    <x v="0"/>
    <n v="10"/>
    <s v="Train051"/>
    <x v="1"/>
    <s v="MEDIUM"/>
    <x v="0"/>
    <m/>
    <s v="Y"/>
    <x v="2"/>
    <s v="TRAIN_TYPE_CD"/>
    <s v="Train type code"/>
    <s v="FRT"/>
    <s v="Y"/>
    <s v="atm_train.train_plan.train_type_cd_x000a_atm_train.optrn.train_type_cd"/>
    <m/>
    <s v="Y"/>
    <m/>
  </r>
  <r>
    <x v="0"/>
    <n v="11"/>
    <s v="Train052"/>
    <x v="1"/>
    <s v="MEDIUM"/>
    <x v="0"/>
    <m/>
    <s v="Y"/>
    <x v="2"/>
    <s v="TRAIN_KIND_CD"/>
    <s v="Train kind code"/>
    <s v="PRIM"/>
    <s v="Y"/>
    <s v="atm_train.train_plan.train_kind_cd_x000a_atm_train.optrn.train_kind_cd"/>
    <m/>
    <s v="Y"/>
    <m/>
  </r>
  <r>
    <x v="0"/>
    <n v="12"/>
    <s v="Train059"/>
    <x v="2"/>
    <s v="MEDIUM"/>
    <x v="0"/>
    <m/>
    <s v="Y"/>
    <x v="2"/>
    <s v="TYPE"/>
    <s v="Train operational type"/>
    <s v="OP"/>
    <s v="Y"/>
    <s v="train.train_cnst_smry.train_nm"/>
    <m/>
    <s v="Y"/>
    <m/>
  </r>
  <r>
    <x v="0"/>
    <n v="13"/>
    <s v="Train013"/>
    <x v="1"/>
    <s v="HIGH"/>
    <x v="1"/>
    <s v="1. Segment Validation: ARRIVE_FSAC &lt;&gt; DEPART_FSAC_x000a_2. Network Coverage: List of Unique FSAC's by Titan_Nbr&amp;Trn_Leg_ID should cover list of FSAC's from Linked Node Table (GIS teams) sequentially&quot; - all intermediate stations as per Linked Node Table should be covered by sequence of segments"/>
    <s v="Y"/>
    <x v="3"/>
    <s v="DEPART_FSAC"/>
    <s v="Departure FSAC code"/>
    <n v="5770"/>
    <s v="Y"/>
    <s v="trkfc.trkfc_trstn.fsac_cd /eqpmv.eqpmv_rfeqp_mvmnt_event.scac_cd"/>
    <m/>
    <s v="N"/>
    <n v="1"/>
  </r>
  <r>
    <x v="0"/>
    <n v="14"/>
    <s v="Train014"/>
    <x v="1"/>
    <s v="HIGH"/>
    <x v="1"/>
    <s v="1. Segment Validation: ARRIVE_FSAC &lt;&gt; DEPART_FSAC_x000a_2. Network Coverage: List of Unique FSAC's by Titan_Nbr&amp;Trn_Leg_ID should cover list of FSAC's from Linked Node Table (GIS teams) sequentially&quot; - all intermediate stations as per Linked Node Table should be covered by sequence of segments"/>
    <s v="Y"/>
    <x v="3"/>
    <s v="ARRIVE_FSAC"/>
    <s v="Arrival FSAC code"/>
    <n v="5772"/>
    <s v="Y"/>
    <s v="trkfc.trkfc_trstn.fsac_cd /eqpmv.eqpmv_rfeqp_mvmnt_event.fsac_cd"/>
    <s v="SADB"/>
    <s v="N"/>
    <n v="1"/>
  </r>
  <r>
    <x v="0"/>
    <n v="17"/>
    <s v="Train007"/>
    <x v="1"/>
    <s v="HIGH"/>
    <x v="1"/>
    <s v="Continuity: ARRIVE_TMS &gt; DEPART TMS by Titan&amp;Train_Leg_ID_x000a_Row 1's ARRIVE_TMS &lt;= Row 2's DEPART_TMS sorted by Titan&amp;Train_Leg_ID&amp;Mark_CD&amp;EQPMTP_NBR and order by Arrivs_TMS ASC"/>
    <s v="Y"/>
    <x v="0"/>
    <s v="ARRIVE_TMS"/>
    <s v="Arrival timestamp"/>
    <d v="2025-08-01T23:43:00"/>
    <s v="Y"/>
    <s v="eqpmv.eqpmv_rfeqp_mvmnt_event.report_tms"/>
    <m/>
    <s v="N"/>
    <n v="1"/>
  </r>
  <r>
    <x v="0"/>
    <n v="18"/>
    <s v="Train008"/>
    <x v="1"/>
    <s v="HIGH"/>
    <x v="1"/>
    <s v="Continuity: ARRIVE_TMS &gt; DEPART TMS by Titan&amp;Train_Leg_ID_x000a_Row 1's ARRIVE_TMS &lt;= Row 2's DEPART_TMS sorted by Titan&amp;Train_Leg_ID&amp;Mark_CD&amp;EQPMTP_NBR and order by Arrivs_TMS ASC"/>
    <s v="Y"/>
    <x v="0"/>
    <s v="DEPART_TMS"/>
    <s v="Departure timestamp"/>
    <d v="2025-08-01T21:37:00"/>
    <s v="Y"/>
    <s v="eqpmv.eqpmv_rfeqp_mvmnt_event.report_tms"/>
    <m/>
    <s v="Y"/>
    <n v="1"/>
  </r>
  <r>
    <x v="0"/>
    <n v="19"/>
    <s v="Train010"/>
    <x v="1"/>
    <s v="HIGH"/>
    <x v="0"/>
    <m/>
    <s v="Y"/>
    <x v="2"/>
    <s v="TITAN_NBR"/>
    <s v="Titan number for train"/>
    <n v="942442"/>
    <s v="Y"/>
    <s v="train.train_plan_leg.mtp_titan_nbr_x000a_train.optrn_leg.mtp_titan_nbr"/>
    <m/>
    <s v="N"/>
    <n v="1"/>
  </r>
  <r>
    <x v="0"/>
    <n v="20"/>
    <s v="Train021"/>
    <x v="1"/>
    <s v="HIGH"/>
    <x v="1"/>
    <s v="1. Train Speed for segment is between 0 and 80mph (regulation) by each segment_x000a_2. if EQPMT_MILES &gt;0, TRAIN_MILES&gt;0_x000a_3. if GTM=0, TRAIN_MILES=0_x000a_4. TRAIN_MILES &lt;= LIVE_LOCO_MILES (because there will be at least 1 live loco to move a train)"/>
    <s v="Y"/>
    <x v="4"/>
    <s v="TRAIN_MILES"/>
    <s v="Total train miles"/>
    <n v="7.9859999999999998"/>
    <s v="Y"/>
    <s v="ctnapp.ctng_line_dn.gmtry"/>
    <m/>
    <s v="Y"/>
    <n v="1"/>
  </r>
  <r>
    <x v="0"/>
    <n v="21"/>
    <s v="Train026"/>
    <x v="1"/>
    <s v="HIGH"/>
    <x v="1"/>
    <s v="if Load_Empty_IND = 'Y' and EQPTMT_MILES &gt;0, then CONTENT_TON_MILES&gt;0"/>
    <s v="Y"/>
    <x v="4"/>
    <s v="CONTENT_TON_MILES"/>
    <s v="Content ton miles"/>
    <n v="16043.874"/>
    <s v="Y"/>
    <s v="train.train_cnst_dtl_rail_eqpt.net_weight_tons_qty"/>
    <m/>
    <m/>
    <m/>
  </r>
  <r>
    <x v="0"/>
    <n v="22"/>
    <s v="Train081"/>
    <x v="3"/>
    <s v="HIGH"/>
    <x v="1"/>
    <s v="&gt;15 tons for Rail car, &gt;100 tons for Loco"/>
    <s v="Y"/>
    <x v="5"/>
    <s v="TARE_WEIGHT_TONS_QTY"/>
    <s v="Tare weight in tons"/>
    <s v="66"/>
    <s v="Y"/>
    <s v="train.train_cnst_dtl_rail_eqpt.tare_weight_tons_qty"/>
    <m/>
    <s v="N"/>
    <m/>
  </r>
  <r>
    <x v="0"/>
    <n v="23"/>
    <s v="Train088"/>
    <x v="3"/>
    <s v="HIGH"/>
    <x v="1"/>
    <s v="If Load_Empty_IND = L and  &gt;0, Pass, False"/>
    <s v="Y"/>
    <x v="5"/>
    <s v="NET_WEIGHT_TONS_QTY"/>
    <s v="Net weight in tons"/>
    <s v="104"/>
    <s v="Y"/>
    <s v="train.train_cnst_dtl_rail_eqpt.net_weight_tons_qty"/>
    <m/>
    <s v="N"/>
    <m/>
  </r>
  <r>
    <x v="0"/>
    <n v="25"/>
    <s v="Train025"/>
    <x v="1"/>
    <s v="HIGH"/>
    <x v="1"/>
    <s v="LOCO_FULL_WEIGHT/TOTAL_UNITS is between 100 and 250 tons"/>
    <s v="Y"/>
    <x v="6"/>
    <s v="LOCO_FULL_WEIGHT"/>
    <s v="Locomotive full weight"/>
    <n v="424"/>
    <s v="Y"/>
    <s v="lcmtv.lcmtv_emis.full_weight_qty"/>
    <m/>
    <s v="Y"/>
    <m/>
  </r>
  <r>
    <x v="0"/>
    <n v="25"/>
    <s v="Train027"/>
    <x v="1"/>
    <s v="HIGH"/>
    <x v="1"/>
    <s v="1. if asset_type = 'Locomotive&quot;, TARE_TONS = LOCO_FULL_WEIGHT_x000a_2. if asset_type = 'Railcar&quot;, TARE_TONS is between 15 and 100 tons (flatcar to heavy equipment)"/>
    <s v="Y"/>
    <x v="6"/>
    <s v="TARE_TONS"/>
    <s v="Total tare tons"/>
    <n v="1598.45"/>
    <s v="Y"/>
    <s v="lcmtv.lcmtv_emis.full_weight_qty_x000a_train.train_cnst_dtl_rail_eqpt.tare_weight_tons_qty"/>
    <m/>
    <s v="Y"/>
    <m/>
  </r>
  <r>
    <x v="0"/>
    <n v="26"/>
    <s v="Train015"/>
    <x v="1"/>
    <s v="HIGH"/>
    <x v="1"/>
    <s v="Resonableness in speed: TRAIN_MILES / TRAIN HOURS is between 0 and 80 (mph)"/>
    <s v="Y"/>
    <x v="0"/>
    <s v="TRAIN_HRS"/>
    <s v="Train hours"/>
    <n v="2"/>
    <s v="Y"/>
    <s v="ctnapp.ctng_line_dn.gmtry _x000a_mvmnt_type hard coded as 'lcmtv' or 'eqpmv'_x000a_train.train_cnst_dtl_rail_eqpt.lead_lcmtv_ind_x000a_train.train_cnst_dtl_rail_eqpt.lcmtv_cnst_status_cd"/>
    <m/>
    <s v="Y"/>
    <n v="1"/>
  </r>
  <r>
    <x v="0"/>
    <n v="27"/>
    <s v="Train016"/>
    <x v="1"/>
    <s v="HIGH"/>
    <x v="1"/>
    <s v="Resonableness in speed: TRAIN_MILES / TRAIN HOURS is between 0 and 80 (mph)"/>
    <s v="Y"/>
    <x v="0"/>
    <s v="TRAIN_MINS"/>
    <s v="Train minutes"/>
    <n v="6.02"/>
    <s v="Y"/>
    <s v="Derived from ARRIVAL_TMS, DEPARTURE_TMS, TOT_MILES, TRAIN_MILES"/>
    <m/>
    <s v="Y"/>
    <n v="1"/>
  </r>
  <r>
    <x v="0"/>
    <n v="28"/>
    <s v="Train020"/>
    <x v="1"/>
    <s v="HIGH"/>
    <x v="1"/>
    <s v="if TRAIN_MILES&gt;0, then EQPMT_MILES &gt;0"/>
    <s v="Y"/>
    <x v="4"/>
    <s v="EQPMT_MILES"/>
    <s v="Equipment miles"/>
    <n v="167.70599999999999"/>
    <s v="Y"/>
    <s v="ctnapp.ctng_line_dn.gmtry"/>
    <m/>
    <s v="Y"/>
    <n v="1"/>
  </r>
  <r>
    <x v="0"/>
    <n v="29"/>
    <s v="Train028"/>
    <x v="1"/>
    <s v="HIGH"/>
    <x v="1"/>
    <s v="(TARE_TONS X  EQPMT_MILES (for Railcars)) + (TARE_TONS X  LIVE_LOCO_MILES (for loco))"/>
    <s v="Y"/>
    <x v="7"/>
    <s v="TARE_TON_MILES"/>
    <s v="Tare ton miles"/>
    <n v="9379.1579999999994"/>
    <s v="Y"/>
    <s v="lcmtv.lcmtv_emis.full_weight_qty_x000a_train.train_cnst_dtl_rail_eqpt.tare_weight_tons_qty_x000a_ctnapp.ctng_line_dn.gmtry "/>
    <m/>
    <s v="Y"/>
    <m/>
  </r>
  <r>
    <x v="0"/>
    <n v="30"/>
    <s v="Train029"/>
    <x v="1"/>
    <s v="HIGH"/>
    <x v="1"/>
    <s v="Use multiple ways to apply regression testing_x000a_1. Sum(Contents Tons + Tare Tons) X Train Miles should be within 95% proximity to GROSS_TON_MILES (CONTENTS_TON_MILES + TARE_TON_MILES + DH_TARE_TON_MILES + LOCO_TARE_TON_MILES)_x000a_2. Historical consistency: check last 28 days' GTM/CONTENT_TON_MILE ratio by Suddivision vs. last 7 days (check variance over 20% (Absolute value based)_x000a_3. Historical trend: check subdivision level GTM average for the last 8 weeks' same Day of Week in comparison to yesterday's GTM excluding stat holidays (e.g. Xmas, Cinco De Mayo)_x000a_4. Train level estimates: TRAIN_NM based _x000a_5. TRAIN_MILES &gt; 0, LIVE_LOC_MILES &gt;0, and EQPMT_MILES &gt;0"/>
    <s v="Y"/>
    <x v="7"/>
    <s v="GROSS_TON_MILES"/>
    <s v="Gross ton miles"/>
    <n v="25423.031999999999"/>
    <s v="Y"/>
    <s v="Derived from TARE_TON_MILES, DH_TARE_TON_MILES, CONTENT_TON_MILES"/>
    <m/>
    <s v="Y"/>
    <m/>
  </r>
  <r>
    <x v="0"/>
    <n v="31"/>
    <s v="Train023"/>
    <x v="1"/>
    <s v="MEDIUM"/>
    <x v="0"/>
    <m/>
    <s v="Y"/>
    <x v="7"/>
    <s v="DH_TARE_TON_MILES"/>
    <s v="Deadhead tare ton miles"/>
    <n v="0"/>
    <s v="Y"/>
    <s v="lcmtv.lcmtv_emis.full_weight_qty_x000a_train.train_cnst_dtl_rail_eqpt.tare_weight_tons_qty_x000a_ctnapp.ctng_line_dn.gmtry "/>
    <m/>
    <s v="Y"/>
    <m/>
  </r>
  <r>
    <x v="0"/>
    <n v="32"/>
    <s v="Train024"/>
    <x v="1"/>
    <s v="HIGH"/>
    <x v="1"/>
    <s v="&gt;0"/>
    <s v="Y"/>
    <x v="7"/>
    <s v="LOCO_TARE_TON_MILES"/>
    <s v="Locomotive tare ton miles"/>
    <n v="3386.0639999999999"/>
    <s v="Y"/>
    <s v="lcmtv.lcmtv_emis.full_weight_qty_x000a_train.train_cnst_dtl_rail_eqpt.tare_weight_tons_qty_x000a_ctnapp.ctng_line_dn.gmtry "/>
    <m/>
    <s v="Y"/>
    <m/>
  </r>
  <r>
    <x v="0"/>
    <n v="33"/>
    <s v="Train032"/>
    <x v="1"/>
    <s v="HIGH"/>
    <x v="1"/>
    <s v="if Load_Empty_IND = 'Y' and EQPTMT_MILES &gt;0, then &gt;0)"/>
    <s v="Y"/>
    <x v="4"/>
    <s v="REV_CAR_MILES_LOADED"/>
    <s v="Revenue car miles loaded"/>
    <n v="167.70599999999999"/>
    <s v="Y"/>
    <s v="eqpmt.eqpmnt_aar_base.aar_car_cd_x000a_train.train_cnst_dtl_rail_eqpt.net_weight_tons_qty_x000a_ctnapp.ctng_line_dn.gmtry "/>
    <m/>
    <s v="Y"/>
    <m/>
  </r>
  <r>
    <x v="0"/>
    <n v="34"/>
    <s v="Train033"/>
    <x v="1"/>
    <s v="HIGH"/>
    <x v="1"/>
    <s v="if Load_Empty_IND = 'N' and EQPTMT_MILES &gt;0, then &gt;0)"/>
    <s v="Y"/>
    <x v="4"/>
    <s v="REV_CAR_MILES_EMPTY"/>
    <s v="Revenue car miles empty"/>
    <n v="0"/>
    <s v="Y"/>
    <s v="eqpmt.eqpmnt_aar_base.aar_car_cd_x000a_train.train_cnst_dtl_rail_eqpt.net_weight_tons_qty_x000a_ctnapp.ctng_line_dn.gmtry "/>
    <m/>
    <s v="Y"/>
    <m/>
  </r>
  <r>
    <x v="0"/>
    <n v="35"/>
    <s v="Train034"/>
    <x v="1"/>
    <s v="HIGH"/>
    <x v="1"/>
    <s v="if TRAIN_MILES&gt;0, then &gt;0"/>
    <s v="Y"/>
    <x v="4"/>
    <s v="LIVE_LOCO_MILES"/>
    <s v="Live locomotive miles"/>
    <n v="15.972"/>
    <s v="Y"/>
    <s v="ctnapp.ctng_line_dn.gmtry _x000a_dm_dim.gis_orgn_dstntn_mlg_by_stprv.miles"/>
    <m/>
    <s v="Y"/>
    <m/>
  </r>
  <r>
    <x v="0"/>
    <n v="36"/>
    <s v="Train035"/>
    <x v="1"/>
    <s v="HIGH"/>
    <x v="0"/>
    <m/>
    <s v="Y"/>
    <x v="4"/>
    <s v="DH_LOCO_MILES"/>
    <s v="Deadhead locomotive miles"/>
    <n v="0"/>
    <s v="Y"/>
    <s v="ctnapp.ctng_line_dn.gmtry _x000a_dm_dim.gis_orgn_dstntn_mlg_by_stprv.miles"/>
    <m/>
    <s v="Y"/>
    <s v="?"/>
  </r>
  <r>
    <x v="0"/>
    <n v="37"/>
    <s v="Train036"/>
    <x v="1"/>
    <s v="MEDIUM"/>
    <x v="1"/>
    <s v="if PASS_BUS_IND = 'Y' and EQPMT_MILES &gt; 0, then PASS_BUS_MILES &gt; 0"/>
    <s v="Y"/>
    <x v="4"/>
    <s v="PASS_BUS_MILES"/>
    <s v="Passenger business miles"/>
    <n v="0"/>
    <s v="Y"/>
    <s v="ctnapp.ctng_line_dn.gmtry _x000a_dm_dim.gis_orgn_dstntn_mlg_by_stprv.miles"/>
    <m/>
    <s v="Y"/>
    <s v="?"/>
  </r>
  <r>
    <x v="0"/>
    <n v="38"/>
    <s v="Train037"/>
    <x v="1"/>
    <s v="MEDIUM"/>
    <x v="1"/>
    <s v="if WORK_CAR_IND = 'Y and EQPMT_MILES &gt;0, then WORK_CAR_MILES &gt;0"/>
    <s v="Y"/>
    <x v="4"/>
    <s v="WORK_CAR_MILES"/>
    <s v="Work car miles"/>
    <n v="0"/>
    <s v="Y"/>
    <s v="eqpmt.eqpmnt_aar_base.aar_car_cd_x000a_ctnapp.ctng_line_dn.gmtry _x000a_trkfc.trkfcg_sbdvsn.sbdvsn_id_x000a_trkfc.trkfcg_fxpla_track_lctn_dn.rfrnc_low_miles_qty_x000a_dm_dim.gis_orgn_dstntn_mlg_by_stprv.miles_x000a_dm_dim.dim_subdvsn_zone.high_track_mile_x000a_dm_dim.dim_subdvsn_zone.low_track_mile"/>
    <m/>
    <s v="Y"/>
    <m/>
  </r>
  <r>
    <x v="0"/>
    <n v="39"/>
    <s v="Train038"/>
    <x v="1"/>
    <s v="LOW"/>
    <x v="0"/>
    <m/>
    <s v="X"/>
    <x v="4"/>
    <s v="CABOOSE_MILES"/>
    <s v="Caboose miles"/>
    <n v="0"/>
    <s v="Y"/>
    <s v="eqpmt.eqpmnt_aar_base.aar_car_cd_x000a_ctnapp.ctng_line_dn.gmtry_x000a_dm_dim.gis_orgn_dstntn_mlg_by_stprv.miles"/>
    <m/>
    <s v="Y"/>
    <m/>
  </r>
  <r>
    <x v="0"/>
    <n v="40"/>
    <s v="Train039"/>
    <x v="1"/>
    <s v="MEDIUM"/>
    <x v="1"/>
    <s v="if TRAIN_MILES&gt;0, LIVE_LOCO_HP_MILES &gt;0"/>
    <s v="Y"/>
    <x v="4"/>
    <s v="LIVE_LOCO_HP_MILES"/>
    <s v="Live locomotive horsepower miles"/>
    <n v="69478.2"/>
    <s v="Y"/>
    <s v="lcmtv.lcmtv_emis.hrspwr_qty_x000a_ctnapp.ctng_line_dn.gmtry_x000a_dm_dim.gis_orgn_dstntn_mlg_by_stprv.miles"/>
    <m/>
    <s v="Y"/>
    <m/>
  </r>
  <r>
    <x v="0"/>
    <n v="41"/>
    <s v="Train040"/>
    <x v="1"/>
    <s v="MEDIUM"/>
    <x v="0"/>
    <m/>
    <s v="Y"/>
    <x v="4"/>
    <s v="DH_LOCO_HP_MILES"/>
    <s v="Deadhead locomotive horsepower miles"/>
    <n v="0"/>
    <s v="Y"/>
    <s v="lcmtv.lcmtv_emis.hrspwr_qty_x000a_ctnapp.ctng_line_dn.gmtry_x000a_dm_dim.gis_orgn_dstntn_mlg_by_stprv.miles"/>
    <m/>
    <s v="Y"/>
    <m/>
  </r>
  <r>
    <x v="0"/>
    <n v="42"/>
    <s v="Train041"/>
    <x v="1"/>
    <s v="HIGH"/>
    <x v="0"/>
    <m/>
    <s v="Y"/>
    <x v="8"/>
    <s v="LIVE_LOCO_FOOT_MILES"/>
    <s v="Live locomotive foot miles"/>
    <n v="1224.52"/>
    <s v="Y"/>
    <s v="eqpmt.eqpmnt_aar_base.otsd_length_qty_x000a_ctnapp.ctng_line_dn.gmtry_x000a_dm_dim.gis_orgn_dstntn_mlg_by_stprv.miles"/>
    <m/>
    <s v="Y"/>
    <m/>
  </r>
  <r>
    <x v="0"/>
    <n v="43"/>
    <s v="Train042"/>
    <x v="1"/>
    <s v="HIGH"/>
    <x v="0"/>
    <m/>
    <s v="Y"/>
    <x v="8"/>
    <s v="DH_LOCO_FOOT_MILES"/>
    <s v="Deadhead locomotive foot miles"/>
    <n v="0"/>
    <s v="Y"/>
    <s v="eqpmt.eqpmnt_aar_base.otsd_length_qty_x000a_ctnapp.ctng_line_dn.gmtry_x000a_dm_dim.gis_orgn_dstntn_mlg_by_stprv.miles"/>
    <m/>
    <s v="Y"/>
    <m/>
  </r>
  <r>
    <x v="0"/>
    <n v="44"/>
    <s v="Train043"/>
    <x v="1"/>
    <s v="HIGH"/>
    <x v="0"/>
    <m/>
    <s v="Y"/>
    <x v="8"/>
    <s v="CAR_FOOT_MILES"/>
    <s v="Car foot miles"/>
    <n v="28790.861000000001"/>
    <s v="Y"/>
    <s v="eqpmt.eqpmnt_aar_base.otsd_length_qty"/>
    <m/>
    <s v="Y"/>
    <m/>
  </r>
  <r>
    <x v="0"/>
    <n v="45"/>
    <s v="Train044"/>
    <x v="1"/>
    <s v="HIGH"/>
    <x v="0"/>
    <m/>
    <s v="Y"/>
    <x v="8"/>
    <s v="TOTAL_TRAIN_FOOT_MILES"/>
    <s v="Total train foot miles"/>
    <n v="30015.381000000001"/>
    <s v="Y"/>
    <s v="eqpmt.eqpmnt_aar_base.otsd_length_qty"/>
    <m/>
    <s v="Y"/>
    <m/>
  </r>
  <r>
    <x v="0"/>
    <n v="46"/>
    <s v="Train146"/>
    <x v="0"/>
    <s v="LOW"/>
    <x v="1"/>
    <s v="Validity: 3 letter (MON/TUE/WED/THU/FRI/SAT/SUN)"/>
    <s v="Y"/>
    <x v="0"/>
    <s v="Train DoW"/>
    <s v="Day of the week that a train departed from its origin"/>
    <s v="Based on DFLC TMS at Origin(Mon)"/>
    <s v="Y"/>
    <s v="eqpmv.eqpmv_rfeqp_mvmnt_event.report_tms"/>
    <m/>
    <s v="Y"/>
    <s v="N/A"/>
  </r>
  <r>
    <x v="0"/>
    <n v="47"/>
    <s v="Train150"/>
    <x v="0"/>
    <s v="HIGH"/>
    <x v="1"/>
    <s v="Count of unique MARK_CD&amp;EQPUN_NBR = MAX(SQNC_NBR)"/>
    <s v="Y"/>
    <x v="9"/>
    <s v="SQNC_NBR"/>
    <s v="Sequence of equipment from a train"/>
    <s v="Current logic or enhacement"/>
    <s v="Y"/>
    <s v="train.train_cnst_dtl_rail_eqpt.sqnc_nbr"/>
    <m/>
    <s v="N"/>
    <s v="N/A"/>
  </r>
  <r>
    <x v="0"/>
    <n v="48"/>
    <s v="Train070"/>
    <x v="3"/>
    <s v="MEDIUM"/>
    <x v="0"/>
    <m/>
    <s v="Y"/>
    <x v="5"/>
    <s v="MARK_CD"/>
    <s v="Equipment mark code"/>
    <s v="AOK"/>
    <s v="Y"/>
    <s v="train.train_cnst_dtl_rail_eqpt.mark_cd"/>
    <m/>
    <s v="N"/>
    <n v="1"/>
  </r>
  <r>
    <x v="0"/>
    <n v="49"/>
    <s v="Train071"/>
    <x v="3"/>
    <s v="MEDIUM"/>
    <x v="0"/>
    <m/>
    <s v="Y"/>
    <x v="5"/>
    <s v="EQPUN_NBR"/>
    <s v="Equipment number"/>
    <s v="55688"/>
    <s v="Y"/>
    <s v="train.train_cnst_dtl_rail_eqpt.eqpun_nbr"/>
    <m/>
    <s v="N"/>
    <n v="1"/>
  </r>
  <r>
    <x v="0"/>
    <n v="50"/>
    <s v="Train177"/>
    <x v="0"/>
    <s v="MEDIUM"/>
    <x v="1"/>
    <s v="L or E for Railcar, Loco will be E"/>
    <s v="Y"/>
    <x v="5"/>
    <s v="Load_Empty_Ind"/>
    <s v="Load or empty indicator of equipment on a train"/>
    <m/>
    <s v="Y"/>
    <s v="eqpmv.eqpmv_rfeqp_mvmnt_event.load_empty_ind"/>
    <m/>
    <m/>
    <s v="N/A"/>
  </r>
  <r>
    <x v="0"/>
    <n v="51"/>
    <s v="Train185"/>
    <x v="0"/>
    <s v="HIGH"/>
    <x v="1"/>
    <s v="1. if No CSN's found -&gt; default value must be entered e.g. 9999999... or -9999999_x000a_2. CSN - under single shipment (Wybl_ID&amp;Mark_CD&amp;EQPUN_NBR), only one unique CSN's should be found _x000a_3. Multiple CSN's for single shipment -&gt; gold-silver layer is designed to fix issues by using maximum CSN version number as current version ID on the Wybl_x000a_4. Single CSN's for multiple shipments -&gt; gold-silver layer is designed to fix issues by creating a unique identifier such as ((A. CSN's+OriginFSAC+OrigDFLC_DT,  B CSN's+Version#,  C.CSN&amp;CAR_ID&amp;Orig_DFLC_DT D.CSN&amp;TrainID&amp;Titan)_x000a_"/>
    <s v="Y"/>
    <x v="10"/>
    <s v="Cycle_Serial_Nbr"/>
    <s v="Shipment cycle serial number"/>
    <n v="667123456"/>
    <s v="Y"/>
    <s v="SAP HANA if revenue waybills"/>
    <m/>
    <m/>
    <s v="N/A"/>
  </r>
  <r>
    <x v="0"/>
    <n v="52"/>
    <s v="Train183"/>
    <x v="0"/>
    <s v="HIGH"/>
    <x v="1"/>
    <s v="if LOAD_EMPTY_IND = 'L', NOT NULL"/>
    <s v="Y"/>
    <x v="10"/>
    <s v="WYBL_NBR"/>
    <s v="Waybill number"/>
    <m/>
    <s v="Y"/>
    <s v="SAP HANA if revenue waybills"/>
    <m/>
    <m/>
    <s v="N/A"/>
  </r>
  <r>
    <x v="0"/>
    <n v="53"/>
    <s v="Train182"/>
    <x v="0"/>
    <s v="HIGH"/>
    <x v="1"/>
    <s v="if LOAD_EMPTY_IND = 'L', NOT NULL"/>
    <s v="Y"/>
    <x v="10"/>
    <s v="Wybl_ID"/>
    <s v="Waybill internal ID"/>
    <m/>
    <s v="Y"/>
    <s v="SAP HANA if revenue waybills"/>
    <m/>
    <m/>
    <s v="N/A"/>
  </r>
  <r>
    <x v="0"/>
    <n v="54"/>
    <s v="Train082"/>
    <x v="3"/>
    <s v="LOW"/>
    <x v="1"/>
    <s v="if LOAD_EMPTY_IND = 'L', NOT NULL"/>
    <s v="Y"/>
    <x v="10"/>
    <s v="ORIGIN_SCAC_CD"/>
    <s v="Origin SCAC code"/>
    <s v="KCSM"/>
    <s v="Y"/>
    <s v="train.train_cnst_dtl_rail_eqpt.origin_scac_cd"/>
    <m/>
    <s v="N"/>
    <m/>
  </r>
  <r>
    <x v="0"/>
    <n v="55"/>
    <s v="Train085"/>
    <x v="3"/>
    <s v="LOW"/>
    <x v="1"/>
    <s v="if LOAD_EMPTY_IND = 'L', NOT NULL"/>
    <s v="Y"/>
    <x v="10"/>
    <s v="DSTNTN_SCAC_CD"/>
    <s v="Destination SCAC code"/>
    <s v="CPRS"/>
    <s v="Y"/>
    <s v="train.train_cnst_dtl_rail_eqpt.dstntn_scac_cd"/>
    <m/>
    <s v="N"/>
    <m/>
  </r>
  <r>
    <x v="0"/>
    <n v="56"/>
    <s v="Train083"/>
    <x v="3"/>
    <s v="MEDIUM"/>
    <x v="1"/>
    <s v="if LOAD_EMPTY_IND = 'L', NOT NULL"/>
    <s v="Y"/>
    <x v="10"/>
    <s v="ORIGIN_FSAC_CD"/>
    <s v="Origin FSAC code"/>
    <s v="426"/>
    <s v="Y"/>
    <s v="train.train_cnst_dtl_rail_eqpt.origin_fsac_cd"/>
    <m/>
    <s v="N"/>
    <m/>
  </r>
  <r>
    <x v="0"/>
    <n v="57"/>
    <s v="Train086"/>
    <x v="3"/>
    <s v="MEDIUM"/>
    <x v="1"/>
    <s v="if LOAD_EMPTY_IND = 'L', NOT NULL"/>
    <s v="Y"/>
    <x v="10"/>
    <s v="DSTNTN_FSAC_CD"/>
    <s v="Destination FSAC code"/>
    <s v="4541"/>
    <s v="Y"/>
    <s v="train.train_cnst_dtl_rail_eqpt.dstntn_fsac_cd"/>
    <m/>
    <s v="N"/>
    <m/>
  </r>
  <r>
    <x v="0"/>
    <n v="58"/>
    <s v="Train173"/>
    <x v="0"/>
    <s v="MEDIUM"/>
    <x v="1"/>
    <s v="if LOAD_EMPTY_IND = 'L', NOT NULL"/>
    <s v="Y"/>
    <x v="10"/>
    <s v="ORIGIN_STN_NM"/>
    <s v="Origin station name of equipment"/>
    <m/>
    <s v="Y"/>
    <s v="If this is shipment route origin at the car level, then we can leverage stnwyb_msg_dn"/>
    <m/>
    <m/>
    <s v="N/A"/>
  </r>
  <r>
    <x v="0"/>
    <n v="59"/>
    <s v="Train174"/>
    <x v="0"/>
    <s v="MEDIUM"/>
    <x v="1"/>
    <s v="if LOAD_EMPTY_IND = 'L', NOT NULL"/>
    <s v="Y"/>
    <x v="10"/>
    <s v="DSTNTN_STN_NM"/>
    <s v="Destination station name of equipment"/>
    <m/>
    <s v="Y"/>
    <s v="If this is shipment route origin at the car level, then we can leverage stnwyb_msg_dn"/>
    <m/>
    <m/>
    <s v="N/A"/>
  </r>
  <r>
    <x v="0"/>
    <n v="60"/>
    <s v="Train084"/>
    <x v="3"/>
    <s v="LOW"/>
    <x v="1"/>
    <s v="if LOAD_EMPTY_IND = 'L', NOT NULL"/>
    <s v="Y"/>
    <x v="10"/>
    <s v="ORIGIN_TRSTN_VRSN_NBR"/>
    <s v="Origin transition version number"/>
    <s v="3"/>
    <s v="Y"/>
    <s v="train.train_cnst_dtl_rail_eqpt.origin_trstn_vrsn_nbr"/>
    <m/>
    <s v="N"/>
    <m/>
  </r>
  <r>
    <x v="0"/>
    <n v="61"/>
    <s v="Train087"/>
    <x v="3"/>
    <s v="LOW"/>
    <x v="1"/>
    <s v="if LOAD_EMPTY_IND = 'L', NOT NULL"/>
    <s v="Y"/>
    <x v="10"/>
    <s v="DSTNTN_TRSTN_VRSN_NBR"/>
    <s v="Destination transition version number"/>
    <s v="10"/>
    <s v="Y"/>
    <s v="train.train_cnst_dtl_rail_eqpt.dstntn_trstn_vrsn_nbr"/>
    <m/>
    <s v="N"/>
    <m/>
  </r>
  <r>
    <x v="0"/>
    <n v="62"/>
    <s v="Train092"/>
    <x v="3"/>
    <s v="HIGH"/>
    <x v="1"/>
    <s v="if LOAD_EMPTY_IND = 'L', NOT NULL"/>
    <s v="Y"/>
    <x v="10"/>
    <s v="SHPR_CPRS_CSTMR_ID"/>
    <s v="Shipper customer ID"/>
    <s v="CPINTSER"/>
    <s v="Y"/>
    <s v="train.train_cnst_dtl_rail_eqpt.shppr_cprs_cstmr_id"/>
    <m/>
    <s v="N"/>
    <m/>
  </r>
  <r>
    <x v="0"/>
    <n v="63"/>
    <s v="Train093"/>
    <x v="3"/>
    <s v="HIGH"/>
    <x v="1"/>
    <s v="if LOAD_EMPTY_IND = 'L', NOT NULL"/>
    <s v="Y"/>
    <x v="10"/>
    <s v="CNSGN_CPRS_CSTMR_ID"/>
    <s v="Consignee customer ID"/>
    <s v="CPINTSER"/>
    <s v="Y"/>
    <s v="train.train_cnst_dtl_rail_eqpt.cnsgn_cprs_cstmr_id"/>
    <m/>
    <s v="N"/>
    <m/>
  </r>
  <r>
    <x v="0"/>
    <n v="64"/>
    <s v="Train130"/>
    <x v="3"/>
    <s v="HIGH"/>
    <x v="1"/>
    <s v="if LOAD_EMPTY_IND = 'L', NOT NULL"/>
    <s v="Y"/>
    <x v="10"/>
    <s v="CARE_OF_PARTY_CPRS_CSTMR_ID"/>
    <s v="Care of party customer ID"/>
    <s v="NULL"/>
    <s v="Y"/>
    <s v="train.train_cnst_dtl_rail_eqpt.care_of_party_cprs_cstmr_id"/>
    <m/>
    <s v="N"/>
    <m/>
  </r>
  <r>
    <x v="0"/>
    <n v="65"/>
    <s v="Train089"/>
    <x v="3"/>
    <s v="LOW"/>
    <x v="1"/>
    <s v="if LOAD_EMPTY_IND = 'L', NOT NULL"/>
    <s v="Y"/>
    <x v="10"/>
    <s v="CLRNC_PLATE_CD"/>
    <s v="Clearance plate code"/>
    <s v="H"/>
    <s v="Y"/>
    <s v="train.train_cnst_dtl_rail_eqpt.clrnc_plate_cd"/>
    <m/>
    <s v="N"/>
    <m/>
  </r>
  <r>
    <x v="0"/>
    <n v="66"/>
    <s v="Train096"/>
    <x v="3"/>
    <s v="HIGH"/>
    <x v="1"/>
    <s v="if LOAD_EMPTY_IND = 'L', NOT NULL"/>
    <s v="Y"/>
    <x v="10"/>
    <s v="STCC_CD"/>
    <s v="Standard Transportation Commodity Code"/>
    <s v="9980205"/>
    <s v="Y"/>
    <s v="train.train_cnst_dtl_rail_eqpt.stcc_cd"/>
    <m/>
    <s v="N"/>
    <m/>
  </r>
  <r>
    <x v="0"/>
    <n v="67"/>
    <s v="Train186"/>
    <x v="0"/>
    <s v="HIGH"/>
    <x v="1"/>
    <s v="if LOAD_EMPTY_IND = 'L', NOT NULL"/>
    <s v="Y"/>
    <x v="10"/>
    <s v="SUB-LOB"/>
    <s v="Detailed line of business"/>
    <s v="PULP"/>
    <s v="N/A"/>
    <s v="Need to know source to ascertain whether this is active or not"/>
    <m/>
    <m/>
    <s v="N/A"/>
  </r>
  <r>
    <x v="0"/>
    <n v="68"/>
    <s v="Train187"/>
    <x v="0"/>
    <s v="HIGH"/>
    <x v="1"/>
    <s v="if LOAD_EMPTY_IND = 'L', NOT NULL"/>
    <s v="Y"/>
    <x v="10"/>
    <s v="LOB"/>
    <s v="Line of business"/>
    <s v="FOREST_PRODUCTS"/>
    <s v="N/A"/>
    <s v="Can be pulled from SAP HANA"/>
    <m/>
    <m/>
    <s v="N/A"/>
  </r>
  <r>
    <x v="0"/>
    <n v="69"/>
    <s v="Train097"/>
    <x v="3"/>
    <s v="HIGH"/>
    <x v="1"/>
    <s v="if LOAD_EMPTY_IND = 'L', NOT NULL"/>
    <s v="Y"/>
    <x v="10"/>
    <s v="HZCMD_MTRL_RSPNS_CD"/>
    <s v="Hazardous material response code"/>
    <s v="NULL"/>
    <s v="Y"/>
    <s v="train.train_cnst_dtl_rail_eqpt.hzcmd_mtrl_rspns_cd"/>
    <m/>
    <s v="N"/>
    <m/>
  </r>
  <r>
    <x v="0"/>
    <n v="71"/>
    <s v="Train094"/>
    <x v="3"/>
    <s v="HIGH"/>
    <x v="1"/>
    <s v="if LOAD_EMPTY_IND = 'L', NOT NULL"/>
    <s v="Y"/>
    <x v="10"/>
    <s v="FSTWY_WYBL_NBR"/>
    <s v="First waybill number"/>
    <s v="NULL"/>
    <s v="Y"/>
    <s v="train.train_cnst_dtl_rail_eqpt.fstwy_wybl_nbr"/>
    <m/>
    <s v="N"/>
    <m/>
  </r>
  <r>
    <x v="0"/>
    <n v="72"/>
    <s v="Train175"/>
    <x v="0"/>
    <s v="HIGH"/>
    <x v="1"/>
    <s v="if LOAD_EMPTY_IND = 'L', REVENUE &gt; = 0 (NOT NULL)"/>
    <s v="Y"/>
    <x v="10"/>
    <s v="*Revenue in CAD? (active version)"/>
    <s v="Revenue in Canadian funds"/>
    <s v="Do we need to know how much revenue each train generates?"/>
    <s v="N/A"/>
    <s v="this is a good metric for business; if we need it, and we need, can we bring from existing data sources is the question as revenue may involve RMS, SAP-Finance, SAP FCC etc."/>
    <m/>
    <m/>
    <s v="N/A"/>
  </r>
  <r>
    <x v="0"/>
    <n v="73"/>
    <s v="Train188"/>
    <x v="0"/>
    <s v="HIGH"/>
    <x v="1"/>
    <s v="if LOAD_EMPTY_IND = 'L', NOT NULL"/>
    <s v="Y"/>
    <x v="10"/>
    <s v="DG/HZD Indicator?"/>
    <s v="Dangerous or Hazardous content indicator"/>
    <s v="NON HZD"/>
    <s v="Y"/>
    <s v="Lookup from dm_dim.dim_commodity with the stcc number"/>
    <m/>
    <m/>
    <s v="N/A"/>
  </r>
  <r>
    <x v="0"/>
    <n v="74"/>
    <s v="Train189"/>
    <x v="0"/>
    <s v="MEDIUM"/>
    <x v="0"/>
    <m/>
    <s v="Y"/>
    <x v="10"/>
    <s v="REV_CAR_MILES_LOADED_IND"/>
    <s v="Indicator for revenue car miles loaded"/>
    <m/>
    <s v="N/A"/>
    <m/>
    <m/>
    <m/>
    <s v="N/A"/>
  </r>
  <r>
    <x v="0"/>
    <n v="75"/>
    <s v="Train190"/>
    <x v="0"/>
    <s v="MEDIUM"/>
    <x v="0"/>
    <m/>
    <s v="Y"/>
    <x v="10"/>
    <s v="REV_CAR_MILES_EMPTY_IND"/>
    <s v="Indicator for revenue car miles empty"/>
    <m/>
    <s v="N/A"/>
    <m/>
    <m/>
    <m/>
    <s v="N/A"/>
  </r>
  <r>
    <x v="0"/>
    <n v="84"/>
    <s v="Train139"/>
    <x v="3"/>
    <s v="LOW"/>
    <x v="0"/>
    <m/>
    <s v="Y"/>
    <x v="10"/>
    <s v="EQPMT_ASGNMN_ID"/>
    <s v="Equipment assignment ID"/>
    <s v="5933239369"/>
    <s v="Y"/>
    <s v="train.train_cnst_dtl_rail_eqpt.eqpmt_asgnmn_id"/>
    <m/>
    <s v="N"/>
    <m/>
  </r>
  <r>
    <x v="0"/>
    <n v="85"/>
    <s v="Train140"/>
    <x v="3"/>
    <s v="MEDIUM"/>
    <x v="0"/>
    <m/>
    <s v="Y"/>
    <x v="10"/>
    <s v="SHPMT_ID"/>
    <s v="Shipment ID"/>
    <s v="5933239360"/>
    <s v="Y"/>
    <s v="train.train_cnst_dtl_rail_eqpt.shpmt_id"/>
    <m/>
    <s v="N"/>
    <m/>
  </r>
  <r>
    <x v="0"/>
    <n v="86"/>
    <s v="Train126"/>
    <x v="3"/>
    <s v="MEDIUM"/>
    <x v="0"/>
    <m/>
    <s v="Y"/>
    <x v="3"/>
    <s v="CNST_CHNG_MVMNT_EVENT_ID"/>
    <s v="Consist change movement event ID"/>
    <s v="NULL"/>
    <s v="Y"/>
    <s v="train.train_cnst_dtl_rail_eqpt.cnst_chng_mvmnt_event_id"/>
    <s v="SADB"/>
    <s v="N"/>
    <m/>
  </r>
  <r>
    <x v="0"/>
    <n v="87"/>
    <s v="Train127"/>
    <x v="3"/>
    <s v="HIGH"/>
    <x v="0"/>
    <m/>
    <s v="Y"/>
    <x v="3"/>
    <s v="CNST_CHNG_SCAC_CD"/>
    <s v="Consist change SCAC code"/>
    <s v="CPRS"/>
    <s v="Y"/>
    <s v="train.train_cnst_dtl_rail_eqpt.cnst_chng_scac_cd"/>
    <s v="SADB"/>
    <s v="N"/>
    <m/>
  </r>
  <r>
    <x v="0"/>
    <n v="88"/>
    <s v="Train128"/>
    <x v="3"/>
    <s v="HIGH"/>
    <x v="0"/>
    <m/>
    <s v="Y"/>
    <x v="3"/>
    <s v="CNST_CHNG_FSAC_CD"/>
    <s v="Consist change FSAC code"/>
    <s v="5770"/>
    <s v="Y"/>
    <s v="train.train_cnst_dtl_rail_eqpt.cnst_chng_fsac_cd"/>
    <s v="SADB"/>
    <s v="N"/>
    <m/>
  </r>
  <r>
    <x v="0"/>
    <n v="89"/>
    <s v="Train129"/>
    <x v="3"/>
    <s v="MEDIUM"/>
    <x v="0"/>
    <m/>
    <s v="Y"/>
    <x v="3"/>
    <s v="CNST_CHNG_TRSTN_VRSN_NBR"/>
    <s v="Consist change transition version number"/>
    <s v="1"/>
    <s v="Y"/>
    <s v="train.train_cnst_dtl_rail_eqpt.cnst_chng_trstn_vrsn_nbr"/>
    <s v="SADB"/>
    <s v="N"/>
    <m/>
  </r>
  <r>
    <x v="0"/>
    <n v="90"/>
    <s v="Train141"/>
    <x v="3"/>
    <s v="MEDIUM"/>
    <x v="0"/>
    <m/>
    <s v="Y"/>
    <x v="3"/>
    <s v="CNST_LCM_OPRSTS_ID"/>
    <s v="Consist LCM operations ID"/>
    <s v="NULL"/>
    <s v="Y"/>
    <s v="train.train_cnst_dtl_rail_eqpt.cnst_lcm_oprsts_id"/>
    <s v="SADB"/>
    <s v="N"/>
    <m/>
  </r>
  <r>
    <x v="0"/>
    <n v="91"/>
    <s v="Train045"/>
    <x v="1"/>
    <s v="HIGH"/>
    <x v="1"/>
    <s v="Both DEPART_FSAC and ARRIVE_FSAC belongs to correct location group"/>
    <s v="Y"/>
    <x v="3"/>
    <s v="SUBDIVISION"/>
    <s v="Subdivision name"/>
    <s v="LAREDO"/>
    <s v="Y"/>
    <s v="dm_dim.gis_orgn_dstntn_mlg_by_stprv.sbdvsn_nm"/>
    <s v="MDM"/>
    <s v="N"/>
    <m/>
  </r>
  <r>
    <x v="0"/>
    <n v="92"/>
    <s v="Train058"/>
    <x v="2"/>
    <s v="HIGH"/>
    <x v="1"/>
    <s v="Both DEPART_FSAC and ARRIVE_FSAC belongs to correct location group"/>
    <s v="Y"/>
    <x v="3"/>
    <s v="District"/>
    <s v="District name"/>
    <s v="Southwest"/>
    <s v="Y"/>
    <s v="dm_dim.dim_subdvsn_zone"/>
    <s v="MDM"/>
    <s v="N"/>
    <m/>
  </r>
  <r>
    <x v="0"/>
    <n v="93"/>
    <s v="Train054"/>
    <x v="1"/>
    <s v="HIGH"/>
    <x v="1"/>
    <s v="Both DEPART_FSAC and ARRIVE_FSAC belongs to correct location group"/>
    <s v="Y"/>
    <x v="3"/>
    <s v="ZONE"/>
    <s v="Zone name"/>
    <s v="SOUTHWEST"/>
    <s v="Y"/>
    <s v="dm_dim.dim_subdvsn_zone.zone_x000a_dm_dim.dim_subdvsn .zone"/>
    <s v="MDM"/>
    <s v="Y"/>
    <m/>
  </r>
  <r>
    <x v="0"/>
    <n v="94"/>
    <s v="Train047"/>
    <x v="1"/>
    <s v="HIGH"/>
    <x v="1"/>
    <s v="Both DEPART_FSAC and ARRIVE_FSAC belongs to correct location group"/>
    <s v="Y"/>
    <x v="3"/>
    <s v="DIVISION"/>
    <s v="Division name"/>
    <s v="South West"/>
    <s v="Y"/>
    <s v="dm_dim.dim_subdvsn_zone.division_nm_x000a_dm_dim.dim_subdvsn .division_nm"/>
    <s v="MDM"/>
    <s v="Y"/>
    <m/>
  </r>
  <r>
    <x v="0"/>
    <n v="95"/>
    <s v="Train046"/>
    <x v="1"/>
    <s v="HIGH"/>
    <x v="1"/>
    <s v="Both DEPART_FSAC and ARRIVE_FSAC belongs to correct location group"/>
    <s v="Y"/>
    <x v="3"/>
    <s v="REGION"/>
    <s v="Region name"/>
    <s v="Mexico"/>
    <s v="Y"/>
    <s v="dm_dim.dim_subdvsn_zone.region_x000a_dm_dim.dim_subdvsn .region"/>
    <s v="MDM"/>
    <s v="Y"/>
    <m/>
  </r>
  <r>
    <x v="0"/>
    <n v="96"/>
    <s v="Train057"/>
    <x v="2"/>
    <s v="HIGH"/>
    <x v="1"/>
    <s v="Both DEPART_FSAC and ARRIVE_FSAC belongs to correct location group"/>
    <s v="Y"/>
    <x v="3"/>
    <s v="Country"/>
    <s v="Country name"/>
    <s v="US"/>
    <s v="Y"/>
    <s v="trkfc.trkfc_trstn.fsac_cd_x000a_dm_dim.dim_location"/>
    <s v="SADB"/>
    <s v="N"/>
    <m/>
  </r>
  <r>
    <x v="0"/>
    <n v="97"/>
    <s v="Train055"/>
    <x v="2"/>
    <s v="HIGH"/>
    <x v="1"/>
    <s v="Both DEPART_FSAC and ARRIVE_FSAC belongs to correct location group"/>
    <s v="Y"/>
    <x v="3"/>
    <s v="Company"/>
    <s v="Company name"/>
    <s v="KCSR"/>
    <s v="TBA"/>
    <s v="Company name same as rail line"/>
    <m/>
    <m/>
    <m/>
  </r>
  <r>
    <x v="0"/>
    <n v="98"/>
    <s v="Train056"/>
    <x v="2"/>
    <s v="HIGH"/>
    <x v="1"/>
    <s v="Both DEPART_FSAC and ARRIVE_FSAC belongs to correct location group"/>
    <s v="Y"/>
    <x v="3"/>
    <s v="RAIL_LINE"/>
    <s v="Rail line name"/>
    <s v="KCSR"/>
    <s v="Y"/>
    <s v="dm_dim.dim_location"/>
    <s v="MDM"/>
    <s v="N"/>
    <m/>
  </r>
  <r>
    <x v="0"/>
    <n v="99"/>
    <s v="Train098"/>
    <x v="3"/>
    <s v="LOW"/>
    <x v="0"/>
    <m/>
    <s v="Y"/>
    <x v="3"/>
    <s v="ON_JNCTN_SCAC_CD"/>
    <s v="On junction SCAC code"/>
    <s v="CPRS"/>
    <s v="Y"/>
    <s v="train.train_cnst_dtl_rail_eqpt.on_jnctn_scac_cd"/>
    <s v="SADB"/>
    <s v="N"/>
    <m/>
  </r>
  <r>
    <x v="0"/>
    <n v="100"/>
    <s v="Train102"/>
    <x v="3"/>
    <s v="LOW"/>
    <x v="0"/>
    <m/>
    <s v="Y"/>
    <x v="3"/>
    <s v="OFF_JNCTN_SCAC_CD"/>
    <s v="Off junction SCAC code"/>
    <s v="CPRS"/>
    <s v="Y"/>
    <s v="train.train_cnst_dtl_rail_eqpt.off_jnctn_scac_cd"/>
    <s v="SADB"/>
    <s v="N"/>
    <m/>
  </r>
  <r>
    <x v="0"/>
    <n v="101"/>
    <s v="Train099"/>
    <x v="3"/>
    <s v="LOW"/>
    <x v="0"/>
    <m/>
    <s v="Y"/>
    <x v="3"/>
    <s v="ON_JNCTN_FSAC_CD"/>
    <s v="On junction FSAC code"/>
    <s v="5770"/>
    <s v="Y"/>
    <s v="train.train_cnst_dtl_rail_eqpt.on_jnctn_fsac_cd"/>
    <s v="SADB"/>
    <s v="N"/>
    <m/>
  </r>
  <r>
    <x v="0"/>
    <n v="102"/>
    <s v="Train103"/>
    <x v="3"/>
    <s v="LOW"/>
    <x v="0"/>
    <m/>
    <s v="Y"/>
    <x v="3"/>
    <s v="OFF_JNCTN_FSAC_CD"/>
    <s v="Off junction FSAC code"/>
    <s v="4541"/>
    <s v="Y"/>
    <s v="train.train_cnst_dtl_rail_eqpt.off_jnctn_fsac_cd"/>
    <s v="SADB"/>
    <s v="N"/>
    <m/>
  </r>
  <r>
    <x v="0"/>
    <n v="103"/>
    <s v="Train100"/>
    <x v="3"/>
    <s v="LOW"/>
    <x v="0"/>
    <m/>
    <s v="Y"/>
    <x v="3"/>
    <s v="ON_JNCTN_TRSTN_VRSN_NBR"/>
    <s v="On junction transition version number"/>
    <s v="1"/>
    <s v="Y"/>
    <s v="train.train_cnst_dtl_rail_eqpt.on_jnctn_trstn_vrsn_nbr"/>
    <s v="SADB"/>
    <s v="N"/>
    <m/>
  </r>
  <r>
    <x v="0"/>
    <n v="104"/>
    <s v="Train104"/>
    <x v="3"/>
    <s v="LOW"/>
    <x v="0"/>
    <m/>
    <s v="Y"/>
    <x v="3"/>
    <s v="OFF_JNCTN_TRSTN_VRSN_NBR"/>
    <s v="Off junction transition version number"/>
    <s v="10"/>
    <s v="Y"/>
    <s v="train.train_cnst_dtl_rail_eqpt.off_jnctn_trstn_vrsn_nbr"/>
    <s v="SADB"/>
    <s v="N"/>
    <m/>
  </r>
  <r>
    <x v="0"/>
    <n v="105"/>
    <s v="Train101"/>
    <x v="3"/>
    <s v="MEDIUM"/>
    <x v="0"/>
    <m/>
    <s v="Y"/>
    <x v="3"/>
    <s v="RCVD_FROM_SCAC_CD"/>
    <s v="Received from SCAC code"/>
    <s v="KCSM"/>
    <s v="Y"/>
    <s v="train.train_cnst_dtl_rail_eqpt.rcvd_from_scac_cd"/>
    <s v="SADB"/>
    <s v="N"/>
    <m/>
  </r>
  <r>
    <x v="0"/>
    <n v="106"/>
    <s v="Train105"/>
    <x v="3"/>
    <s v="MEDIUM"/>
    <x v="0"/>
    <m/>
    <s v="Y"/>
    <x v="3"/>
    <s v="DLVR_TO_SCAC_CD"/>
    <s v="Deliver to SCAC code"/>
    <s v="CPRS"/>
    <s v="Y"/>
    <s v="train.train_cnst_dtl_rail_eqpt.dlvr_to_scac_cd"/>
    <s v="SADB"/>
    <s v="N"/>
    <m/>
  </r>
  <r>
    <x v="0"/>
    <n v="107"/>
    <s v="Train110"/>
    <x v="3"/>
    <s v="MEDIUM"/>
    <x v="0"/>
    <m/>
    <s v="Y"/>
    <x v="3"/>
    <s v="ORNTN_CD"/>
    <s v="Orientation code"/>
    <s v="NULL"/>
    <s v="Y"/>
    <s v="train.train_cnst_dtl_rail_eqpt.orntn_cd"/>
    <s v="SADB"/>
    <s v="N"/>
    <m/>
  </r>
  <r>
    <x v="0"/>
    <n v="108"/>
    <s v="Train063"/>
    <x v="2"/>
    <s v="HIGH"/>
    <x v="1"/>
    <s v="Depart Station &lt;&gt; Arrive Statoin in same row of data"/>
    <s v="Y"/>
    <x v="3"/>
    <s v="Depart Station"/>
    <s v="Departure station name"/>
    <s v="LAREDO BRIDGE"/>
    <s v="TBA"/>
    <s v="Could be added in silver layer via lookup from dim_location"/>
    <m/>
    <m/>
    <n v="1"/>
  </r>
  <r>
    <x v="0"/>
    <n v="109"/>
    <s v="Train064"/>
    <x v="2"/>
    <s v="HIGH"/>
    <x v="1"/>
    <s v="Depart Station &lt;&gt; Arrive Statoin in same row of data"/>
    <s v="Y"/>
    <x v="3"/>
    <s v="Arrival Station"/>
    <s v="Arrival station name"/>
    <s v="LAREDO YARD"/>
    <s v="TBA"/>
    <s v="Could be added in silver layer via lookup from dim_location"/>
    <m/>
    <m/>
    <n v="1"/>
  </r>
  <r>
    <x v="0"/>
    <n v="110"/>
    <s v="Train151"/>
    <x v="0"/>
    <s v="MEDIUM"/>
    <x v="1"/>
    <s v="DEPART_FSAC belongs to correct location dimension"/>
    <s v="Y"/>
    <x v="3"/>
    <s v="DEPART_RAIL_LINE"/>
    <s v="Rail line name of the station where train segment started"/>
    <s v="KCSR"/>
    <s v="Y"/>
    <s v="Lookup from dim_location in silver layer"/>
    <m/>
    <m/>
    <s v="N/A"/>
  </r>
  <r>
    <x v="0"/>
    <n v="111"/>
    <s v="Train152"/>
    <x v="0"/>
    <s v="MEDIUM"/>
    <x v="1"/>
    <s v="ARRIVE_FSAC belongs to correct location dimension"/>
    <s v="Y"/>
    <x v="3"/>
    <s v="ARRIVE_RAIL_LINE"/>
    <s v="Rail line name of the station where train segment ended"/>
    <s v="KCSR"/>
    <s v="Y"/>
    <s v="Lookup from dim_location in silver layer"/>
    <m/>
    <m/>
    <s v="N/A"/>
  </r>
  <r>
    <x v="0"/>
    <n v="112"/>
    <s v="Train153"/>
    <x v="0"/>
    <s v="MEDIUM"/>
    <x v="1"/>
    <s v="DEPART_FSAC belongs to correct location dimension"/>
    <s v="Y"/>
    <x v="3"/>
    <s v="DEPART_SUBDIVISION"/>
    <s v="Subdivision name of the station where train segment started"/>
    <s v="Based on FSAC"/>
    <s v="Y"/>
    <s v="CTN Tables &amp; MDW Tables.. _x000a__x000a_TRKFC.TRSTN_TRSTN_x000a_TRKFC.TRKFC_STN_HRCHY.. To be explored further.._x000a_MDQ Tables --_x000a_DM_DIM.DIM_SUBDVSN_ZONE"/>
    <s v="TBD"/>
    <m/>
    <s v="N/A"/>
  </r>
  <r>
    <x v="0"/>
    <n v="113"/>
    <s v="Train154"/>
    <x v="0"/>
    <s v="MEDIUM"/>
    <x v="1"/>
    <s v="ARRIVE_FSAC belongs to correct location dimension"/>
    <s v="Y"/>
    <x v="3"/>
    <s v="ARRIVE_SUBDIVISOIN"/>
    <s v="Subdivision name of the station where train segment ended"/>
    <s v="Based on FSAC"/>
    <s v="Y"/>
    <s v="Lookup from dim_location in silver layer"/>
    <m/>
    <m/>
    <s v="N/A"/>
  </r>
  <r>
    <x v="0"/>
    <n v="114"/>
    <s v="Train155"/>
    <x v="0"/>
    <s v="MEDIUM"/>
    <x v="0"/>
    <m/>
    <s v="Y"/>
    <x v="3"/>
    <s v="DEPART_DISTRICT"/>
    <s v="District name of the station where train segment started"/>
    <s v="Based on FSAC"/>
    <s v="Y"/>
    <s v="Lookup from dim_location in silver layer"/>
    <m/>
    <m/>
    <s v="N/A"/>
  </r>
  <r>
    <x v="0"/>
    <n v="115"/>
    <s v="Train156"/>
    <x v="0"/>
    <s v="MEDIUM"/>
    <x v="0"/>
    <m/>
    <s v="Y"/>
    <x v="3"/>
    <s v="ARRIVE_DISTRICT"/>
    <s v="District name of the station where train segment ended"/>
    <s v="Based on FSAC"/>
    <s v="Y"/>
    <s v="Lookup from dim_location in silver layer"/>
    <m/>
    <m/>
    <s v="N/A"/>
  </r>
  <r>
    <x v="0"/>
    <n v="116"/>
    <s v="Train157"/>
    <x v="0"/>
    <s v="MEDIUM"/>
    <x v="0"/>
    <m/>
    <s v="Y"/>
    <x v="3"/>
    <s v="DEPART_DIVISION"/>
    <s v="Division name of the station where train segment started"/>
    <s v="Based on FSAC"/>
    <s v="Y"/>
    <s v="Lookup from dim_location in silver layer"/>
    <m/>
    <m/>
    <s v="N/A"/>
  </r>
  <r>
    <x v="0"/>
    <n v="117"/>
    <s v="Train158"/>
    <x v="0"/>
    <s v="MEDIUM"/>
    <x v="0"/>
    <m/>
    <s v="Y"/>
    <x v="3"/>
    <s v="ARRIVE_DIVISION"/>
    <s v="Division name of the station where train segment ended"/>
    <s v="Based on FSAC"/>
    <s v="Y"/>
    <s v="Lookup from dim_location in silver layer"/>
    <m/>
    <m/>
    <s v="N/A"/>
  </r>
  <r>
    <x v="0"/>
    <n v="118"/>
    <s v="Train159"/>
    <x v="0"/>
    <s v="MEDIUM"/>
    <x v="0"/>
    <m/>
    <s v="Y"/>
    <x v="3"/>
    <s v="DEPART_ZONE"/>
    <s v="Zone name of the station where train segment started"/>
    <s v="Based on FSAC"/>
    <s v="Y"/>
    <s v="Lookup from dim_location in silver layer"/>
    <m/>
    <m/>
    <s v="N/A"/>
  </r>
  <r>
    <x v="0"/>
    <n v="119"/>
    <s v="Train160"/>
    <x v="0"/>
    <s v="MEDIUM"/>
    <x v="0"/>
    <m/>
    <s v="Y"/>
    <x v="3"/>
    <s v="ARRIVE_ZONE"/>
    <s v="Zone name of the station where train segment ended"/>
    <s v="Based on FSAC"/>
    <s v="Y"/>
    <s v="Lookup from dim_location in silver layer"/>
    <m/>
    <m/>
    <s v="N/A"/>
  </r>
  <r>
    <x v="0"/>
    <n v="120"/>
    <s v="Train161"/>
    <x v="0"/>
    <s v="MEDIUM"/>
    <x v="0"/>
    <m/>
    <s v="Y"/>
    <x v="3"/>
    <s v="DEPART_REGION"/>
    <s v="Region name of the station where train segment started"/>
    <s v="Based on FSAC"/>
    <s v="Y"/>
    <s v="Lookup from dim_location in silver layer"/>
    <m/>
    <m/>
    <s v="N/A"/>
  </r>
  <r>
    <x v="0"/>
    <n v="121"/>
    <s v="Train162"/>
    <x v="0"/>
    <s v="MEDIUM"/>
    <x v="0"/>
    <m/>
    <s v="Y"/>
    <x v="3"/>
    <s v="ARRIVE_REGION"/>
    <s v="Region name of the station where train segment ended"/>
    <s v="Based on FSAC"/>
    <s v="Y"/>
    <s v="Lookup from dim_location in silver layer"/>
    <m/>
    <m/>
    <s v="N/A"/>
  </r>
  <r>
    <x v="0"/>
    <n v="122"/>
    <s v="Train163"/>
    <x v="0"/>
    <s v="MEDIUM"/>
    <x v="1"/>
    <s v="DEPART_FSAC belongs to correct location dimension"/>
    <s v="Y"/>
    <x v="3"/>
    <s v="DEPART_STPRV"/>
    <s v="Province/State name of the station where train segment started"/>
    <s v="Based on FSAC"/>
    <s v="Y"/>
    <s v="Lookup from dim_location in silver layer"/>
    <m/>
    <m/>
    <s v="N/A"/>
  </r>
  <r>
    <x v="0"/>
    <n v="123"/>
    <s v="Train164"/>
    <x v="0"/>
    <s v="MEDIUM"/>
    <x v="1"/>
    <s v="ARRIVE_FSAC belongs to correct location dimension"/>
    <s v="Y"/>
    <x v="3"/>
    <s v="ARRIVE_STPRV"/>
    <s v="Province/State name of the station where train segment ended"/>
    <s v="Based on FSAC"/>
    <s v="Y"/>
    <s v="Lookup from dim_location in silver layer"/>
    <m/>
    <m/>
    <s v="N/A"/>
  </r>
  <r>
    <x v="0"/>
    <n v="126"/>
    <s v="Train165"/>
    <x v="0"/>
    <s v="MEDIUM"/>
    <x v="1"/>
    <s v="DEPART_FSAC belongs to correct location dimension"/>
    <s v="Y"/>
    <x v="3"/>
    <s v="DEPART_COUNTRY"/>
    <s v="Country name of the station where train segment started"/>
    <s v="US"/>
    <s v="Y"/>
    <s v="trkfc.trkfc_trstn.fsac_cd"/>
    <s v="SADB"/>
    <s v="Y"/>
    <s v="N/A"/>
  </r>
  <r>
    <x v="0"/>
    <n v="127"/>
    <s v="Train166"/>
    <x v="0"/>
    <s v="MEDIUM"/>
    <x v="1"/>
    <s v="ARRIVE_FSAC belongs to correct location dimension"/>
    <s v="Y"/>
    <x v="3"/>
    <s v="ARRIVE_COUNTRY"/>
    <s v="Country name of the station where train segment ended"/>
    <s v="US"/>
    <s v="Y"/>
    <s v="trkfc.trkfc_trstn.fsac_cd"/>
    <s v="SADB"/>
    <s v="Y"/>
    <s v="N/A"/>
  </r>
  <r>
    <x v="0"/>
    <n v="128"/>
    <s v="Train169"/>
    <x v="0"/>
    <s v="MEDIUM"/>
    <x v="0"/>
    <m/>
    <s v="Y"/>
    <x v="3"/>
    <s v="DEPART_UPDATED_BY(SRC SYS NM AEI/SENTINNEL/GEOFENCE/WITRO)"/>
    <s v="Source system updated entity where train segement started"/>
    <s v="MCS"/>
    <s v="N/A"/>
    <s v="Source TBD  (transformation needs to be done in silver layer based on source of data)"/>
    <m/>
    <m/>
    <s v="N/A"/>
  </r>
  <r>
    <x v="0"/>
    <n v="129"/>
    <s v="Train170"/>
    <x v="0"/>
    <s v="MEDIUM"/>
    <x v="0"/>
    <m/>
    <s v="Y"/>
    <x v="3"/>
    <s v="ARRIVE_UPDATED_BY(SRC SYS NM AEI/SENTINNEL/GEOFENCE/WITRO)"/>
    <s v="Source system updated entity where train segement ended"/>
    <s v="TYES"/>
    <s v="N/A"/>
    <s v="Source TBD  (transformation needs to be done in silver layer based on source of data)"/>
    <m/>
    <m/>
    <s v="N/A"/>
  </r>
  <r>
    <x v="0"/>
    <n v="132"/>
    <s v="Train078"/>
    <x v="3"/>
    <s v="MEDIUM"/>
    <x v="1"/>
    <s v="Mandatory field, Not Null"/>
    <s v="Y"/>
    <x v="5"/>
    <s v="AAR_CAR_TYPE_CD"/>
    <s v="AAR car type code"/>
    <s v="S635"/>
    <s v="Y"/>
    <s v="train.train_cnst_dtl_rail_eqpt.aar_car_type_cd"/>
    <m/>
    <s v="N"/>
    <n v="1"/>
  </r>
  <r>
    <x v="0"/>
    <n v="133"/>
    <s v="Train079"/>
    <x v="3"/>
    <s v="MEDIUM"/>
    <x v="1"/>
    <s v="Mandatory field, Not Null"/>
    <s v="Y"/>
    <x v="5"/>
    <s v="OTSD_LENGTH_FEET_QTY"/>
    <s v="Outside length in feet"/>
    <s v="204"/>
    <s v="Y"/>
    <s v="train.train_cnst_dtl_rail_eqpt.otsd_length_feet_qty"/>
    <m/>
    <s v="N"/>
    <m/>
  </r>
  <r>
    <x v="0"/>
    <n v="134"/>
    <s v="Train080"/>
    <x v="3"/>
    <s v="MEDIUM"/>
    <x v="1"/>
    <s v="Mandatory field, Not Null"/>
    <s v="Y"/>
    <x v="5"/>
    <s v="OTSD_LENGTH_INCHES_QTY"/>
    <s v="Outside length in inches"/>
    <s v="2"/>
    <s v="Y"/>
    <s v="train.train_cnst_dtl_rail_eqpt.otsd_length_inches_qty"/>
    <m/>
    <s v="N"/>
    <m/>
  </r>
  <r>
    <x v="0"/>
    <n v="135"/>
    <s v="Train149"/>
    <x v="0"/>
    <s v="HIGH"/>
    <x v="1"/>
    <s v="NULL or Greater than Today 0001 local time"/>
    <s v="Y"/>
    <x v="5"/>
    <s v="Railcar ETA"/>
    <s v="Estimated time of arrival for railcar"/>
    <s v="Logic TBC"/>
    <s v="N/A"/>
    <m/>
    <m/>
    <m/>
    <s v="N/A"/>
  </r>
  <r>
    <x v="0"/>
    <n v="136"/>
    <s v="Train176"/>
    <x v="0"/>
    <s v="HIGH"/>
    <x v="1"/>
    <s v="Mandatory field, Not Null"/>
    <s v="Y"/>
    <x v="5"/>
    <s v="Asset Type (Loco/Railcar/Container/EoT)"/>
    <s v="Asset type"/>
    <m/>
    <s v="Y"/>
    <s v="Multiple SADB tables inluding stnwyb_msg_dn; UMLER/EMIS tables"/>
    <m/>
    <m/>
    <s v="N/A"/>
  </r>
  <r>
    <x v="0"/>
    <n v="137"/>
    <s v="Train178"/>
    <x v="0"/>
    <s v="HIGH"/>
    <x v="1"/>
    <s v="Mandatory field, Not Null"/>
    <s v="Y"/>
    <x v="5"/>
    <s v="Equipment_Type(Box car)"/>
    <s v="Equipment type description"/>
    <m/>
    <s v="Y"/>
    <m/>
    <m/>
    <m/>
    <s v="N/A"/>
  </r>
  <r>
    <x v="0"/>
    <n v="138"/>
    <s v="Train179"/>
    <x v="0"/>
    <s v="HIGH"/>
    <x v="1"/>
    <s v="Mandatory field, Not Null"/>
    <s v="Y"/>
    <x v="5"/>
    <s v="Ownership"/>
    <s v="Ownership type"/>
    <m/>
    <s v="Y"/>
    <s v="dim_equipment"/>
    <m/>
    <m/>
    <s v="N/A"/>
  </r>
  <r>
    <x v="0"/>
    <n v="139"/>
    <s v="Train180"/>
    <x v="0"/>
    <s v="HIGH"/>
    <x v="1"/>
    <s v="Mandatory field, Not Null"/>
    <s v="Y"/>
    <x v="5"/>
    <s v="AAR_Car_Kind"/>
    <s v="AAR car kind code"/>
    <s v="BXA"/>
    <s v="Y"/>
    <s v="dim_equipment"/>
    <m/>
    <m/>
    <s v="N/A"/>
  </r>
  <r>
    <x v="0"/>
    <n v="140"/>
    <s v="Train181"/>
    <x v="0"/>
    <s v="LOW"/>
    <x v="0"/>
    <m/>
    <s v="Y"/>
    <x v="5"/>
    <s v="AAR_Pool_NBR"/>
    <s v="AAR pool number"/>
    <s v="115* (first 3 digigts - company name)"/>
    <s v="Y"/>
    <s v="dim_equipment"/>
    <m/>
    <m/>
    <s v="N/A"/>
  </r>
  <r>
    <x v="0"/>
    <n v="141"/>
    <s v="Train189"/>
    <x v="0"/>
    <s v="MEDIUM"/>
    <x v="1"/>
    <s v="&gt;0  for unique train by each segment (each segment must have at least 1 live_loco_IND='Y&quot;)"/>
    <s v="Y"/>
    <x v="5"/>
    <s v="LIVE_LOCO_IND"/>
    <s v="Live locomotive indicator"/>
    <m/>
    <s v="N/A"/>
    <m/>
    <m/>
    <m/>
    <s v="N/A"/>
  </r>
  <r>
    <x v="0"/>
    <n v="142"/>
    <s v="Train190"/>
    <x v="0"/>
    <s v="MEDIUM"/>
    <x v="0"/>
    <m/>
    <s v="Y"/>
    <x v="5"/>
    <s v="DH_LOCO_IND"/>
    <s v="Deadhead locomotive indicator"/>
    <m/>
    <s v="N/A"/>
    <m/>
    <m/>
    <m/>
    <s v="N/A"/>
  </r>
  <r>
    <x v="0"/>
    <n v="143"/>
    <s v="Train194"/>
    <x v="0"/>
    <s v="MEDIUM"/>
    <x v="0"/>
    <m/>
    <s v="Y"/>
    <x v="5"/>
    <s v="WORK_CAR_IND"/>
    <s v="Work car indicator"/>
    <m/>
    <s v="N/A"/>
    <m/>
    <m/>
    <m/>
    <s v="N/A"/>
  </r>
  <r>
    <x v="0"/>
    <n v="144"/>
    <s v="Train195"/>
    <x v="0"/>
    <s v="MEDIUM"/>
    <x v="1"/>
    <s v="If ownership = Private (P), mandatory field (Y or N)"/>
    <s v="Y"/>
    <x v="5"/>
    <s v="OT57_Registered_IND"/>
    <s v="OT57 registered indicator"/>
    <s v="are cars authorized to move in CPKC? registered in Railinc OT57 registry"/>
    <s v="N/A"/>
    <m/>
    <m/>
    <m/>
    <s v="N/A"/>
  </r>
  <r>
    <x v="0"/>
    <n v="145"/>
    <s v="Train196"/>
    <x v="0"/>
    <s v="MEDIUM"/>
    <x v="0"/>
    <m/>
    <s v="Y"/>
    <x v="5"/>
    <s v="Registered_IND"/>
    <s v="Registered indicator in Umler"/>
    <s v="are cars registered in Umler? / DIM equipment"/>
    <s v="N/A"/>
    <m/>
    <m/>
    <m/>
    <s v="N/A"/>
  </r>
  <r>
    <x v="0"/>
    <n v="146"/>
    <s v="Train030"/>
    <x v="1"/>
    <s v="MEDIUM"/>
    <x v="1"/>
    <s v="&gt;=1. in order to move train, there should be at least 1 live locomotive to report the movement"/>
    <s v="Y"/>
    <x v="9"/>
    <s v="LIVE_LOCO_COUNT"/>
    <s v="Count of live locomotives"/>
    <n v="2"/>
    <s v="Y"/>
    <s v="M/EDW -- INFA Sequence: DM_DIM.DIM_LOCOMOTIVE.DIM_LOCOMOTIVE_ID"/>
    <m/>
    <s v="Y"/>
    <m/>
  </r>
  <r>
    <x v="0"/>
    <n v="147"/>
    <s v="Train031"/>
    <x v="1"/>
    <s v="MEDIUM"/>
    <x v="0"/>
    <m/>
    <s v="Y"/>
    <x v="9"/>
    <s v="DH_LOCO_COUNT"/>
    <s v="Count of deadhead locomotives"/>
    <n v="0"/>
    <s v="Y"/>
    <s v="M/EDW -- INFA Sequence: DM_DIM.DIM_LOCOMOTIVE.DIM_LOCOMOTIVE_ID"/>
    <m/>
    <s v="Y"/>
    <m/>
  </r>
  <r>
    <x v="0"/>
    <n v="148"/>
    <s v="Train111"/>
    <x v="3"/>
    <s v="HIGH"/>
    <x v="1"/>
    <s v="Context: Every unique segments (titan&amp;trn_leg_ID&amp;depart_FSAC&amp;arrive_FSAC) must have one (single) LEAD_LCMTV_IND='Y'_x000a_1. count of case where LCMTV_CNST_STATUS_CD = 'Y'  = 1 ( by above key )"/>
    <s v="Y"/>
    <x v="9"/>
    <s v="LEAD_LCMTV_IND"/>
    <s v="Lead locomotive Indicator where SQNC equals 1"/>
    <s v="NULL"/>
    <s v="Y or N_x000a_Only 157474 of 15M records have this as not null, for the rest of the records this is null"/>
    <s v="train.train_cnst_dtl_rail_eqpt.lead_lcmtv_ind"/>
    <m/>
    <s v="N"/>
    <m/>
  </r>
  <r>
    <x v="0"/>
    <n v="149"/>
    <s v="Train112"/>
    <x v="3"/>
    <s v="MEDIUM"/>
    <x v="0"/>
    <m/>
    <s v="Y"/>
    <x v="9"/>
    <s v="LCMTV_CNST_STATUS_CD"/>
    <m/>
    <s v="NULL"/>
    <s v="Y or N_x000a_Only 120575 of 15M records have this as not null, for the rest of the records this is null"/>
    <s v="train.train_cnst_dtl_rail_eqpt.lcmtv_cnst_status_cd"/>
    <m/>
    <s v="N"/>
    <m/>
  </r>
  <r>
    <x v="0"/>
    <n v="150"/>
    <s v="Train115"/>
    <x v="3"/>
    <s v="HIGH"/>
    <x v="2"/>
    <m/>
    <s v="Y"/>
    <x v="9"/>
    <s v="LIFT_MVMNT_EVENT_ID"/>
    <m/>
    <s v="NULL"/>
    <s v="N"/>
    <s v="train.train_cnst_dtl_rail_eqpt.lift_mvmnt_event_id"/>
    <m/>
    <s v="N"/>
    <m/>
  </r>
  <r>
    <x v="0"/>
    <n v="151"/>
    <s v="Train120"/>
    <x v="3"/>
    <s v="HIGH"/>
    <x v="2"/>
    <m/>
    <s v="Y"/>
    <x v="9"/>
    <s v="SET_MVMNT_EVENT_ID"/>
    <m/>
    <s v="NULL"/>
    <s v="N"/>
    <s v="train.train_cnst_dtl_rail_eqpt.set_mvmnt_event_id"/>
    <m/>
    <s v="N"/>
    <m/>
  </r>
  <r>
    <x v="0"/>
    <n v="152"/>
    <s v="Train116"/>
    <x v="3"/>
    <s v="HIGH"/>
    <x v="2"/>
    <m/>
    <s v="Y"/>
    <x v="9"/>
    <s v="LIFT_EVENT_TMS"/>
    <m/>
    <s v="NULL"/>
    <s v="N"/>
    <s v="train.train_cnst_dtl_rail_eqpt.lift_event_tms"/>
    <m/>
    <s v="N"/>
    <m/>
  </r>
  <r>
    <x v="0"/>
    <n v="153"/>
    <s v="Train121"/>
    <x v="3"/>
    <s v="HIGH"/>
    <x v="2"/>
    <m/>
    <s v="Y"/>
    <x v="9"/>
    <s v="SET_EVENT_TMS"/>
    <m/>
    <s v="NULL"/>
    <s v="N"/>
    <s v="train.train_cnst_dtl_rail_eqpt.set_event_tms"/>
    <m/>
    <s v="N"/>
    <m/>
  </r>
  <r>
    <x v="0"/>
    <n v="154"/>
    <s v="Train117"/>
    <x v="3"/>
    <s v="HIGH"/>
    <x v="2"/>
    <m/>
    <s v="Y"/>
    <x v="9"/>
    <s v="LIFT_SCAC_CD"/>
    <m/>
    <s v="NULL"/>
    <s v="N"/>
    <s v="train.train_cnst_dtl_rail_eqpt.lift_scac_cd"/>
    <m/>
    <s v="N"/>
    <m/>
  </r>
  <r>
    <x v="0"/>
    <n v="155"/>
    <s v="Train122"/>
    <x v="3"/>
    <s v="HIGH"/>
    <x v="2"/>
    <m/>
    <s v="Y"/>
    <x v="9"/>
    <s v="SET_SCAC_CD"/>
    <m/>
    <s v="NULL"/>
    <s v="N"/>
    <s v="train.train_cnst_dtl_rail_eqpt.set_scac_cd"/>
    <m/>
    <s v="N"/>
    <m/>
  </r>
  <r>
    <x v="0"/>
    <n v="156"/>
    <s v="Train118"/>
    <x v="3"/>
    <s v="HIGH"/>
    <x v="2"/>
    <m/>
    <s v="Y"/>
    <x v="9"/>
    <s v="LIFT_FSAC_CD"/>
    <m/>
    <s v="NULL"/>
    <s v="N"/>
    <s v="train.train_cnst_dtl_rail_eqpt.lift_fsac_cd"/>
    <m/>
    <s v="N"/>
    <m/>
  </r>
  <r>
    <x v="0"/>
    <n v="157"/>
    <s v="Train123"/>
    <x v="3"/>
    <s v="HIGH"/>
    <x v="2"/>
    <m/>
    <s v="Y"/>
    <x v="9"/>
    <s v="SET_FSAC_CD"/>
    <m/>
    <s v="NULL"/>
    <s v="N"/>
    <s v="train.train_cnst_dtl_rail_eqpt.set_fsac_cd"/>
    <m/>
    <s v="N"/>
    <m/>
  </r>
  <r>
    <x v="0"/>
    <n v="158"/>
    <s v="Train119"/>
    <x v="3"/>
    <s v="HIGH"/>
    <x v="2"/>
    <m/>
    <s v="Y"/>
    <x v="9"/>
    <s v="LIFT_TRSTN_VRSN_NBR"/>
    <m/>
    <s v="NULL"/>
    <s v="N"/>
    <s v="train.train_cnst_dtl_rail_eqpt.lift_trstn_vrsn_nbr"/>
    <m/>
    <s v="N"/>
    <m/>
  </r>
  <r>
    <x v="0"/>
    <n v="159"/>
    <s v="Train124"/>
    <x v="3"/>
    <s v="HIGH"/>
    <x v="2"/>
    <m/>
    <s v="Y"/>
    <x v="9"/>
    <s v="SET_TRSTN_VRSN_NBR"/>
    <m/>
    <s v="NULL"/>
    <s v="N"/>
    <s v="train.train_cnst_dtl_rail_eqpt.set_trstn_vrsn_nbr"/>
    <m/>
    <s v="N"/>
    <m/>
  </r>
  <r>
    <x v="0"/>
    <n v="160"/>
    <s v="Train131"/>
    <x v="3"/>
    <s v="HIGH"/>
    <x v="2"/>
    <m/>
    <s v="Y"/>
    <x v="9"/>
    <s v="LIFT_RPRTNG_TM_ZN_CD"/>
    <m/>
    <s v="NULL"/>
    <s v="N"/>
    <s v="train.train_cnst_dtl_rail_eqpt.lift_rprtng_tm_zn_cd"/>
    <m/>
    <s v="N"/>
    <m/>
  </r>
  <r>
    <x v="0"/>
    <n v="161"/>
    <s v="Train132"/>
    <x v="3"/>
    <s v="HIGH"/>
    <x v="2"/>
    <m/>
    <s v="Y"/>
    <x v="9"/>
    <s v="LIFT_RPRTNG_TM_ZN_YR_NBR"/>
    <m/>
    <s v="NULL"/>
    <s v="N"/>
    <s v="train.train_cnst_dtl_rail_eqpt.lift_rprtng_tm_zn_yr_nbr"/>
    <m/>
    <s v="N"/>
    <m/>
  </r>
  <r>
    <x v="0"/>
    <n v="162"/>
    <s v="Train012"/>
    <x v="1"/>
    <s v="HIGH"/>
    <x v="0"/>
    <m/>
    <s v="Y"/>
    <x v="9"/>
    <s v="CONSIST_NBR"/>
    <s v="Consist number"/>
    <n v="4994"/>
    <s v="Y"/>
    <s v="train.train_cnst_smry.source_system_train_cnst_nbr"/>
    <m/>
    <s v="N"/>
    <n v="1"/>
  </r>
  <r>
    <x v="0"/>
    <n v="163"/>
    <s v="Train053"/>
    <x v="1"/>
    <s v="LOW"/>
    <x v="0"/>
    <m/>
    <s v="Y"/>
    <x v="11"/>
    <s v="RUN_NBR"/>
    <m/>
    <s v="NULL (not used)"/>
    <s v="N"/>
    <s v="No source found"/>
    <m/>
    <s v="NA"/>
    <m/>
  </r>
  <r>
    <x v="0"/>
    <n v="164"/>
    <s v="Train072"/>
    <x v="3"/>
    <s v="HIGH"/>
    <x v="0"/>
    <m/>
    <s v="Y"/>
    <x v="9"/>
    <s v="TRAIN_CNST_SMRY_ID"/>
    <m/>
    <s v="15469189991"/>
    <s v="Y"/>
    <s v="train.train_cnst_dtl_rail_eqpt.train_cnst_smry_id"/>
    <m/>
    <s v="N"/>
    <m/>
  </r>
  <r>
    <x v="0"/>
    <n v="165"/>
    <s v="Train073"/>
    <x v="3"/>
    <s v="HIGH"/>
    <x v="0"/>
    <m/>
    <s v="Y"/>
    <x v="9"/>
    <s v="TRAIN_CNST_SMRY_VRSN_NBR"/>
    <m/>
    <s v="2"/>
    <s v="Y"/>
    <s v="train.train_cnst_dtl_rail_eqpt.train_cnst_smry_vrsn_nbr"/>
    <m/>
    <s v="N"/>
    <m/>
  </r>
  <r>
    <x v="0"/>
    <n v="166"/>
    <s v="Train106"/>
    <x v="3"/>
    <s v="MEDIUM"/>
    <x v="0"/>
    <m/>
    <s v="Y"/>
    <x v="2"/>
    <s v="RFEQP_ASGN_NBR"/>
    <m/>
    <s v="NULL (DECISION PENDING IF THIS IS NEEDED)"/>
    <s v="Y or N _x000a_only  603 records out of 15M records had this as not null"/>
    <s v="train.train_cnst_dtl_rail_eqpt.rfeqp_asgn_nbr"/>
    <m/>
    <s v="N"/>
    <m/>
  </r>
  <r>
    <x v="0"/>
    <n v="167"/>
    <s v="Train107"/>
    <x v="3"/>
    <s v="MEDIUM"/>
    <x v="0"/>
    <m/>
    <s v="Y"/>
    <x v="2"/>
    <s v="RFEQP_DATA_BASE_CN"/>
    <m/>
    <s v="NULL (DECISION PENDING IF THIS IS NEEDED)"/>
    <s v="Y or N _x000a_only  603 records out of 15M records had this as not null"/>
    <s v="train.train_cnst_dtl_rail_eqpt.rfeqp_data_base_cn"/>
    <m/>
    <s v="N"/>
    <m/>
  </r>
  <r>
    <x v="0"/>
    <n v="168"/>
    <s v="Train108"/>
    <x v="3"/>
    <s v="MEDIUM"/>
    <x v="0"/>
    <m/>
    <s v="Y"/>
    <x v="9"/>
    <s v="SHPMT_NBR"/>
    <m/>
    <s v="NULL"/>
    <s v="Y"/>
    <s v="train.train_cnst_dtl_rail_eqpt.shpmt_nbr"/>
    <m/>
    <s v="N"/>
    <m/>
  </r>
  <r>
    <x v="0"/>
    <n v="169"/>
    <s v="Train109"/>
    <x v="3"/>
    <s v="MEDIUM"/>
    <x v="0"/>
    <m/>
    <s v="Y"/>
    <x v="9"/>
    <s v="SHPMT_DATA_BASE_CN"/>
    <m/>
    <s v="NULL"/>
    <s v="Y"/>
    <s v="train.train_cnst_dtl_rail_eqpt.shpmt_data_base_cn"/>
    <m/>
    <s v="N"/>
    <m/>
  </r>
  <r>
    <x v="0"/>
    <n v="170"/>
    <s v="Train137"/>
    <x v="3"/>
    <s v="LOW"/>
    <x v="0"/>
    <m/>
    <s v="Y"/>
    <x v="2"/>
    <s v="INTRCH_MVMNT_ATHRTY_CD"/>
    <m/>
    <s v="NULL"/>
    <s v="Y"/>
    <s v="train.train_cnst_dtl_rail_eqpt.intrch_mvmnt_athrty_cd"/>
    <m/>
    <s v="N"/>
    <m/>
  </r>
  <r>
    <x v="0"/>
    <n v="171"/>
    <s v="Train135"/>
    <x v="3"/>
    <s v="MEDIUM"/>
    <x v="0"/>
    <m/>
    <s v="Y"/>
    <x v="0"/>
    <s v="CNST_CHNG_RPRTNG_TM_ZN_CD"/>
    <m/>
    <s v="CT"/>
    <s v="Y"/>
    <s v="train.train_cnst_dtl_rail_eqpt.cnst_chng_rprtng_tm_zn_cd"/>
    <m/>
    <s v="N"/>
    <m/>
  </r>
  <r>
    <x v="0"/>
    <n v="172"/>
    <s v="Train136"/>
    <x v="3"/>
    <s v="LOW"/>
    <x v="0"/>
    <m/>
    <s v="Y"/>
    <x v="0"/>
    <s v="CNST_CHNG_RPRTNG_TM_ZN_YR_NBR"/>
    <m/>
    <s v="2025"/>
    <s v="Y"/>
    <s v="train.train_cnst_dtl_rail_eqpt.cnst_chng_rprtng_tm_zn_yr_nbr"/>
    <m/>
    <s v="N"/>
    <m/>
  </r>
  <r>
    <x v="0"/>
    <n v="173"/>
    <s v="Train095"/>
    <x v="3"/>
    <s v="MEDIUM"/>
    <x v="1"/>
    <s v="Validity: if (LOAD_EMPTY_IND = 'L', NOT NULL)"/>
    <s v="Y"/>
    <x v="0"/>
    <s v="WYBL_TMS"/>
    <m/>
    <n v="45870.797222222202"/>
    <s v="Y"/>
    <s v="train.train_cnst_dtl_rail_eqpt.wybl_tms"/>
    <m/>
    <s v="N"/>
    <m/>
  </r>
  <r>
    <x v="0"/>
    <n v="174"/>
    <s v="Train125"/>
    <x v="3"/>
    <s v="HIGH"/>
    <x v="2"/>
    <s v="if set out or lift occured for the cars, not NULL"/>
    <s v="Y"/>
    <x v="0"/>
    <s v="CNST_CHNG_EVENT_TMS"/>
    <m/>
    <s v="45870.7604166667"/>
    <s v="Y"/>
    <s v="train.train_cnst_dtl_rail_eqpt.cnst_chng_event_tms"/>
    <m/>
    <s v="N"/>
    <m/>
  </r>
  <r>
    <x v="0"/>
    <n v="175"/>
    <s v="Train133"/>
    <x v="3"/>
    <s v="LOW"/>
    <x v="0"/>
    <m/>
    <s v="Y"/>
    <x v="0"/>
    <s v="SET_RPRTNG_TM_ZN_CD"/>
    <m/>
    <s v="NULL"/>
    <s v="N"/>
    <s v="train.train_cnst_dtl_rail_eqpt.set_rprtng_tm_zn_cd"/>
    <m/>
    <s v="N"/>
    <m/>
  </r>
  <r>
    <x v="0"/>
    <n v="176"/>
    <s v="Train134"/>
    <x v="3"/>
    <s v="LOW"/>
    <x v="0"/>
    <m/>
    <s v="Y"/>
    <x v="0"/>
    <s v="SET_RPRTNG_TM_ZN_YR_NBR"/>
    <m/>
    <s v="NULL"/>
    <s v="N"/>
    <s v="train.train_cnst_dtl_rail_eqpt.set_rprtng_tm_zn_yr_nbr"/>
    <m/>
    <s v="N"/>
    <m/>
  </r>
  <r>
    <x v="0"/>
    <n v="177"/>
    <s v="Train148"/>
    <x v="0"/>
    <s v="HIGH"/>
    <x v="1"/>
    <s v="NULL or Greater than Today 0001 local time"/>
    <s v="Y"/>
    <x v="2"/>
    <s v="Train ETA"/>
    <s v="Estimated time of arrival for train"/>
    <s v="Logic TBC"/>
    <s v="N/A"/>
    <m/>
    <m/>
    <m/>
    <s v="N/A"/>
  </r>
  <r>
    <x v="0"/>
    <n v="178"/>
    <s v="Train022"/>
    <x v="1"/>
    <s v="HIGH"/>
    <x v="1"/>
    <s v="Average HRSPWR per locomotive should be between 500 and 6500_x000a_1. For Live loco, HRSPWR is between 500 and 6500_x000a_2. For non Live loco, do not validate"/>
    <s v="Y"/>
    <x v="12"/>
    <s v="SUM_HRSPWR_QTY"/>
    <s v="Sum of horsepower quantity"/>
    <n v="8700"/>
    <s v="Y"/>
    <s v="lcmtv.lcmtv_emis.hrspwr_qty"/>
    <m/>
    <s v="Y"/>
    <m/>
  </r>
  <r>
    <x v="0"/>
    <n v="179"/>
    <s v="Train049"/>
    <x v="1"/>
    <s v="LOW"/>
    <x v="0"/>
    <m/>
    <s v="Y"/>
    <x v="2"/>
    <s v="NS_TRAIN_TYPE"/>
    <s v="NS train type code"/>
    <n v="8"/>
    <s v="Y"/>
    <s v="Derived from Train_Series"/>
    <m/>
    <s v="Y"/>
    <m/>
  </r>
  <r>
    <x v="0"/>
    <n v="180"/>
    <s v="Train060"/>
    <x v="2"/>
    <s v="MEDIUM"/>
    <x v="0"/>
    <m/>
    <s v="Y"/>
    <x v="2"/>
    <s v="Previous Train Series"/>
    <s v="Previous train series"/>
    <s v="100"/>
    <s v="TBA"/>
    <s v="Need to find the source to map these and identify whether these are active or not"/>
    <m/>
    <m/>
    <s v="?"/>
  </r>
  <r>
    <x v="0"/>
    <n v="181"/>
    <s v="Train061"/>
    <x v="2"/>
    <s v="MEDIUM"/>
    <x v="0"/>
    <m/>
    <s v="Y"/>
    <x v="2"/>
    <s v="Previous Train Symbol"/>
    <s v="Previous train symbol"/>
    <s v="181"/>
    <s v="TBA"/>
    <m/>
    <m/>
    <m/>
    <s v="?"/>
  </r>
  <r>
    <x v="0"/>
    <n v="182"/>
    <s v="Train062"/>
    <x v="2"/>
    <s v="MEDIUM"/>
    <x v="0"/>
    <m/>
    <s v="Y"/>
    <x v="2"/>
    <s v="Previous Train Type"/>
    <s v="Previous train type"/>
    <s v="181"/>
    <s v="TBA"/>
    <m/>
    <m/>
    <m/>
    <s v="?"/>
  </r>
  <r>
    <x v="0"/>
    <n v="183"/>
    <s v="Train090"/>
    <x v="3"/>
    <s v="MEDIUM"/>
    <x v="2"/>
    <m/>
    <s v="Y"/>
    <x v="12"/>
    <s v="BAD_ORDER_CAR_GRADE_CD"/>
    <m/>
    <s v="NULL"/>
    <s v="Y"/>
    <s v="train.train_cnst_dtl_rail_eqpt.bad_order_car_grade_cd"/>
    <m/>
    <s v="N"/>
    <m/>
  </r>
  <r>
    <x v="0"/>
    <n v="184"/>
    <s v="Train091"/>
    <x v="3"/>
    <s v="MEDIUM"/>
    <x v="2"/>
    <m/>
    <s v="Y"/>
    <x v="12"/>
    <s v="BAD_ORDER_REASON_CD"/>
    <m/>
    <s v="NULL"/>
    <s v="Y"/>
    <s v="train.train_cnst_dtl_rail_eqpt.bad_order_reason_cd"/>
    <m/>
    <s v="N"/>
    <m/>
  </r>
  <r>
    <x v="0"/>
    <n v="185"/>
    <s v="Train113"/>
    <x v="3"/>
    <s v="MEDIUM"/>
    <x v="2"/>
    <m/>
    <s v="Y"/>
    <x v="12"/>
    <s v="LCMTV_MCHNCL_STATUS_CD"/>
    <m/>
    <s v="NULL"/>
    <s v="Y"/>
    <s v="train.train_cnst_dtl_rail_eqpt.lcmtv_mchncl_status_cd"/>
    <m/>
    <s v="N"/>
    <m/>
  </r>
  <r>
    <x v="0"/>
    <n v="186"/>
    <s v="Train114"/>
    <x v="3"/>
    <s v="MEDIUM"/>
    <x v="0"/>
    <m/>
    <s v="Y"/>
    <x v="2"/>
    <s v="BRNG_TYPE_CD"/>
    <m/>
    <s v="N"/>
    <s v="Y"/>
    <s v="train.train_cnst_dtl_rail_eqpt.brng_type_cd"/>
    <m/>
    <s v="N"/>
    <m/>
  </r>
  <r>
    <x v="0"/>
    <n v="187"/>
    <s v="Train138"/>
    <x v="3"/>
    <s v="MEDIUM"/>
    <x v="0"/>
    <m/>
    <s v="Y"/>
    <x v="2"/>
    <s v="OCS_UPDATE_CD"/>
    <m/>
    <s v="Y"/>
    <s v="Y"/>
    <s v="train.train_cnst_dtl_rail_eqpt.ocs_update_cd"/>
    <m/>
    <s v="N"/>
    <m/>
  </r>
  <r>
    <x v="0"/>
    <n v="188"/>
    <s v="Train147"/>
    <x v="0"/>
    <s v="HIGH"/>
    <x v="1"/>
    <s v="Y or N and not NULL"/>
    <s v="Y"/>
    <x v="2"/>
    <s v="Key Train Indicator"/>
    <s v="Indicator if train meets key criteria"/>
    <s v="Logic TBC"/>
    <s v="N/A"/>
    <s v="Need to know source to ascertain whether this is active or not"/>
    <m/>
    <m/>
    <s v="N/A"/>
  </r>
  <r>
    <x v="0"/>
    <n v="189"/>
    <s v="Train193"/>
    <x v="0"/>
    <s v="HIGH"/>
    <x v="1"/>
    <s v="Y or N and not NULL"/>
    <s v="Y"/>
    <x v="2"/>
    <s v="PASS_BUS_IND"/>
    <m/>
    <m/>
    <s v="N/A"/>
    <m/>
    <m/>
    <m/>
    <s v="N/A"/>
  </r>
  <r>
    <x v="0"/>
    <n v="191"/>
    <s v="Train203"/>
    <x v="0"/>
    <s v="HIGH"/>
    <x v="1"/>
    <s v="N/S/E/W only"/>
    <s v="Y"/>
    <x v="5"/>
    <s v="TRAVEL_DRCTN_CD"/>
    <s v="Travel direction code"/>
    <s v="N/W/E/S"/>
    <s v="ATM_EQPMV.EQPMV_HFEQP_MVMNT_EVENT"/>
    <s v="Container"/>
    <s v="Can be reduced to get it from a single source"/>
    <m/>
    <m/>
  </r>
  <r>
    <x v="0"/>
    <n v="192"/>
    <s v="Train204"/>
    <x v="0"/>
    <s v="HIGH"/>
    <x v="1"/>
    <s v="N/S/E/W only"/>
    <s v="Y"/>
    <x v="5"/>
    <s v="TRAVEL_DRCTN_CD"/>
    <s v="Travel direction code"/>
    <s v="N/W/E/S"/>
    <s v="ATM_EQPMV.EQPMV_RFEQP_MVMNT_EVENT"/>
    <s v="Railcar"/>
    <m/>
    <m/>
    <m/>
  </r>
  <r>
    <x v="0"/>
    <n v="193"/>
    <s v="Train205"/>
    <x v="0"/>
    <s v="HIGH"/>
    <x v="1"/>
    <s v="N/S/E/W only"/>
    <s v="Y"/>
    <x v="5"/>
    <s v="TRAVEL_DRCTN_CD"/>
    <s v="Travel direction code"/>
    <s v="N/W/E/S"/>
    <s v="ATM_EQPMV.EQPMV_RFEQP_MVMNT_EVENT_KCSM_INTERCHANGE"/>
    <s v="Interchange movement of railcar (specific trains only applicable)"/>
    <m/>
    <m/>
    <m/>
  </r>
  <r>
    <x v="0"/>
    <n v="194"/>
    <s v="Train206"/>
    <x v="0"/>
    <s v="HIGH"/>
    <x v="1"/>
    <s v="N/S/E/W only"/>
    <s v="Y"/>
    <x v="5"/>
    <s v="TRAVEL_DRCTN_CD"/>
    <s v="Travel direction code"/>
    <s v="N/W/E/S"/>
    <s v="ATM_LCMTV.LCMTV_MVMNT_EVENT"/>
    <s v="locmotive"/>
    <m/>
    <m/>
    <m/>
  </r>
  <r>
    <x v="0"/>
    <n v="195"/>
    <s v="Train207"/>
    <x v="0"/>
    <s v="HIGH"/>
    <x v="1"/>
    <s v="N/S/E/W only"/>
    <s v="Y"/>
    <x v="5"/>
    <s v="TRAVEL_DRCTN_CD"/>
    <s v="Travel direction code"/>
    <s v="N/W/E/S"/>
    <s v="ATM_TRAIN.OPTRN_EVENT"/>
    <s v="Train"/>
    <m/>
    <m/>
    <m/>
  </r>
  <r>
    <x v="1"/>
    <n v="1"/>
    <s v="Train142"/>
    <x v="0"/>
    <s v="LOW"/>
    <x v="0"/>
    <m/>
    <s v="Y"/>
    <x v="0"/>
    <s v="Train Year"/>
    <s v="Calendar year of the actual departure from origin for this train instance."/>
    <n v="2025"/>
    <s v="Y"/>
    <s v="eqpmv.eqpmv_rfeqp_mvmnt_event.report_tms"/>
    <m/>
    <s v="Y"/>
    <m/>
  </r>
  <r>
    <x v="1"/>
    <n v="2"/>
    <s v="Train143"/>
    <x v="0"/>
    <s v="LOW"/>
    <x v="0"/>
    <m/>
    <s v="Y"/>
    <x v="0"/>
    <s v="Train Quarter"/>
    <s v="Quarter that a train departed from its origin"/>
    <n v="1"/>
    <s v="Y"/>
    <s v="eqpmv.eqpmv_rfeqp_mvmnt_event.report_tms"/>
    <m/>
    <s v="Y"/>
    <m/>
  </r>
  <r>
    <x v="1"/>
    <n v="3"/>
    <s v="Train144"/>
    <x v="0"/>
    <s v="LOW"/>
    <x v="0"/>
    <m/>
    <s v="Y"/>
    <x v="0"/>
    <s v="Train Month"/>
    <s v="Month that a train departed from its origin"/>
    <n v="2"/>
    <s v="Y"/>
    <s v="eqpmv.eqpmv_rfeqp_mvmnt_event.report_tms"/>
    <m/>
    <s v="Y"/>
    <m/>
  </r>
  <r>
    <x v="1"/>
    <n v="4"/>
    <s v="Train145"/>
    <x v="0"/>
    <s v="LOW"/>
    <x v="0"/>
    <m/>
    <s v="Y"/>
    <x v="0"/>
    <s v="Train Day"/>
    <s v="Day that a train departed from its origin"/>
    <n v="25"/>
    <s v="Y"/>
    <s v="eqpmv.eqpmv_rfeqp_mvmnt_event.report_tms"/>
    <m/>
    <s v="Y"/>
    <m/>
  </r>
  <r>
    <x v="1"/>
    <n v="5"/>
    <s v="Train009"/>
    <x v="1"/>
    <s v="HIGH"/>
    <x v="1"/>
    <s v="Data Freshnesss: SADB_RECEIVING_DT = ARRIVE_TMS BY DATE"/>
    <s v="Y"/>
    <x v="0"/>
    <s v="SADB_RECEIVING_DT"/>
    <s v="Reporting time stamp for most recent events at the time train was reported"/>
    <d v="2025-08-02T00:00:00"/>
    <s v="Y"/>
    <s v="eqpmv.eqpmv_rfeqp_mvmnt_event_x000a_lcmtv.lcmtv_mvmnt_event"/>
    <m/>
    <s v="N"/>
    <m/>
  </r>
  <r>
    <x v="1"/>
    <n v="6"/>
    <s v="Train001"/>
    <x v="1"/>
    <s v="LOW"/>
    <x v="0"/>
    <m/>
    <s v="Y"/>
    <x v="1"/>
    <s v="SRC_SYS"/>
    <s v="Source systems such as KCS = MCS or CP = TYES"/>
    <s v="KCS"/>
    <s v="Y"/>
    <s v="Exact Source not identified yet"/>
    <m/>
    <s v="N"/>
    <m/>
  </r>
  <r>
    <x v="1"/>
    <n v="7"/>
    <s v="Train048"/>
    <x v="1"/>
    <s v="MEDIUM"/>
    <x v="0"/>
    <m/>
    <s v="Y"/>
    <x v="2"/>
    <s v="TRAIN_SERIES"/>
    <s v="Train series identifier"/>
    <n v="100"/>
    <s v="Y"/>
    <s v="Derived from Train_Name"/>
    <m/>
    <s v="Y"/>
    <m/>
  </r>
  <r>
    <x v="1"/>
    <n v="8"/>
    <s v="Train050"/>
    <x v="1"/>
    <s v="MEDIUM"/>
    <x v="0"/>
    <m/>
    <s v="Y"/>
    <x v="2"/>
    <s v="TRAIN_SYMBOL"/>
    <s v="Train symbol code"/>
    <n v="181"/>
    <s v="Y"/>
    <s v="Derived from Train_Name"/>
    <m/>
    <s v="Y"/>
    <m/>
  </r>
  <r>
    <x v="1"/>
    <n v="9"/>
    <s v="Train011"/>
    <x v="1"/>
    <s v="HIGH"/>
    <x v="0"/>
    <m/>
    <s v="Y"/>
    <x v="2"/>
    <s v="TRAIN_NAME"/>
    <s v="Train name"/>
    <s v="181-01"/>
    <s v="Y"/>
    <s v="train.train_cnst_smry.train_nm"/>
    <m/>
    <s v="N"/>
    <m/>
  </r>
  <r>
    <x v="1"/>
    <n v="10"/>
    <s v="Train051"/>
    <x v="1"/>
    <s v="MEDIUM"/>
    <x v="0"/>
    <m/>
    <s v="Y"/>
    <x v="2"/>
    <s v="TRAIN_TYPE_CD"/>
    <s v="Train type code"/>
    <s v="FRT"/>
    <s v="Y"/>
    <s v="atm_train.train_plan.train_type_cd_x000a_atm_train.optrn.train_type_cd"/>
    <m/>
    <s v="Y"/>
    <m/>
  </r>
  <r>
    <x v="1"/>
    <n v="11"/>
    <s v="Train052"/>
    <x v="1"/>
    <s v="MEDIUM"/>
    <x v="0"/>
    <m/>
    <s v="Y"/>
    <x v="2"/>
    <s v="TRAIN_KIND_CD"/>
    <s v="Train kind code"/>
    <s v="PRIM"/>
    <s v="Y"/>
    <s v="atm_train.train_plan.train_kind_cd_x000a_atm_train.optrn.train_kind_cd"/>
    <m/>
    <s v="Y"/>
    <m/>
  </r>
  <r>
    <x v="1"/>
    <n v="12"/>
    <s v="Train059"/>
    <x v="2"/>
    <s v="MEDIUM"/>
    <x v="0"/>
    <m/>
    <s v="Y"/>
    <x v="2"/>
    <s v="TYPE"/>
    <s v="Train operational type"/>
    <s v="OP"/>
    <s v="Y"/>
    <s v="train.train_cnst_smry.train_nm"/>
    <s v="Can be a calculated field in Snowflake "/>
    <s v="Y"/>
    <m/>
  </r>
  <r>
    <x v="1"/>
    <n v="13"/>
    <s v="Train013"/>
    <x v="1"/>
    <s v="HIGH"/>
    <x v="1"/>
    <s v="ARRIVE_FSAC &lt;&gt; DEPART_FSAC"/>
    <s v="Y"/>
    <x v="3"/>
    <s v="DEPART_FSAC"/>
    <s v="Departure FSAC code"/>
    <n v="5770"/>
    <s v="Y"/>
    <s v="trkfc.trkfc_trstn.fsac_cd"/>
    <m/>
    <s v="N"/>
    <s v="All FSAC's within train routes must be reported"/>
  </r>
  <r>
    <x v="1"/>
    <n v="14"/>
    <s v="Train014"/>
    <x v="1"/>
    <s v="HIGH"/>
    <x v="1"/>
    <s v="ARRIVE_FSAC &lt;&gt; DEPART_FSAC"/>
    <s v="Y"/>
    <x v="3"/>
    <s v="ARRIVE_FSAC"/>
    <s v="Arrival FSAC code"/>
    <n v="5772"/>
    <s v="Y"/>
    <s v="trkfc.trkfc_trstn.fsac_cd"/>
    <m/>
    <s v="N"/>
    <s v="All FSAC's within train routes must be reported"/>
  </r>
  <r>
    <x v="1"/>
    <n v="15"/>
    <s v="Train007"/>
    <x v="1"/>
    <s v="HIGH"/>
    <x v="1"/>
    <s v="Continuity: ARRIVE_TMS &gt; DEPART TMS by Titan&amp;Train_Leg_ID_x000a_Row 1's ARRIVE_TMS &lt;= Row 2's DEPART_TMS by sorted by Titan&amp;Train_Leg_ID and order by Arrive_TMS ASC"/>
    <s v="Y"/>
    <x v="0"/>
    <s v="ARRIVE_TMS"/>
    <s v="Arrival timestamp"/>
    <d v="2025-08-01T23:43:00"/>
    <s v="Y"/>
    <s v="eqpmv.eqpmv_rfeqp_mvmnt_event.report_tms"/>
    <m/>
    <s v="N"/>
    <m/>
  </r>
  <r>
    <x v="1"/>
    <n v="16"/>
    <s v="Train008"/>
    <x v="1"/>
    <s v="HIGH"/>
    <x v="1"/>
    <s v="Continuity: ARRIVE_TMS &gt; DEPART TMS by Titan&amp;Train_Leg_ID_x000a_Row 1's ARRIVE_TMS &lt;= Row 2's DEPART_TMS by sorted by Titan&amp;Train_Leg_ID and order by Arrive_TMS ASC"/>
    <s v="Y"/>
    <x v="0"/>
    <s v="DEPART_TMS"/>
    <s v="Departure timestamp"/>
    <d v="2025-08-01T21:37:00"/>
    <s v="Y"/>
    <s v="eqpmv.eqpmv_rfeqp_mvmnt_event.report_tms"/>
    <m/>
    <s v="Y"/>
    <m/>
  </r>
  <r>
    <x v="1"/>
    <n v="17"/>
    <s v="Train010"/>
    <x v="1"/>
    <s v="HIGH"/>
    <x v="2"/>
    <s v="covered by ETL process level?"/>
    <s v="Y"/>
    <x v="2"/>
    <s v="TITAN_NBR"/>
    <s v="Titan number for train"/>
    <n v="942442"/>
    <s v="Y"/>
    <s v="train.train_plan_leg.mtp_titan_nbr_x000a_train.optrn_leg.mtp_titan_nbr"/>
    <m/>
    <s v="N"/>
    <m/>
  </r>
  <r>
    <x v="1"/>
    <n v="18"/>
    <s v="Train021"/>
    <x v="1"/>
    <s v="HIGH"/>
    <x v="1"/>
    <s v="1. Train Speed for segment is between 0 and 80mph (regulation) by each segment_x000a_2. if EQPMT_MILES &gt;0, TRAIN_MILES&gt;0_x000a_3. if GTM=0, TRAIN_MILES=0_x000a_4. TRAIN_MILES &lt;= LIVE_LOCO_MILES (because there will be at least 1 live loco to move a train)"/>
    <s v="Y"/>
    <x v="4"/>
    <s v="TRAIN_MILES"/>
    <s v="Total train miles"/>
    <n v="7.9859999999999998"/>
    <s v="Y"/>
    <s v="ctnapp.ctng_line_dn.gmtry"/>
    <m/>
    <s v="Y"/>
    <s v="does not make sense at car level "/>
  </r>
  <r>
    <x v="1"/>
    <n v="19"/>
    <s v="Train026"/>
    <x v="1"/>
    <s v="HIGH"/>
    <x v="1"/>
    <s v="if Load_Empty_IND = 'Y' and EQPTMT_MILES &gt;0, then CONTENT_TON_MILES&gt;0"/>
    <s v="Y"/>
    <x v="4"/>
    <s v="CONTENT_TON_MILES"/>
    <s v="Content ton miles"/>
    <n v="16043.874"/>
    <s v="Y"/>
    <s v="train.train_cnst_dtl_rail_eqpt.net_weight_tons_qty"/>
    <m/>
    <n v="0"/>
    <m/>
  </r>
  <r>
    <x v="1"/>
    <n v="20"/>
    <s v="Train025"/>
    <x v="1"/>
    <s v="HIGH"/>
    <x v="1"/>
    <s v="LOCO_FULL_WEIGHT/TOTAL_UNITS is between 100 and 250 tons"/>
    <s v="Y"/>
    <x v="6"/>
    <s v="LOCO_FULL_WEIGHT"/>
    <s v="Locomotive full weight"/>
    <n v="424"/>
    <s v="Y"/>
    <s v="lcmtv.lcmtv_emis.full_weight_qty"/>
    <m/>
    <s v="Y"/>
    <m/>
  </r>
  <r>
    <x v="1"/>
    <n v="20"/>
    <s v="Train027"/>
    <x v="1"/>
    <s v="HIGH"/>
    <x v="1"/>
    <s v="1. if asset_type = 'Locomotive&quot;, TARE_TONS = LOCO_FULL_WEIGHT_x000a_2. if asset_type = 'Railcar&quot;, TARE_TONS / Count of Empty Railcars is between 15 and 100 tons (flatcar to heavy equipment)"/>
    <s v="Y"/>
    <x v="6"/>
    <s v="TARE_TONS"/>
    <s v="Total tare tons"/>
    <n v="1598.45"/>
    <s v="Y"/>
    <s v="lcmtv.lcmtv_emis.full_weight_qty_x000a_train.train_cnst_dtl_rail_eqpt.tare_weight_tons_qty"/>
    <m/>
    <s v="Y"/>
    <m/>
  </r>
  <r>
    <x v="1"/>
    <n v="21"/>
    <s v="Train015"/>
    <x v="1"/>
    <s v="HIGH"/>
    <x v="1"/>
    <s v="Resonableness in speed: TRAIN_MILES / TRAIN HOURS is between 0 and 80 (mph)"/>
    <s v="Y"/>
    <x v="0"/>
    <s v="TRAIN_HRS"/>
    <s v="Train hours"/>
    <n v="2"/>
    <s v="Y"/>
    <s v="ctnapp.ctng_line_dn.gmtry _x000a_mvmnt_type hard coded as 'lcmtv' or 'eqpmv'_x000a_train.train_cnst_dtl_rail_eqpt.lead_lcmtv_ind_x000a_train.train_cnst_dtl_rail_eqpt.lcmtv_cnst_status_cd"/>
    <m/>
    <s v="Y"/>
    <m/>
  </r>
  <r>
    <x v="1"/>
    <n v="22"/>
    <s v="Train016"/>
    <x v="1"/>
    <s v="HIGH"/>
    <x v="1"/>
    <s v="Resonableness in speed: TRAIN_MILES / TRAIN HOURS is between 0 and 80 (mph)"/>
    <s v="Y"/>
    <x v="0"/>
    <s v="TRAIN_MINS"/>
    <s v="Train minutes"/>
    <n v="6.02"/>
    <s v="Y"/>
    <s v="Derived from ARRIVAL_TMS, DEPARTURE_TMS, TOT_MILES, TRAIN_MILES"/>
    <m/>
    <s v="Y"/>
    <m/>
  </r>
  <r>
    <x v="1"/>
    <n v="23"/>
    <s v="Train020"/>
    <x v="1"/>
    <s v="HIGH"/>
    <x v="1"/>
    <s v="if TRAIN_MILES&gt;0, then EQPMT_MILES &gt;0"/>
    <s v="Y"/>
    <x v="4"/>
    <s v="EQPMT_MILES"/>
    <s v="Equipment miles"/>
    <n v="167.70599999999999"/>
    <s v="Y"/>
    <s v="ctnapp.ctng_line_dn.gmtry"/>
    <m/>
    <s v="Y"/>
    <m/>
  </r>
  <r>
    <x v="1"/>
    <n v="24"/>
    <s v="Train028"/>
    <x v="1"/>
    <s v="HIGH"/>
    <x v="1"/>
    <s v="(TARE_TONS X  EQPMT_MILES (for Railcars)) + (TARE_TONS X  LIVE_LOCO_MILES (for loco))"/>
    <s v="Y"/>
    <x v="7"/>
    <s v="TARE_TON_MILES"/>
    <s v="Tare ton miles"/>
    <n v="9379.1579999999994"/>
    <s v="Y"/>
    <s v="lcmtv.lcmtv_emis.full_weight_qty_x000a_train.train_cnst_dtl_rail_eqpt.tare_weight_tons_qty_x000a_ctnapp.ctng_line_dn.gmtry "/>
    <m/>
    <s v="Y"/>
    <m/>
  </r>
  <r>
    <x v="1"/>
    <n v="25"/>
    <s v="Train029"/>
    <x v="1"/>
    <s v="HIGH"/>
    <x v="1"/>
    <s v="Use multiple ways to apply regression testing_x000a_1. Sum(Contents Tons + Tare Tons) X Train Miles should be within 95% proximity to GROSS_TON_MILES (CONTENTS_TON_MILES + TARE_TON_MILES + DH_TARE_TON_MILES + LOCO_TARE_TON_MILES)_x000a_2. Historical consistency: check last 28 days' GTM/CONTENT_TON_MILE ratio by Suddivision vs. last 7 days (check variance over 20% (Absolute value based)_x000a_3. Historical trend: check subdivision level GTM average for the last 8 weeks' same Day of Week in comparison to yesterday's GTM excluding stat holidays (e.g. Xmas, Cinco De Mayo)_x000a_4. Train level estimates: TRAIN_NM based _x000a_5. TRAIN_MILES &gt; 0, LIVE_LOC_MILES &gt;0, and EQPMT_MILES &gt;0"/>
    <s v="Y"/>
    <x v="7"/>
    <s v="GROSS_TON_MILES"/>
    <s v="Gross ton miles"/>
    <n v="25423.031999999999"/>
    <s v="Y"/>
    <s v="Derived from TARE_TON_MILES, DH_TARE_TON_MILES, CONTENT_TON_MILES"/>
    <m/>
    <s v="Y"/>
    <m/>
  </r>
  <r>
    <x v="1"/>
    <n v="26"/>
    <s v="Train023"/>
    <x v="1"/>
    <s v="MEDIUM"/>
    <x v="0"/>
    <m/>
    <s v="Y"/>
    <x v="4"/>
    <s v="DH_TARE_TON_MILES"/>
    <s v="Deadhead tare ton miles"/>
    <n v="0"/>
    <s v="Y"/>
    <s v="lcmtv.lcmtv_emis.full_weight_qty_x000a_train.train_cnst_dtl_rail_eqpt.tare_weight_tons_qty_x000a_ctnapp.ctng_line_dn.gmtry "/>
    <m/>
    <s v="Y"/>
    <s v="Applicable for locos only"/>
  </r>
  <r>
    <x v="1"/>
    <n v="27"/>
    <s v="Train024"/>
    <x v="1"/>
    <s v="HIGH"/>
    <x v="1"/>
    <s v="if TRAIN_MILES&gt;0, LOCO_TARE_TON_MILES&gt;0"/>
    <s v="Y"/>
    <x v="4"/>
    <s v="LOCO_TARE_TON_MILES"/>
    <s v="Locomotive tare ton miles"/>
    <n v="3386.0639999999999"/>
    <s v="Y"/>
    <s v="lcmtv.lcmtv_emis.full_weight_qty_x000a_train.train_cnst_dtl_rail_eqpt.tare_weight_tons_qty_x000a_ctnapp.ctng_line_dn.gmtry "/>
    <m/>
    <s v="Y"/>
    <m/>
  </r>
  <r>
    <x v="1"/>
    <n v="28"/>
    <s v="Train032"/>
    <x v="1"/>
    <s v="HIGH"/>
    <x v="1"/>
    <s v="if LOAD_EMPTY_IND = 'L' and EQPTMT_MILES &gt;0, REV_CAR_MILES_LOADED &gt;0"/>
    <s v="Y"/>
    <x v="4"/>
    <s v="REV_CAR_MILES_LOADED"/>
    <s v="Revenue car miles loaded"/>
    <n v="167.70599999999999"/>
    <s v="Y"/>
    <s v="eqpmt.eqpmnt_aar_base.aar_car_cd_x000a_train.train_cnst_dtl_rail_eqpt.net_weight_tons_qty_x000a_ctnapp.ctng_line_dn.gmtry "/>
    <m/>
    <s v="Y"/>
    <m/>
  </r>
  <r>
    <x v="1"/>
    <n v="29"/>
    <s v="Train033"/>
    <x v="1"/>
    <s v="HIGH"/>
    <x v="1"/>
    <s v="if LOAD_EMPTY_IND = 'E' and Revenue ($) &gt;0 and EQPTMT_MILES &gt;0, REV_CAR_MILES_EMPTY &gt;0"/>
    <s v="Y"/>
    <x v="4"/>
    <s v="REV_CAR_MILES_EMPTY"/>
    <s v="Revenue car miles empty"/>
    <n v="0"/>
    <s v="Y"/>
    <s v="eqpmt.eqpmnt_aar_base.aar_car_cd_x000a_train.train_cnst_dtl_rail_eqpt.net_weight_tons_qty_x000a_ctnapp.ctng_line_dn.gmtry "/>
    <m/>
    <s v="Y"/>
    <m/>
  </r>
  <r>
    <x v="1"/>
    <n v="30"/>
    <s v="Train034"/>
    <x v="1"/>
    <s v="HIGH"/>
    <x v="0"/>
    <m/>
    <s v="Y"/>
    <x v="8"/>
    <s v="LIVE_LOCO_MILES"/>
    <s v="Live locomotive miles"/>
    <n v="15.972"/>
    <s v="Y"/>
    <s v="ctnapp.ctng_line_dn.gmtry _x000a_dm_dim.gis_orgn_dstntn_mlg_by_stprv.miles"/>
    <m/>
    <s v="Y"/>
    <s v="Applicable for locos only"/>
  </r>
  <r>
    <x v="1"/>
    <n v="31"/>
    <s v="Train035"/>
    <x v="1"/>
    <s v="HIGH"/>
    <x v="0"/>
    <m/>
    <s v="Y"/>
    <x v="4"/>
    <s v="DH_LOCO_MILES"/>
    <s v="Deadhead locomotive miles"/>
    <n v="0"/>
    <s v="Y"/>
    <s v="ctnapp.ctng_line_dn.gmtry _x000a_dm_dim.gis_orgn_dstntn_mlg_by_stprv.miles"/>
    <m/>
    <s v="Y"/>
    <s v="Applicable for locos only"/>
  </r>
  <r>
    <x v="1"/>
    <n v="32"/>
    <s v="Train036"/>
    <x v="1"/>
    <s v="LOW"/>
    <x v="1"/>
    <s v="if PASS_BUS_IND = 'Y' and EQPMT_MILES &gt; 0, then PASS_BUS_MILES &gt; 0"/>
    <s v="Y"/>
    <x v="4"/>
    <s v="PASS_BUS_MILES"/>
    <s v="Passenger business miles"/>
    <n v="0"/>
    <s v="Y"/>
    <s v="ctnapp.ctng_line_dn.gmtry _x000a_dm_dim.gis_orgn_dstntn_mlg_by_stprv.miles"/>
    <m/>
    <s v="Y"/>
    <m/>
  </r>
  <r>
    <x v="1"/>
    <n v="33"/>
    <s v="Train037"/>
    <x v="1"/>
    <s v="LOW"/>
    <x v="1"/>
    <s v="if WORK_CAR_IND = 'Y and EQPMT_MILES &gt;0, then WORK_CAR_MILES &gt;0"/>
    <s v="Y"/>
    <x v="4"/>
    <s v="WORK_CAR_MILES"/>
    <s v="Work car miles"/>
    <n v="0"/>
    <s v="Y"/>
    <s v="eqpmt.eqpmnt_aar_base.aar_car_cd_x000a_ctnapp.ctng_line_dn.gmtry _x000a_trkfc.trkfcg_sbdvsn.sbdvsn_id_x000a_trkfc.trkfcg_fxpla_track_lctn_dn.rfrnc_low_miles_qty_x000a_dm_dim.gis_orgn_dstntn_mlg_by_stprv.miles_x000a_dm_dim.dim_subdvsn_zone.high_track_mile_x000a_dm_dim.dim_subdvsn_zone.low_track_mile"/>
    <m/>
    <s v="Y"/>
    <m/>
  </r>
  <r>
    <x v="1"/>
    <n v="34"/>
    <s v="Train038"/>
    <x v="1"/>
    <s v="LOW"/>
    <x v="0"/>
    <m/>
    <s v="X"/>
    <x v="4"/>
    <s v="CABOOSE_MILES"/>
    <s v="Caboose miles"/>
    <n v="0"/>
    <s v="Y"/>
    <s v="eqpmt.eqpmnt_aar_base.aar_car_cd_x000a_ctnapp.ctng_line_dn.gmtry_x000a_dm_dim.gis_orgn_dstntn_mlg_by_stprv.miles"/>
    <m/>
    <s v="Y"/>
    <m/>
  </r>
  <r>
    <x v="1"/>
    <n v="35"/>
    <s v="Train039"/>
    <x v="1"/>
    <s v="MEDIUM"/>
    <x v="0"/>
    <m/>
    <s v="Y"/>
    <x v="8"/>
    <s v="LIVE_LOCO_HP_MILES"/>
    <s v="Live locomotive horsepower miles"/>
    <n v="69478.2"/>
    <s v="Y"/>
    <s v="lcmtv.lcmtv_emis.hrspwr_qty_x000a_ctnapp.ctng_line_dn.gmtry_x000a_dm_dim.gis_orgn_dstntn_mlg_by_stprv.miles"/>
    <m/>
    <s v="Y"/>
    <m/>
  </r>
  <r>
    <x v="1"/>
    <n v="36"/>
    <s v="Train040"/>
    <x v="1"/>
    <s v="MEDIUM"/>
    <x v="1"/>
    <s v="if TRAIN_MILES&gt;0, LIVE_LOCO_HP_MILES &gt;0"/>
    <s v="Y"/>
    <x v="4"/>
    <s v="DH_LOCO_HP_MILES"/>
    <s v="Deadhead locomotive horsepower miles"/>
    <n v="0"/>
    <s v="Y"/>
    <s v="lcmtv.lcmtv_emis.hrspwr_qty_x000a_ctnapp.ctng_line_dn.gmtry_x000a_dm_dim.gis_orgn_dstntn_mlg_by_stprv.miles"/>
    <m/>
    <s v="Y"/>
    <m/>
  </r>
  <r>
    <x v="1"/>
    <n v="37"/>
    <s v="Train041"/>
    <x v="1"/>
    <s v="HIGH"/>
    <x v="0"/>
    <m/>
    <s v="Y"/>
    <x v="8"/>
    <s v="LIVE_LOCO_FOOT_MILES"/>
    <s v="Live locomotive foot miles"/>
    <n v="1224.52"/>
    <s v="Y"/>
    <s v="eqpmt.eqpmnt_aar_base.otsd_length_qty_x000a_ctnapp.ctng_line_dn.gmtry_x000a_dm_dim.gis_orgn_dstntn_mlg_by_stprv.miles"/>
    <m/>
    <s v="Y"/>
    <m/>
  </r>
  <r>
    <x v="1"/>
    <n v="38"/>
    <s v="Train042"/>
    <x v="1"/>
    <s v="HIGH"/>
    <x v="0"/>
    <m/>
    <s v="Y"/>
    <x v="4"/>
    <s v="DH_LOCO_FOOT_MILES"/>
    <s v="Deadhead locomotive foot miles"/>
    <n v="0"/>
    <s v="Y"/>
    <s v="eqpmt.eqpmnt_aar_base.otsd_length_qty_x000a_ctnapp.ctng_line_dn.gmtry_x000a_dm_dim.gis_orgn_dstntn_mlg_by_stprv.miles"/>
    <m/>
    <s v="Y"/>
    <m/>
  </r>
  <r>
    <x v="1"/>
    <n v="39"/>
    <s v="Train043"/>
    <x v="1"/>
    <s v="HIGH"/>
    <x v="2"/>
    <m/>
    <s v="Y"/>
    <x v="4"/>
    <s v="CAR_FOOT_MILES"/>
    <s v="Car foot miles"/>
    <n v="28790.861000000001"/>
    <s v="Y"/>
    <s v="eqpmt.eqpmnt_aar_base.otsd_length_qty"/>
    <m/>
    <s v="Y"/>
    <m/>
  </r>
  <r>
    <x v="1"/>
    <n v="40"/>
    <s v="Train044"/>
    <x v="1"/>
    <s v="HIGH"/>
    <x v="2"/>
    <m/>
    <s v="Y"/>
    <x v="4"/>
    <s v="TOTAL_TRAIN_FOOT_MILES"/>
    <s v="Total train foot miles"/>
    <n v="30015.381000000001"/>
    <s v="Y"/>
    <s v="eqpmt.eqpmnt_aar_base.otsd_length_qty"/>
    <m/>
    <s v="Y"/>
    <m/>
  </r>
  <r>
    <x v="1"/>
    <n v="41"/>
    <s v="Train146"/>
    <x v="0"/>
    <s v="LOW"/>
    <x v="1"/>
    <s v="Validity: 3 letter (MON/TUE/WED/THU/FRI/SAT/SUN)"/>
    <s v="Y"/>
    <x v="0"/>
    <s v="Train DoW"/>
    <s v="Day of the week that a train departed from its origin"/>
    <s v="Based on DFLC TMS at Origin(Mon)"/>
    <s v="Y"/>
    <s v="eqpmv.eqpmv_rfeqp_mvmnt_event.report_tms"/>
    <m/>
    <s v="Y"/>
    <m/>
  </r>
  <r>
    <x v="1"/>
    <n v="42"/>
    <s v="Train045"/>
    <x v="1"/>
    <s v="HIGH"/>
    <x v="1"/>
    <s v="Both DEPART_FSAC and ARRIVE_FSAC belongs to correct location group"/>
    <s v="Y"/>
    <x v="3"/>
    <s v="SUBDIVISION"/>
    <s v="Subdivision name"/>
    <s v="LAREDO"/>
    <s v="Y"/>
    <s v="dm_dim.gis_orgn_dstntn_mlg_by_stprv.sbdvsn_nm"/>
    <s v="MDM"/>
    <s v="N"/>
    <m/>
  </r>
  <r>
    <x v="1"/>
    <n v="43"/>
    <s v="Train058"/>
    <x v="2"/>
    <s v="HIGH"/>
    <x v="1"/>
    <s v="Both DEPART_FSAC and ARRIVE_FSAC belongs to correct location group"/>
    <s v="Y"/>
    <x v="3"/>
    <s v="District"/>
    <s v="District name"/>
    <s v="Southwest"/>
    <s v="Y"/>
    <s v="dm_dim.dim_subdvsn_zone"/>
    <s v="MDM"/>
    <s v="N"/>
    <m/>
  </r>
  <r>
    <x v="1"/>
    <n v="44"/>
    <s v="Train054"/>
    <x v="1"/>
    <s v="HIGH"/>
    <x v="1"/>
    <s v="Both DEPART_FSAC and ARRIVE_FSAC belongs to correct location group"/>
    <s v="Y"/>
    <x v="3"/>
    <s v="ZONE"/>
    <s v="Zone name"/>
    <s v="SOUTHWEST"/>
    <s v="Y"/>
    <s v="dm_dim.dim_subdvsn_zone.zone_x000a_dm_dim.dim_subdvsn .zone"/>
    <s v="MDM"/>
    <s v="Y"/>
    <m/>
  </r>
  <r>
    <x v="1"/>
    <n v="45"/>
    <s v="Train047"/>
    <x v="1"/>
    <s v="HIGH"/>
    <x v="1"/>
    <s v="Both DEPART_FSAC and ARRIVE_FSAC belongs to correct location group"/>
    <s v="Y"/>
    <x v="3"/>
    <s v="DIVISION"/>
    <s v="Division name"/>
    <s v="South West"/>
    <s v="Y"/>
    <s v="dm_dim.dim_subdvsn_zone.division_nm_x000a_dm_dim.dim_subdvsn .division_nm"/>
    <s v="MDM"/>
    <s v="Y"/>
    <m/>
  </r>
  <r>
    <x v="1"/>
    <n v="46"/>
    <s v="Train046"/>
    <x v="1"/>
    <s v="HIGH"/>
    <x v="1"/>
    <s v="Both DEPART_FSAC and ARRIVE_FSAC belongs to correct location group"/>
    <s v="Y"/>
    <x v="3"/>
    <s v="REGION"/>
    <s v="Region name"/>
    <s v="Mexico"/>
    <s v="Y"/>
    <s v="dm_dim.dim_subdvsn_zone.region_x000a_dm_dim.dim_subdvsn .region"/>
    <s v="MDM"/>
    <s v="Y"/>
    <m/>
  </r>
  <r>
    <x v="1"/>
    <n v="47"/>
    <s v="Train057"/>
    <x v="2"/>
    <s v="MEDIUM"/>
    <x v="1"/>
    <s v="Both DEPART_FSAC and ARRIVE_FSAC belongs to correct location group"/>
    <s v="Y"/>
    <x v="3"/>
    <s v="Country (where last reported)"/>
    <m/>
    <s v="US"/>
    <s v="Y"/>
    <s v="trkfc.trkfc_trstn.fsac_cd_x000a_dm_dim.dim_location"/>
    <m/>
    <s v="N"/>
    <m/>
  </r>
  <r>
    <x v="1"/>
    <n v="48"/>
    <s v="Train055"/>
    <x v="2"/>
    <s v="HIGH"/>
    <x v="1"/>
    <s v="Both DEPART_FSAC and ARRIVE_FSAC belongs to correct location group"/>
    <s v="Y"/>
    <x v="3"/>
    <s v="Company"/>
    <s v="Company name"/>
    <s v="KCSR (CP,KCSR,KCSM)"/>
    <s v="TBA"/>
    <s v="Need to find the source to map to"/>
    <m/>
    <m/>
    <s v="is company same as owner mark ? - will check column mapping"/>
  </r>
  <r>
    <x v="1"/>
    <n v="49"/>
    <s v="Train056"/>
    <x v="2"/>
    <s v="HIGH"/>
    <x v="1"/>
    <s v="Both DEPART_FSAC and ARRIVE_FSAC belongs to correct location group"/>
    <s v="Y"/>
    <x v="3"/>
    <s v="RAIL_LINE"/>
    <s v="Rail line name"/>
    <s v="KCSR (CP,KCSR,KCSM)"/>
    <s v="Y"/>
    <s v="dm_dim.dim_location"/>
    <m/>
    <s v="N"/>
    <m/>
  </r>
  <r>
    <x v="1"/>
    <n v="50"/>
    <s v="Train063"/>
    <x v="2"/>
    <s v="HIGH"/>
    <x v="1"/>
    <s v="1. Segment Validation: ARRIVE_FSAC &lt;&gt; DEPART_FSAC_x000a_2. Network Coverage: List of Unique FSAC's by Titan_Nbr&amp;Trn_Leg_ID should cover list of FSAC's from Linked Node Table (GIS teams) sequentially&quot; - all intermediate stations as per Linked Node Table should be covered by sequence of segments_x000a_3. ROW 1'S ARRIVE_FSAC = ROW 2'S DEPART_FSAC SORTED BY TITAN&amp;TRN_LEG_ID"/>
    <s v="Y"/>
    <x v="3"/>
    <s v="Depart Station"/>
    <s v="Departure station name"/>
    <s v="LAREDO BRIDGE"/>
    <s v="TBA"/>
    <n v="0"/>
    <m/>
    <m/>
    <m/>
  </r>
  <r>
    <x v="1"/>
    <n v="51"/>
    <s v="Train064"/>
    <x v="2"/>
    <s v="HIGH"/>
    <x v="1"/>
    <s v="1. Segment Validation: ARRIVE_FSAC &lt;&gt; DEPART_FSAC_x000a_2. Network Coverage: List of Unique FSAC's by Titan_Nbr&amp;Trn_Leg_ID should cover list of FSAC's from Linked Node Table (GIS teams) sequentially&quot; - all intermediate stations as per Linked Node Table should be covered by sequence of segments_x000a_3. ROW 1'S ARRIVE_FSAC = ROW 2'S DEPART_FSAC SORTED BY TITAN&amp;TRN_LEG_ID"/>
    <s v="Y"/>
    <x v="3"/>
    <s v="Arrival Station"/>
    <s v="Arrival station name"/>
    <s v="LAREDO YARD"/>
    <s v="TBA"/>
    <n v="0"/>
    <m/>
    <m/>
    <m/>
  </r>
  <r>
    <x v="1"/>
    <n v="52"/>
    <s v="Train151"/>
    <x v="0"/>
    <s v="MEDIUM"/>
    <x v="1"/>
    <s v="DEPART_FSAC belongs to correct location dimension"/>
    <s v="Y"/>
    <x v="3"/>
    <s v="DEPART_RAIL_LINE"/>
    <s v="Rail line name of the station where train segment started"/>
    <s v="KCSR"/>
    <s v="Y"/>
    <s v="Need to know source to ascertain whether this is active or not"/>
    <m/>
    <m/>
    <m/>
  </r>
  <r>
    <x v="1"/>
    <n v="53"/>
    <s v="Train152"/>
    <x v="0"/>
    <s v="MEDIUM"/>
    <x v="1"/>
    <s v="ARRIVE_FSAC belongs to correct location dimension"/>
    <s v="Y"/>
    <x v="3"/>
    <s v="ARRIVE_RAIL_LINE"/>
    <s v="Rail line name of the station where train segment ended"/>
    <s v="KCSR"/>
    <s v="Y"/>
    <m/>
    <m/>
    <m/>
    <m/>
  </r>
  <r>
    <x v="1"/>
    <n v="54"/>
    <s v="Train153"/>
    <x v="0"/>
    <s v="MEDIUM"/>
    <x v="1"/>
    <s v="DEPART_FSAC belongs to correct location dimension"/>
    <s v="Y"/>
    <x v="3"/>
    <s v="DEPART_SUBDIVISION"/>
    <s v="Subdivision name of the station where train segment started"/>
    <s v="Based on FSAC"/>
    <s v="Y"/>
    <s v="CTN Tables &amp; MDW Tables.. _x000a__x000a_TRKFC.TRSTN_TRSTN_x000a_TRKFC.TRKFC_STN_HRCHY.. To be explored further.._x000a_MDQ Tables --_x000a_DM_DIM.DIM_SUBDVSN_ZONE"/>
    <m/>
    <m/>
    <m/>
  </r>
  <r>
    <x v="1"/>
    <n v="55"/>
    <s v="Train154"/>
    <x v="0"/>
    <s v="MEDIUM"/>
    <x v="1"/>
    <s v="ARRIVE_FSAC belongs to correct location dimension"/>
    <s v="Y"/>
    <x v="3"/>
    <s v="ARRIVE_SUBDIVISOIN"/>
    <s v="Subdivision name of the station where train segment ended"/>
    <s v="Based on FSAC"/>
    <s v="Y"/>
    <m/>
    <m/>
    <m/>
    <m/>
  </r>
  <r>
    <x v="1"/>
    <n v="56"/>
    <s v="Train155"/>
    <x v="0"/>
    <s v="MEDIUM"/>
    <x v="0"/>
    <m/>
    <s v="Y"/>
    <x v="3"/>
    <s v="DEPART_DISTRICT"/>
    <s v="District name of the station where train segment started"/>
    <s v="Based on FSAC"/>
    <s v="Y"/>
    <m/>
    <m/>
    <m/>
    <m/>
  </r>
  <r>
    <x v="1"/>
    <n v="57"/>
    <s v="Train156"/>
    <x v="0"/>
    <s v="MEDIUM"/>
    <x v="0"/>
    <m/>
    <s v="Y"/>
    <x v="3"/>
    <s v="ARRIVE_DISTRICT"/>
    <s v="District name of the station where train segment ended"/>
    <s v="Based on FSAC"/>
    <s v="Y"/>
    <m/>
    <m/>
    <m/>
    <m/>
  </r>
  <r>
    <x v="1"/>
    <n v="58"/>
    <s v="Train157"/>
    <x v="0"/>
    <s v="MEDIUM"/>
    <x v="0"/>
    <m/>
    <s v="Y"/>
    <x v="3"/>
    <s v="DEPART_DIVISION"/>
    <s v="Division name of the station where train segment started"/>
    <s v="Based on FSAC"/>
    <s v="Y"/>
    <m/>
    <m/>
    <m/>
    <m/>
  </r>
  <r>
    <x v="1"/>
    <n v="59"/>
    <s v="Train158"/>
    <x v="0"/>
    <s v="MEDIUM"/>
    <x v="0"/>
    <m/>
    <s v="Y"/>
    <x v="3"/>
    <s v="ARRIVE_DIVISION"/>
    <s v="Division name of the station where train segment ended"/>
    <s v="Based on FSAC"/>
    <s v="Y"/>
    <m/>
    <m/>
    <m/>
    <m/>
  </r>
  <r>
    <x v="1"/>
    <n v="60"/>
    <s v="Train159"/>
    <x v="0"/>
    <s v="MEDIUM"/>
    <x v="0"/>
    <m/>
    <s v="Y"/>
    <x v="3"/>
    <s v="DEPART_ZONE"/>
    <s v="Zone name of the station where train segment started"/>
    <s v="Based on FSAC"/>
    <s v="Y"/>
    <m/>
    <m/>
    <m/>
    <m/>
  </r>
  <r>
    <x v="1"/>
    <n v="61"/>
    <s v="Train160"/>
    <x v="0"/>
    <s v="MEDIUM"/>
    <x v="0"/>
    <m/>
    <s v="Y"/>
    <x v="3"/>
    <s v="ARRIVE_ZONE"/>
    <s v="Zone name of the station where train segment ended"/>
    <s v="Based on FSAC"/>
    <s v="Y"/>
    <m/>
    <m/>
    <m/>
    <m/>
  </r>
  <r>
    <x v="1"/>
    <n v="62"/>
    <s v="Train161"/>
    <x v="0"/>
    <s v="MEDIUM"/>
    <x v="0"/>
    <m/>
    <s v="Y"/>
    <x v="3"/>
    <s v="DEPART_REGION"/>
    <s v="Region name of the station where train segment started"/>
    <s v="Based on FSAC"/>
    <s v="Y"/>
    <m/>
    <m/>
    <m/>
    <m/>
  </r>
  <r>
    <x v="1"/>
    <n v="63"/>
    <s v="Train162"/>
    <x v="0"/>
    <s v="MEDIUM"/>
    <x v="0"/>
    <m/>
    <s v="Y"/>
    <x v="3"/>
    <s v="ARRIVE_REGION"/>
    <s v="Region name of the station where train segment ended"/>
    <s v="Based on FSAC"/>
    <s v="Y"/>
    <m/>
    <m/>
    <m/>
    <m/>
  </r>
  <r>
    <x v="1"/>
    <n v="64"/>
    <s v="Train163"/>
    <x v="0"/>
    <s v="MEDIUM"/>
    <x v="1"/>
    <s v="DEPART_FSAC belongs to correct location dimension"/>
    <s v="Y"/>
    <x v="3"/>
    <s v="DEPART_STPRV"/>
    <s v="Province/State name of the station where train segment started"/>
    <s v="Based on FSAC"/>
    <s v="Y"/>
    <m/>
    <m/>
    <m/>
    <m/>
  </r>
  <r>
    <x v="1"/>
    <n v="65"/>
    <s v="Train164"/>
    <x v="0"/>
    <s v="MEDIUM"/>
    <x v="1"/>
    <s v="ARRIVE_FSAC belongs to correct location dimension"/>
    <s v="Y"/>
    <x v="3"/>
    <s v="ARRIVE_STPRV"/>
    <s v="Province/State name of the station where train segment ended"/>
    <s v="Based on FSAC"/>
    <s v="Y"/>
    <m/>
    <m/>
    <m/>
    <m/>
  </r>
  <r>
    <x v="1"/>
    <n v="68"/>
    <s v="Train165"/>
    <x v="0"/>
    <s v="MEDIUM"/>
    <x v="1"/>
    <s v="DEPART_FSAC belongs to correct location dimension"/>
    <s v="Y"/>
    <x v="3"/>
    <s v="DEPART_COUNTRY"/>
    <s v="Country name of the station where train segment started"/>
    <s v="US"/>
    <s v="Y"/>
    <s v="trkfc.trkfc_trstn.fsac_cd"/>
    <m/>
    <s v="Y"/>
    <m/>
  </r>
  <r>
    <x v="1"/>
    <n v="69"/>
    <s v="Train166"/>
    <x v="0"/>
    <s v="MEDIUM"/>
    <x v="1"/>
    <s v="ARRIVE_FSAC belongs to correct location dimension"/>
    <s v="Y"/>
    <x v="3"/>
    <s v="ARRIVE_COUNTRY"/>
    <s v="Country name of the station where train segment ended"/>
    <s v="US"/>
    <s v="Y"/>
    <s v="trkfc.trkfc_trstn.fsac_cd"/>
    <m/>
    <s v="Y"/>
    <m/>
  </r>
  <r>
    <x v="1"/>
    <n v="70"/>
    <s v="Train169"/>
    <x v="0"/>
    <s v="MEDIUM"/>
    <x v="0"/>
    <m/>
    <s v="Y"/>
    <x v="3"/>
    <s v="DEPART_UPDATED_BY(SRC SYS NM AEI/SENTINNEL/GEOFENCE/WITRO)"/>
    <s v="Source system updated entity where train segement started"/>
    <s v="MCS"/>
    <s v="N/A"/>
    <s v="Source TBD"/>
    <m/>
    <m/>
    <m/>
  </r>
  <r>
    <x v="1"/>
    <n v="71"/>
    <s v="Train170"/>
    <x v="0"/>
    <s v="MEDIUM"/>
    <x v="0"/>
    <m/>
    <s v="Y"/>
    <x v="3"/>
    <s v="ARRIVE_UPDATED_BY(SRC SYS NM AEI/SENTINNEL/GEOFENCE/WITRO)"/>
    <s v="Source system updated entity where train segement ended"/>
    <s v="TYES"/>
    <s v="N/A"/>
    <m/>
    <m/>
    <m/>
    <m/>
  </r>
  <r>
    <x v="1"/>
    <n v="74"/>
    <s v="Train149"/>
    <x v="0"/>
    <s v="HIGH"/>
    <x v="1"/>
    <s v="NULL or Greater than Today 0001 local time"/>
    <s v="Y"/>
    <x v="2"/>
    <s v="Railcar ETA"/>
    <s v="Estimated time of arrival for railcar"/>
    <s v="Logic TBC"/>
    <s v="N/A"/>
    <m/>
    <m/>
    <m/>
    <m/>
  </r>
  <r>
    <x v="1"/>
    <n v="75"/>
    <s v="Train030"/>
    <x v="1"/>
    <s v="MEDIUM"/>
    <x v="1"/>
    <s v="&gt;=1. in order to move train, there should be at least 1 live locomotive to report the movement"/>
    <s v="Y"/>
    <x v="9"/>
    <s v="LIVE_LOCO_COUNT"/>
    <s v="Count of live locomotives"/>
    <n v="2"/>
    <s v="Y"/>
    <s v="M/EDW -- INFA Sequence: DM_DIM.DIM_LOCOMOTIVE.DIM_LOCOMOTIVE_ID"/>
    <m/>
    <s v="Y"/>
    <m/>
  </r>
  <r>
    <x v="1"/>
    <n v="76"/>
    <s v="Train031"/>
    <x v="1"/>
    <s v="MEDIUM"/>
    <x v="0"/>
    <m/>
    <s v="Y"/>
    <x v="9"/>
    <s v="DH_LOCO_COUNT"/>
    <s v="Count of deadhead locomotives"/>
    <n v="0"/>
    <s v="Y"/>
    <s v="M/EDW -- INFA Sequence: DM_DIM.DIM_LOCOMOTIVE.DIM_LOCOMOTIVE_ID"/>
    <m/>
    <s v="Y"/>
    <s v="does not make sense at car level "/>
  </r>
  <r>
    <x v="1"/>
    <n v="77"/>
    <s v="Train012"/>
    <x v="1"/>
    <s v="HIGH"/>
    <x v="0"/>
    <m/>
    <s v="Y"/>
    <x v="9"/>
    <s v="CONSIST_NBR"/>
    <s v="Consist number"/>
    <n v="4994"/>
    <s v="Y"/>
    <s v="train.train_cnst_smry.source_system_train_cnst_nbr"/>
    <m/>
    <s v="N"/>
    <m/>
  </r>
  <r>
    <x v="1"/>
    <n v="78"/>
    <s v="Train053"/>
    <x v="1"/>
    <s v="LOW"/>
    <x v="0"/>
    <m/>
    <s v="Y"/>
    <x v="11"/>
    <s v="RUN_NBR"/>
    <s v="TBD"/>
    <s v="NULL (not used)"/>
    <s v="N"/>
    <s v="No source found"/>
    <m/>
    <s v="NA"/>
    <m/>
  </r>
  <r>
    <x v="1"/>
    <n v="79"/>
    <s v="Train148"/>
    <x v="0"/>
    <s v="HIGH"/>
    <x v="1"/>
    <s v="NULL or Greater than Today 0001 local time"/>
    <s v="Y"/>
    <x v="2"/>
    <s v="Train ETA"/>
    <s v="Estimated time of arrival for train"/>
    <s v="Logic TBC"/>
    <s v="N/A"/>
    <n v="0"/>
    <m/>
    <m/>
    <s v="car eta ?"/>
  </r>
  <r>
    <x v="1"/>
    <n v="80"/>
    <s v="Train022"/>
    <x v="1"/>
    <s v="HIGH"/>
    <x v="1"/>
    <s v="Average HRSPWR per locomotive should be between 500 and 6500_x000a_1.AVG HRSPWR per Unit  ( SUM_HRSPWR_QTY/SUM OF LIVE_LOCO) is between 500 and 6000_x000a_2. SUM_HRSPWR_QTY &gt; 500 _x000a_3. SUM_HRSPWR_QTY &lt;&gt; NULL"/>
    <s v="Y"/>
    <x v="12"/>
    <s v="SUM_HRSPWR_QTY"/>
    <s v="Sum of horsepower quantity"/>
    <n v="8700"/>
    <s v="Y"/>
    <s v="lcmtv.lcmtv_emis.hrspwr_qty"/>
    <m/>
    <s v="Y"/>
    <s v="Applicable for locos only"/>
  </r>
  <r>
    <x v="1"/>
    <n v="81"/>
    <s v="Train049"/>
    <x v="1"/>
    <s v="LOW"/>
    <x v="0"/>
    <m/>
    <s v="Y"/>
    <x v="2"/>
    <s v="NS_TRAIN_TYPE"/>
    <s v="NS train type code"/>
    <n v="8"/>
    <s v="Y"/>
    <s v="Derived from Train_Series"/>
    <m/>
    <s v="Y"/>
    <m/>
  </r>
  <r>
    <x v="1"/>
    <n v="82"/>
    <s v="Train060"/>
    <x v="2"/>
    <s v="MEDIUM"/>
    <x v="0"/>
    <m/>
    <s v="Y"/>
    <x v="2"/>
    <s v="Previous Train Series"/>
    <s v="Previous train series"/>
    <s v="100"/>
    <s v="TBA"/>
    <s v="Need to find the source to map these and identify whether these are active or not"/>
    <m/>
    <m/>
    <s v="do we need previous train for the specfic car /Loco?"/>
  </r>
  <r>
    <x v="1"/>
    <n v="83"/>
    <s v="Train061"/>
    <x v="2"/>
    <s v="MEDIUM"/>
    <x v="0"/>
    <m/>
    <s v="Y"/>
    <x v="2"/>
    <s v="Previous Train Symbol"/>
    <s v="Previous train symbol"/>
    <s v="181"/>
    <s v="TBA"/>
    <m/>
    <m/>
    <m/>
    <s v="do we need previous train symbol for the specfic car /Loco?"/>
  </r>
  <r>
    <x v="1"/>
    <n v="84"/>
    <s v="Train062"/>
    <x v="2"/>
    <s v="MEDIUM"/>
    <x v="0"/>
    <m/>
    <s v="Y"/>
    <x v="2"/>
    <s v="Previous Train Type"/>
    <s v="Previous train type"/>
    <s v="OP"/>
    <s v="TBA"/>
    <m/>
    <m/>
    <m/>
    <s v="do we need previous train type for the specfic car /Loco?"/>
  </r>
  <r>
    <x v="1"/>
    <n v="85"/>
    <s v="Train147"/>
    <x v="0"/>
    <s v="HIGH"/>
    <x v="0"/>
    <m/>
    <s v="Y"/>
    <x v="2"/>
    <s v="Key Train Indicator"/>
    <s v="Indicator if train meets key criteria"/>
    <s v="Logic TBC"/>
    <s v="N/A"/>
    <s v="Need to know source to ascertain whether this is active or not"/>
    <m/>
    <m/>
    <m/>
  </r>
  <r>
    <x v="1"/>
    <n v="86"/>
    <s v="Train019"/>
    <x v="1"/>
    <s v="HIGH"/>
    <x v="1"/>
    <s v="if asset_type = &quot;railcar&quot;, count unique MARK_CD&amp;EQPUN_NBR BY TITAN_NBR&amp;TRN_LEG_ID&amp;SEGMENT"/>
    <s v="Y"/>
    <x v="9"/>
    <s v="CARS_TOTAL"/>
    <s v="Total cars in consist"/>
    <n v="21"/>
    <s v="Y"/>
    <m/>
    <m/>
    <m/>
    <m/>
  </r>
  <r>
    <x v="1"/>
    <n v="87"/>
    <s v="Train018"/>
    <x v="1"/>
    <s v="HIGH"/>
    <x v="1"/>
    <s v="if asset_type = &quot;railcar&quot; and LOAD_EMPTY_IND = 'L', count unique MARK_CD&amp;EQPUN_NBR BY TITAN_NBR&amp;TRN_LEG_ID&amp;SEGMENT"/>
    <s v="Y"/>
    <x v="9"/>
    <s v="CARS_LOADED"/>
    <s v="Loaded cars in consist"/>
    <n v="21"/>
    <s v="Y"/>
    <m/>
    <m/>
    <m/>
    <m/>
  </r>
  <r>
    <x v="1"/>
    <n v="88"/>
    <s v="Train017"/>
    <x v="1"/>
    <s v="HIGH"/>
    <x v="1"/>
    <s v="&gt;=1. in order to move train, there should be at least 1 live locomotive to report the movement"/>
    <s v="Y"/>
    <x v="9"/>
    <s v="LIVE_UNIT"/>
    <s v="Live units in consist"/>
    <n v="2"/>
    <s v="Y"/>
    <m/>
    <m/>
    <m/>
    <m/>
  </r>
  <r>
    <x v="1"/>
    <n v="89"/>
    <s v="Train065"/>
    <x v="2"/>
    <s v="HIGH"/>
    <x v="0"/>
    <s v="covered in GROSS_TON_MILES"/>
    <s v="Y"/>
    <x v="7"/>
    <s v="Daily Average Gross Ton Miles"/>
    <s v="Daily average gross ton miles"/>
    <s v="25423"/>
    <s v="N/A"/>
    <m/>
    <m/>
    <m/>
    <m/>
  </r>
  <r>
    <x v="1"/>
    <n v="90"/>
    <s v="Train066"/>
    <x v="2"/>
    <s v="HIGH"/>
    <x v="0"/>
    <s v="covered in GROSS_TON_MILES"/>
    <s v="Y"/>
    <x v="6"/>
    <s v="Daily Average Train Weight"/>
    <s v="Daily average train weight"/>
    <s v="3183"/>
    <s v="N/A"/>
    <m/>
    <m/>
    <m/>
    <m/>
  </r>
  <r>
    <x v="1"/>
    <n v="91"/>
    <s v="Train067"/>
    <x v="2"/>
    <s v="HIGH"/>
    <x v="0"/>
    <m/>
    <s v="Y"/>
    <x v="8"/>
    <s v="Daily Average Train Length"/>
    <s v="Daily average train length"/>
    <s v="3759"/>
    <s v="N/A"/>
    <m/>
    <m/>
    <m/>
    <m/>
  </r>
  <r>
    <x v="1"/>
    <n v="92"/>
    <s v="Train068"/>
    <x v="2"/>
    <s v="HIGH"/>
    <x v="1"/>
    <s v="Train Speed for segment is between 0 and 80mph (regulation)"/>
    <s v="Y"/>
    <x v="4"/>
    <s v="Daily Average Train Miles"/>
    <s v="Daily average train miles"/>
    <s v="8"/>
    <s v="N/A"/>
    <m/>
    <m/>
    <m/>
    <m/>
  </r>
  <r>
    <x v="1"/>
    <n v="93"/>
    <s v="Train069"/>
    <x v="2"/>
    <s v="HIGH"/>
    <x v="1"/>
    <s v="Total car miles / # of cars should between between 0 and 80 mph (regulation)"/>
    <s v="Y"/>
    <x v="4"/>
    <s v="Daily Average Total Car Miles"/>
    <s v="Daily average total car miles"/>
    <s v="168"/>
    <s v="N/A"/>
    <m/>
    <m/>
    <m/>
    <m/>
  </r>
  <r>
    <x v="1"/>
    <n v="95"/>
    <s v="Train197"/>
    <x v="1"/>
    <s v="MEDIUM"/>
    <x v="1"/>
    <s v="&gt;0"/>
    <s v="Y"/>
    <x v="5"/>
    <s v="UNIT_TOTAL"/>
    <s v="Total units"/>
    <n v="3"/>
    <s v="exists in train level smry"/>
    <m/>
    <m/>
    <m/>
    <m/>
  </r>
  <r>
    <x v="1"/>
    <n v="96"/>
    <s v="Train198"/>
    <x v="1"/>
    <s v="MEDIUM"/>
    <x v="1"/>
    <s v="&gt;0"/>
    <s v="Y"/>
    <x v="5"/>
    <s v="UNIT_LIVE"/>
    <s v="Live units"/>
    <n v="2"/>
    <s v="exists in train level smry"/>
    <m/>
    <m/>
    <m/>
    <m/>
  </r>
  <r>
    <x v="1"/>
    <n v="97"/>
    <s v="Train199"/>
    <x v="0"/>
    <s v="MEDIUM"/>
    <x v="0"/>
    <m/>
    <s v="Y"/>
    <x v="5"/>
    <s v="UNIT_NON_LIVE"/>
    <s v="Non-live units"/>
    <n v="1"/>
    <s v="can calculate from unit_total - unit_live"/>
    <m/>
    <m/>
    <m/>
    <m/>
  </r>
  <r>
    <x v="1"/>
    <n v="98"/>
    <s v="Train200"/>
    <x v="1"/>
    <s v="HIGH"/>
    <x v="1"/>
    <s v="CARS_TOTAL = CARS_LOADED + CARS_EMPTY"/>
    <s v="Y"/>
    <x v="5"/>
    <s v="CARS_TOTAL"/>
    <s v="Total cars in consist"/>
    <n v="100"/>
    <s v="exists in train level smry"/>
    <m/>
    <m/>
    <m/>
    <m/>
  </r>
  <r>
    <x v="1"/>
    <n v="99"/>
    <s v="Train201"/>
    <x v="1"/>
    <s v="HIGH"/>
    <x v="0"/>
    <m/>
    <s v="Y"/>
    <x v="5"/>
    <s v="CARS_LOADED"/>
    <s v="Loaded cars in consist"/>
    <n v="60"/>
    <s v="exists in train level smry"/>
    <m/>
    <m/>
    <m/>
    <m/>
  </r>
  <r>
    <x v="1"/>
    <n v="100"/>
    <s v="Train202"/>
    <x v="0"/>
    <s v="HIGH"/>
    <x v="0"/>
    <m/>
    <s v="Y"/>
    <x v="5"/>
    <s v="CARS_EMPTY"/>
    <s v="Empty cars"/>
    <n v="40"/>
    <s v="can calculate from total-empty within train level smry"/>
    <m/>
    <m/>
    <m/>
    <m/>
  </r>
  <r>
    <x v="1"/>
    <n v="101"/>
    <s v="Train207"/>
    <x v="0"/>
    <s v="HIGH"/>
    <x v="1"/>
    <s v="N/S/E/W only"/>
    <s v="Y"/>
    <x v="5"/>
    <s v="TRAVEL_DRCTN_CD"/>
    <s v="Travel direction code"/>
    <s v="N/W/E/S"/>
    <s v="ATM_TRAIN.OPTRN_EVENT"/>
    <m/>
    <m/>
    <m/>
    <m/>
  </r>
  <r>
    <x v="1"/>
    <n v="102"/>
    <m/>
    <x v="0"/>
    <s v="MEDIUM"/>
    <x v="0"/>
    <m/>
    <s v="N"/>
    <x v="2"/>
    <s v="FREIGHT_IND"/>
    <s v="Flag for freight/non-freight trains"/>
    <m/>
    <m/>
    <m/>
    <m/>
    <m/>
    <m/>
  </r>
  <r>
    <x v="1"/>
    <n v="103"/>
    <m/>
    <x v="0"/>
    <s v="MEDIUM"/>
    <x v="1"/>
    <s v="each row has to be 1 (each train has to show 1 lead_lcmtv_unit count)_x000a_1. if LEAD_LCMTV_UNIT = 0, FAIL_x000a_2. if LEAD_LCMTV_UNIT &gt;= 2, FAIL"/>
    <s v="Y"/>
    <x v="9"/>
    <s v="LEAD_LCMTV_UNIT"/>
    <s v="Flag for freight/non-freight trains"/>
    <n v="1"/>
    <s v="N"/>
    <m/>
    <s v="use LEAD_LCMTV_IND from train detail table as roll up/ aggregate"/>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2ED785-6D19-42B3-A774-F7A65A255D59}" name="PivotTable1" cacheId="15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B43" firstHeaderRow="1" firstDataRow="1" firstDataCol="1" rowPageCount="1" colPageCount="1"/>
  <pivotFields count="17">
    <pivotField compact="0" outline="0" showAll="0"/>
    <pivotField compact="0" outline="0" showAll="0"/>
    <pivotField compact="0" outline="0" showAll="0"/>
    <pivotField compact="0" outline="0" showAll="0"/>
    <pivotField compact="0" outline="0" showAll="0"/>
    <pivotField axis="axisPage" compact="0" outline="0" showAll="0">
      <items count="5">
        <item h="1" x="2"/>
        <item h="1" x="0"/>
        <item x="1"/>
        <item h="1" m="1" x="3"/>
        <item t="default"/>
      </items>
    </pivotField>
    <pivotField compact="0" outline="0" showAll="0"/>
    <pivotField dataField="1" compact="0" outline="0" showAll="0"/>
    <pivotField axis="axisRow" compact="0" outline="0" showAll="0">
      <items count="14">
        <item x="9"/>
        <item x="5"/>
        <item x="11"/>
        <item x="8"/>
        <item x="3"/>
        <item x="12"/>
        <item x="4"/>
        <item x="1"/>
        <item x="0"/>
        <item x="7"/>
        <item x="2"/>
        <item x="1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1">
    <i>
      <x/>
    </i>
    <i>
      <x v="1"/>
    </i>
    <i>
      <x v="4"/>
    </i>
    <i>
      <x v="5"/>
    </i>
    <i>
      <x v="6"/>
    </i>
    <i>
      <x v="8"/>
    </i>
    <i>
      <x v="9"/>
    </i>
    <i>
      <x v="10"/>
    </i>
    <i>
      <x v="11"/>
    </i>
    <i>
      <x v="12"/>
    </i>
    <i t="grand">
      <x/>
    </i>
  </rowItems>
  <colItems count="1">
    <i/>
  </colItems>
  <pageFields count="1">
    <pageField fld="5" item="2" hier="-1"/>
  </pageFields>
  <dataFields count="1">
    <dataField name="Count of PoC_x000a_(TrnDt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950F09-F60A-43D0-A0EB-29FD080A15C5}" name="PivotTable3" cacheId="15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26" firstHeaderRow="1" firstDataRow="2" firstDataCol="2" rowPageCount="1" colPageCount="1"/>
  <pivotFields count="17">
    <pivotField axis="axisRow" compact="0" outline="0" showAll="0">
      <items count="3">
        <item x="0"/>
        <item x="1"/>
        <item t="default"/>
      </items>
    </pivotField>
    <pivotField compact="0" outline="0" showAll="0"/>
    <pivotField compact="0" outline="0" showAll="0"/>
    <pivotField axis="axisCol" compact="0" outline="0" showAll="0">
      <items count="5">
        <item n="BMR" x="2"/>
        <item x="0"/>
        <item x="3"/>
        <item x="1"/>
        <item t="default"/>
      </items>
    </pivotField>
    <pivotField compact="0" outline="0" showAll="0"/>
    <pivotField axis="axisPage" compact="0" outline="0" showAll="0">
      <items count="5">
        <item h="1" x="2"/>
        <item h="1" x="0"/>
        <item x="1"/>
        <item h="1" m="1" x="3"/>
        <item t="default"/>
      </items>
    </pivotField>
    <pivotField compact="0" outline="0" showAll="0"/>
    <pivotField dataField="1" compact="0" outline="0" showAll="0"/>
    <pivotField axis="axisRow" compact="0" outline="0" showAll="0">
      <items count="14">
        <item x="9"/>
        <item x="5"/>
        <item x="11"/>
        <item x="8"/>
        <item x="3"/>
        <item x="12"/>
        <item x="4"/>
        <item x="1"/>
        <item x="0"/>
        <item x="7"/>
        <item x="2"/>
        <item x="1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8"/>
  </rowFields>
  <rowItems count="22">
    <i>
      <x/>
      <x/>
    </i>
    <i r="1">
      <x v="1"/>
    </i>
    <i r="1">
      <x v="4"/>
    </i>
    <i r="1">
      <x v="5"/>
    </i>
    <i r="1">
      <x v="6"/>
    </i>
    <i r="1">
      <x v="8"/>
    </i>
    <i r="1">
      <x v="9"/>
    </i>
    <i r="1">
      <x v="10"/>
    </i>
    <i r="1">
      <x v="11"/>
    </i>
    <i r="1">
      <x v="12"/>
    </i>
    <i t="default">
      <x/>
    </i>
    <i>
      <x v="1"/>
      <x/>
    </i>
    <i r="1">
      <x v="1"/>
    </i>
    <i r="1">
      <x v="4"/>
    </i>
    <i r="1">
      <x v="5"/>
    </i>
    <i r="1">
      <x v="6"/>
    </i>
    <i r="1">
      <x v="8"/>
    </i>
    <i r="1">
      <x v="9"/>
    </i>
    <i r="1">
      <x v="10"/>
    </i>
    <i r="1">
      <x v="12"/>
    </i>
    <i t="default">
      <x v="1"/>
    </i>
    <i t="grand">
      <x/>
    </i>
  </rowItems>
  <colFields count="1">
    <field x="3"/>
  </colFields>
  <colItems count="5">
    <i>
      <x/>
    </i>
    <i>
      <x v="1"/>
    </i>
    <i>
      <x v="2"/>
    </i>
    <i>
      <x v="3"/>
    </i>
    <i t="grand">
      <x/>
    </i>
  </colItems>
  <pageFields count="1">
    <pageField fld="5" item="2" hier="-1"/>
  </pageFields>
  <dataFields count="1">
    <dataField name="Count of PoC_x000a_(TrnDt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DB8C5-884C-4F07-94E3-A733C44C7606}" name="PivotTable2" cacheId="15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3:G76" firstHeaderRow="1" firstDataRow="2" firstDataCol="2" rowPageCount="1" colPageCount="1"/>
  <pivotFields count="17">
    <pivotField axis="axisRow" compact="0" outline="0" showAll="0">
      <items count="3">
        <item x="0"/>
        <item x="1"/>
        <item t="default"/>
      </items>
    </pivotField>
    <pivotField compact="0" outline="0" showAll="0"/>
    <pivotField compact="0" outline="0" showAll="0"/>
    <pivotField axis="axisCol" compact="0" outline="0" showAll="0">
      <items count="5">
        <item n="BMR" x="2"/>
        <item x="0"/>
        <item x="3"/>
        <item x="1"/>
        <item t="default"/>
      </items>
    </pivotField>
    <pivotField compact="0" outline="0" showAll="0"/>
    <pivotField axis="axisPage" compact="0" outline="0" multipleItemSelectionAllowed="1" showAll="0">
      <items count="5">
        <item h="1" x="2"/>
        <item h="1" x="0"/>
        <item x="1"/>
        <item h="1" m="1" x="3"/>
        <item t="default"/>
      </items>
    </pivotField>
    <pivotField compact="0" outline="0" showAll="0"/>
    <pivotField dataField="1" compact="0" outline="0" showAll="0"/>
    <pivotField axis="axisRow" compact="0" outline="0" showAll="0">
      <items count="14">
        <item x="9"/>
        <item x="5"/>
        <item x="11"/>
        <item x="8"/>
        <item x="3"/>
        <item x="12"/>
        <item x="4"/>
        <item x="1"/>
        <item x="0"/>
        <item x="7"/>
        <item x="2"/>
        <item x="1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0"/>
    <field x="8"/>
  </rowFields>
  <rowItems count="22">
    <i>
      <x/>
      <x/>
    </i>
    <i r="1">
      <x v="1"/>
    </i>
    <i r="1">
      <x v="4"/>
    </i>
    <i r="1">
      <x v="5"/>
    </i>
    <i r="1">
      <x v="6"/>
    </i>
    <i r="1">
      <x v="8"/>
    </i>
    <i r="1">
      <x v="9"/>
    </i>
    <i r="1">
      <x v="10"/>
    </i>
    <i r="1">
      <x v="11"/>
    </i>
    <i r="1">
      <x v="12"/>
    </i>
    <i t="default">
      <x/>
    </i>
    <i>
      <x v="1"/>
      <x/>
    </i>
    <i r="1">
      <x v="1"/>
    </i>
    <i r="1">
      <x v="4"/>
    </i>
    <i r="1">
      <x v="5"/>
    </i>
    <i r="1">
      <x v="6"/>
    </i>
    <i r="1">
      <x v="8"/>
    </i>
    <i r="1">
      <x v="9"/>
    </i>
    <i r="1">
      <x v="10"/>
    </i>
    <i r="1">
      <x v="12"/>
    </i>
    <i t="default">
      <x v="1"/>
    </i>
    <i t="grand">
      <x/>
    </i>
  </rowItems>
  <colFields count="1">
    <field x="3"/>
  </colFields>
  <colItems count="5">
    <i>
      <x/>
    </i>
    <i>
      <x v="1"/>
    </i>
    <i>
      <x v="2"/>
    </i>
    <i>
      <x v="3"/>
    </i>
    <i t="grand">
      <x/>
    </i>
  </colItems>
  <pageFields count="1">
    <pageField fld="5" hier="-1"/>
  </pageFields>
  <dataFields count="1">
    <dataField name="Count of PoC_x000a_(TrnDt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52767B-85ED-4E9F-A211-A1CA35700A7F}" name="PivotTable1" cacheId="15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9" firstHeaderRow="1" firstDataRow="2" firstDataCol="1" rowPageCount="1" colPageCount="1"/>
  <pivotFields count="15">
    <pivotField axis="axisCol" compact="0" outline="0" showAll="0">
      <items count="3">
        <item x="0"/>
        <item x="1"/>
        <item t="default"/>
      </items>
    </pivotField>
    <pivotField compact="0" outline="0" showAll="0"/>
    <pivotField dataField="1" compact="0" outline="0" showAll="0"/>
    <pivotField compact="0" outline="0" showAll="0">
      <items count="5">
        <item x="2"/>
        <item x="0"/>
        <item x="3"/>
        <item x="1"/>
        <item t="default"/>
      </items>
    </pivotField>
    <pivotField axis="axisPage" compact="0" outline="0" showAll="0">
      <items count="4">
        <item x="1"/>
        <item x="2"/>
        <item x="0"/>
        <item t="default"/>
      </items>
    </pivotField>
    <pivotField axis="axisRow" compact="0" outline="0" showAll="0" sortType="descending">
      <items count="15">
        <item x="11"/>
        <item x="7"/>
        <item x="5"/>
        <item x="10"/>
        <item x="4"/>
        <item x="13"/>
        <item x="6"/>
        <item x="2"/>
        <item x="0"/>
        <item x="1"/>
        <item x="9"/>
        <item x="3"/>
        <item x="12"/>
        <item x="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15">
    <i>
      <x v="4"/>
    </i>
    <i>
      <x v="1"/>
    </i>
    <i>
      <x v="6"/>
    </i>
    <i>
      <x v="11"/>
    </i>
    <i>
      <x v="12"/>
    </i>
    <i>
      <x/>
    </i>
    <i>
      <x v="8"/>
    </i>
    <i>
      <x v="2"/>
    </i>
    <i>
      <x v="9"/>
    </i>
    <i>
      <x v="10"/>
    </i>
    <i>
      <x v="3"/>
    </i>
    <i>
      <x v="13"/>
    </i>
    <i>
      <x v="5"/>
    </i>
    <i>
      <x v="7"/>
    </i>
    <i t="grand">
      <x/>
    </i>
  </rowItems>
  <colFields count="1">
    <field x="0"/>
  </colFields>
  <colItems count="3">
    <i>
      <x/>
    </i>
    <i>
      <x v="1"/>
    </i>
    <i t="grand">
      <x/>
    </i>
  </colItems>
  <pageFields count="1">
    <pageField fld="4" hier="-1"/>
  </pageFields>
  <dataFields count="1">
    <dataField name="Count of Co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E9B444-7EB6-4D82-AF07-466E35C81333}" name="PivotTable2" cacheId="15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I11" firstHeaderRow="1" firstDataRow="2" firstDataCol="1" rowPageCount="1" colPageCount="1"/>
  <pivotFields count="15">
    <pivotField axis="axisCol" compact="0" outline="0" showAll="0">
      <items count="3">
        <item x="0"/>
        <item x="1"/>
        <item t="default"/>
      </items>
    </pivotField>
    <pivotField compact="0" outline="0" showAll="0"/>
    <pivotField dataField="1" compact="0" outline="0" showAll="0"/>
    <pivotField axis="axisPage" compact="0" outline="0" showAll="0">
      <items count="5">
        <item h="1" x="2"/>
        <item x="0"/>
        <item h="1" x="3"/>
        <item h="1" x="1"/>
        <item t="default"/>
      </items>
    </pivotField>
    <pivotField compact="0" outline="0" showAll="0"/>
    <pivotField axis="axisRow" compact="0" outline="0" showAll="0" sortType="descending">
      <items count="15">
        <item x="11"/>
        <item x="7"/>
        <item x="5"/>
        <item x="10"/>
        <item x="4"/>
        <item x="13"/>
        <item x="6"/>
        <item x="2"/>
        <item x="0"/>
        <item x="1"/>
        <item x="9"/>
        <item x="3"/>
        <item x="12"/>
        <item x="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7">
    <i>
      <x v="4"/>
    </i>
    <i>
      <x v="1"/>
    </i>
    <i>
      <x v="12"/>
    </i>
    <i>
      <x v="8"/>
    </i>
    <i>
      <x v="11"/>
    </i>
    <i>
      <x/>
    </i>
    <i t="grand">
      <x/>
    </i>
  </rowItems>
  <colFields count="1">
    <field x="0"/>
  </colFields>
  <colItems count="3">
    <i>
      <x/>
    </i>
    <i>
      <x v="1"/>
    </i>
    <i t="grand">
      <x/>
    </i>
  </colItems>
  <pageFields count="1">
    <pageField fld="3" item="1" hier="-1"/>
  </pageFields>
  <dataFields count="1">
    <dataField name="Count of Co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5.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10.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14.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20.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22.xml.rels><?xml version="1.0" encoding="UTF-8" standalone="yes"?>
<Relationships xmlns="http://schemas.openxmlformats.org/package/2006/relationships"><Relationship Id="rId1" Type="http://schemas.openxmlformats.org/officeDocument/2006/relationships/customProperty" Target="../customProperty18.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19.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0.bin"/></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60293-3CE8-4343-BEB0-FF7C109396E3}">
  <dimension ref="A1:V76"/>
  <sheetViews>
    <sheetView workbookViewId="0"/>
  </sheetViews>
  <sheetFormatPr defaultRowHeight="14.45"/>
  <cols>
    <col min="1" max="1" width="19" bestFit="1" customWidth="1"/>
    <col min="2" max="2" width="12.140625" bestFit="1" customWidth="1"/>
    <col min="3" max="6" width="10.140625" bestFit="1" customWidth="1"/>
    <col min="7" max="7" width="10.42578125" bestFit="1" customWidth="1"/>
    <col min="8" max="8" width="11.5703125" bestFit="1" customWidth="1"/>
    <col min="9" max="9" width="14.42578125" bestFit="1" customWidth="1"/>
    <col min="10" max="11" width="13.85546875" bestFit="1" customWidth="1"/>
    <col min="12" max="12" width="14.5703125" bestFit="1" customWidth="1"/>
    <col min="13" max="13" width="10.42578125" bestFit="1" customWidth="1"/>
    <col min="14" max="21" width="12" customWidth="1"/>
    <col min="22" max="22" width="29.5703125" customWidth="1"/>
  </cols>
  <sheetData>
    <row r="1" spans="1:22">
      <c r="A1" s="255" t="s">
        <v>0</v>
      </c>
      <c r="B1" t="s">
        <v>1</v>
      </c>
    </row>
    <row r="3" spans="1:22">
      <c r="A3" s="255" t="s">
        <v>2</v>
      </c>
      <c r="C3" s="255" t="s">
        <v>3</v>
      </c>
      <c r="L3" s="342"/>
      <c r="M3" s="342" t="s">
        <v>4</v>
      </c>
      <c r="N3" s="342" t="s">
        <v>5</v>
      </c>
      <c r="O3" s="342" t="s">
        <v>6</v>
      </c>
      <c r="P3" s="342" t="s">
        <v>7</v>
      </c>
      <c r="Q3" s="342" t="s">
        <v>8</v>
      </c>
      <c r="R3" s="342" t="s">
        <v>9</v>
      </c>
      <c r="S3" s="342" t="s">
        <v>10</v>
      </c>
      <c r="T3" s="342" t="s">
        <v>11</v>
      </c>
      <c r="U3" s="342" t="s">
        <v>12</v>
      </c>
      <c r="V3" s="342" t="s">
        <v>13</v>
      </c>
    </row>
    <row r="4" spans="1:22">
      <c r="A4" s="255" t="s">
        <v>14</v>
      </c>
      <c r="B4" s="255" t="s">
        <v>15</v>
      </c>
      <c r="C4" t="s">
        <v>16</v>
      </c>
      <c r="D4" t="s">
        <v>17</v>
      </c>
      <c r="E4" t="s">
        <v>18</v>
      </c>
      <c r="F4" t="s">
        <v>19</v>
      </c>
      <c r="G4" t="s">
        <v>20</v>
      </c>
      <c r="L4" s="342" t="s">
        <v>21</v>
      </c>
      <c r="M4" s="346"/>
      <c r="N4" s="346"/>
      <c r="O4" s="347" t="s">
        <v>1</v>
      </c>
      <c r="P4" s="347" t="s">
        <v>1</v>
      </c>
      <c r="Q4" s="346"/>
      <c r="R4" s="346"/>
      <c r="S4" s="346"/>
      <c r="T4" s="347" t="s">
        <v>1</v>
      </c>
      <c r="U4" s="347" t="s">
        <v>1</v>
      </c>
      <c r="V4" s="347" t="s">
        <v>1</v>
      </c>
    </row>
    <row r="5" spans="1:22">
      <c r="A5" t="s">
        <v>22</v>
      </c>
      <c r="B5" t="s">
        <v>4</v>
      </c>
      <c r="D5">
        <v>1</v>
      </c>
      <c r="E5">
        <v>1</v>
      </c>
      <c r="F5">
        <v>1</v>
      </c>
      <c r="G5">
        <v>3</v>
      </c>
      <c r="L5" s="342" t="s">
        <v>23</v>
      </c>
      <c r="M5" s="346"/>
      <c r="N5" s="346"/>
      <c r="O5" s="347" t="s">
        <v>1</v>
      </c>
      <c r="P5" s="346"/>
      <c r="Q5" s="346"/>
      <c r="R5" s="346"/>
      <c r="S5" s="346"/>
      <c r="T5" s="346"/>
      <c r="U5" s="346"/>
      <c r="V5" s="346"/>
    </row>
    <row r="6" spans="1:22">
      <c r="B6" t="s">
        <v>5</v>
      </c>
      <c r="D6">
        <v>13</v>
      </c>
      <c r="E6">
        <v>5</v>
      </c>
      <c r="G6">
        <v>18</v>
      </c>
      <c r="L6" s="342" t="s">
        <v>24</v>
      </c>
      <c r="M6" s="347" t="s">
        <v>1</v>
      </c>
      <c r="N6" s="346"/>
      <c r="O6" s="346"/>
      <c r="P6" s="346"/>
      <c r="Q6" s="346"/>
      <c r="R6" s="346"/>
      <c r="S6" s="346"/>
      <c r="T6" s="346"/>
      <c r="U6" s="346"/>
      <c r="V6" s="346"/>
    </row>
    <row r="7" spans="1:22">
      <c r="B7" t="s">
        <v>6</v>
      </c>
      <c r="C7">
        <v>6</v>
      </c>
      <c r="D7">
        <v>8</v>
      </c>
      <c r="F7">
        <v>6</v>
      </c>
      <c r="G7">
        <v>20</v>
      </c>
      <c r="L7" s="342" t="s">
        <v>25</v>
      </c>
      <c r="M7" s="346"/>
      <c r="N7" s="346"/>
      <c r="O7" s="347" t="s">
        <v>1</v>
      </c>
      <c r="P7" s="346"/>
      <c r="Q7" s="346"/>
      <c r="R7" s="346"/>
      <c r="S7" s="347" t="s">
        <v>1</v>
      </c>
      <c r="T7" s="346"/>
      <c r="U7" s="346"/>
      <c r="V7" s="346"/>
    </row>
    <row r="8" spans="1:22">
      <c r="B8" t="s">
        <v>7</v>
      </c>
      <c r="F8">
        <v>1</v>
      </c>
      <c r="G8">
        <v>1</v>
      </c>
      <c r="L8" s="342" t="s">
        <v>26</v>
      </c>
      <c r="M8" s="346"/>
      <c r="N8" s="346"/>
      <c r="O8" s="346"/>
      <c r="P8" s="346"/>
      <c r="Q8" s="346"/>
      <c r="R8" s="347" t="s">
        <v>1</v>
      </c>
      <c r="S8" s="347" t="s">
        <v>1</v>
      </c>
      <c r="T8" s="346"/>
      <c r="U8" s="346"/>
      <c r="V8" s="346"/>
    </row>
    <row r="9" spans="1:22">
      <c r="B9" t="s">
        <v>8</v>
      </c>
      <c r="F9">
        <v>9</v>
      </c>
      <c r="G9">
        <v>9</v>
      </c>
      <c r="L9" s="342" t="s">
        <v>27</v>
      </c>
      <c r="M9" s="346"/>
      <c r="N9" s="346"/>
      <c r="O9" s="347" t="s">
        <v>1</v>
      </c>
      <c r="P9" s="346"/>
      <c r="Q9" s="346"/>
      <c r="R9" s="347" t="s">
        <v>1</v>
      </c>
      <c r="S9" s="347" t="s">
        <v>1</v>
      </c>
      <c r="T9" s="346"/>
      <c r="U9" s="346"/>
      <c r="V9" s="346"/>
    </row>
    <row r="10" spans="1:22">
      <c r="B10" t="s">
        <v>9</v>
      </c>
      <c r="D10">
        <v>1</v>
      </c>
      <c r="E10">
        <v>1</v>
      </c>
      <c r="F10">
        <v>5</v>
      </c>
      <c r="G10">
        <v>7</v>
      </c>
      <c r="L10" s="342" t="s">
        <v>28</v>
      </c>
      <c r="M10" s="346"/>
      <c r="N10" s="347" t="s">
        <v>1</v>
      </c>
      <c r="O10" s="346"/>
      <c r="P10" s="347" t="s">
        <v>1</v>
      </c>
      <c r="Q10" s="346"/>
      <c r="R10" s="346"/>
      <c r="S10" s="346"/>
      <c r="T10" s="346"/>
      <c r="U10" s="346"/>
      <c r="V10" s="346"/>
    </row>
    <row r="11" spans="1:22">
      <c r="B11" t="s">
        <v>10</v>
      </c>
      <c r="F11">
        <v>3</v>
      </c>
      <c r="G11">
        <v>3</v>
      </c>
      <c r="L11" s="342" t="s">
        <v>29</v>
      </c>
      <c r="M11" s="347" t="s">
        <v>1</v>
      </c>
      <c r="N11" s="346"/>
      <c r="O11" s="346"/>
      <c r="P11" s="346"/>
      <c r="Q11" s="346"/>
      <c r="R11" s="346"/>
      <c r="S11" s="346"/>
      <c r="T11" s="346"/>
      <c r="U11" s="346"/>
      <c r="V11" s="346"/>
    </row>
    <row r="12" spans="1:22">
      <c r="B12" t="s">
        <v>11</v>
      </c>
      <c r="D12">
        <v>3</v>
      </c>
      <c r="G12">
        <v>3</v>
      </c>
      <c r="L12" s="342" t="s">
        <v>30</v>
      </c>
      <c r="M12" s="347" t="s">
        <v>1</v>
      </c>
      <c r="N12" s="346"/>
      <c r="O12" s="347" t="s">
        <v>1</v>
      </c>
      <c r="P12" s="346"/>
      <c r="Q12" s="347" t="s">
        <v>1</v>
      </c>
      <c r="R12" s="346"/>
      <c r="S12" s="347" t="s">
        <v>1</v>
      </c>
      <c r="T12" s="346"/>
      <c r="U12" s="346"/>
      <c r="V12" s="347" t="s">
        <v>1</v>
      </c>
    </row>
    <row r="13" spans="1:22">
      <c r="B13" t="s">
        <v>12</v>
      </c>
      <c r="D13">
        <v>9</v>
      </c>
      <c r="E13">
        <v>13</v>
      </c>
      <c r="G13">
        <v>22</v>
      </c>
      <c r="L13" s="342"/>
      <c r="M13" s="342"/>
      <c r="N13" s="342"/>
      <c r="O13" s="342"/>
      <c r="P13" s="342"/>
      <c r="Q13" s="342"/>
      <c r="R13" s="342"/>
      <c r="S13" s="342"/>
      <c r="T13" s="342"/>
      <c r="U13" s="342"/>
      <c r="V13" s="342"/>
    </row>
    <row r="14" spans="1:22">
      <c r="B14" t="s">
        <v>13</v>
      </c>
      <c r="F14">
        <v>2</v>
      </c>
      <c r="G14">
        <v>2</v>
      </c>
    </row>
    <row r="15" spans="1:22">
      <c r="A15" t="s">
        <v>31</v>
      </c>
      <c r="C15">
        <v>6</v>
      </c>
      <c r="D15">
        <v>35</v>
      </c>
      <c r="E15">
        <v>20</v>
      </c>
      <c r="F15">
        <v>27</v>
      </c>
      <c r="G15">
        <v>88</v>
      </c>
    </row>
    <row r="16" spans="1:22">
      <c r="A16" t="s">
        <v>32</v>
      </c>
      <c r="B16" t="s">
        <v>4</v>
      </c>
      <c r="D16">
        <v>1</v>
      </c>
      <c r="F16">
        <v>4</v>
      </c>
      <c r="G16">
        <v>5</v>
      </c>
    </row>
    <row r="17" spans="1:22">
      <c r="B17" t="s">
        <v>5</v>
      </c>
      <c r="D17">
        <v>1</v>
      </c>
      <c r="F17">
        <v>3</v>
      </c>
      <c r="G17">
        <v>4</v>
      </c>
    </row>
    <row r="18" spans="1:22">
      <c r="B18" t="s">
        <v>6</v>
      </c>
      <c r="C18">
        <v>6</v>
      </c>
      <c r="D18">
        <v>8</v>
      </c>
      <c r="F18">
        <v>6</v>
      </c>
      <c r="G18">
        <v>20</v>
      </c>
    </row>
    <row r="19" spans="1:22">
      <c r="B19" t="s">
        <v>7</v>
      </c>
      <c r="F19">
        <v>1</v>
      </c>
      <c r="G19">
        <v>1</v>
      </c>
    </row>
    <row r="20" spans="1:22">
      <c r="B20" t="s">
        <v>8</v>
      </c>
      <c r="C20">
        <v>2</v>
      </c>
      <c r="F20">
        <v>9</v>
      </c>
      <c r="G20">
        <v>11</v>
      </c>
    </row>
    <row r="21" spans="1:22">
      <c r="B21" t="s">
        <v>9</v>
      </c>
      <c r="D21">
        <v>1</v>
      </c>
      <c r="F21">
        <v>5</v>
      </c>
      <c r="G21">
        <v>6</v>
      </c>
    </row>
    <row r="22" spans="1:22">
      <c r="B22" t="s">
        <v>10</v>
      </c>
      <c r="F22">
        <v>2</v>
      </c>
      <c r="G22">
        <v>2</v>
      </c>
    </row>
    <row r="23" spans="1:22">
      <c r="B23" t="s">
        <v>11</v>
      </c>
      <c r="D23">
        <v>2</v>
      </c>
      <c r="G23">
        <v>2</v>
      </c>
    </row>
    <row r="24" spans="1:22">
      <c r="B24" t="s">
        <v>13</v>
      </c>
      <c r="F24">
        <v>2</v>
      </c>
      <c r="G24">
        <v>2</v>
      </c>
    </row>
    <row r="25" spans="1:22">
      <c r="A25" t="s">
        <v>33</v>
      </c>
      <c r="C25">
        <v>8</v>
      </c>
      <c r="D25">
        <v>13</v>
      </c>
      <c r="F25">
        <v>32</v>
      </c>
      <c r="G25">
        <v>53</v>
      </c>
    </row>
    <row r="26" spans="1:22">
      <c r="A26" t="s">
        <v>20</v>
      </c>
      <c r="C26">
        <v>14</v>
      </c>
      <c r="D26">
        <v>48</v>
      </c>
      <c r="E26">
        <v>20</v>
      </c>
      <c r="F26">
        <v>59</v>
      </c>
      <c r="G26">
        <v>141</v>
      </c>
    </row>
    <row r="30" spans="1:22">
      <c r="A30" s="255" t="s">
        <v>0</v>
      </c>
      <c r="B30" t="s">
        <v>1</v>
      </c>
    </row>
    <row r="32" spans="1:22">
      <c r="A32" s="255" t="s">
        <v>15</v>
      </c>
      <c r="B32" t="s">
        <v>2</v>
      </c>
      <c r="L32" s="346"/>
      <c r="M32" s="346" t="s">
        <v>21</v>
      </c>
      <c r="N32" s="346" t="s">
        <v>23</v>
      </c>
      <c r="O32" s="346" t="s">
        <v>24</v>
      </c>
      <c r="P32" s="346" t="s">
        <v>25</v>
      </c>
      <c r="Q32" s="346" t="s">
        <v>26</v>
      </c>
      <c r="R32" s="346" t="s">
        <v>27</v>
      </c>
      <c r="S32" s="346" t="s">
        <v>28</v>
      </c>
      <c r="T32" s="346" t="s">
        <v>29</v>
      </c>
      <c r="U32" s="346" t="s">
        <v>30</v>
      </c>
      <c r="V32" s="346"/>
    </row>
    <row r="33" spans="1:22">
      <c r="A33" t="s">
        <v>4</v>
      </c>
      <c r="B33">
        <v>8</v>
      </c>
      <c r="L33" s="346" t="s">
        <v>4</v>
      </c>
      <c r="M33" s="346"/>
      <c r="N33" s="346"/>
      <c r="O33" s="347" t="s">
        <v>1</v>
      </c>
      <c r="P33" s="346"/>
      <c r="Q33" s="346"/>
      <c r="R33" s="346"/>
      <c r="S33" s="346"/>
      <c r="T33" s="347" t="s">
        <v>1</v>
      </c>
      <c r="U33" s="347" t="s">
        <v>1</v>
      </c>
      <c r="V33" s="346"/>
    </row>
    <row r="34" spans="1:22">
      <c r="A34" t="s">
        <v>5</v>
      </c>
      <c r="B34">
        <v>22</v>
      </c>
      <c r="L34" s="346" t="s">
        <v>5</v>
      </c>
      <c r="M34" s="346"/>
      <c r="N34" s="346"/>
      <c r="O34" s="346"/>
      <c r="P34" s="346"/>
      <c r="Q34" s="346"/>
      <c r="R34" s="346"/>
      <c r="S34" s="347" t="s">
        <v>1</v>
      </c>
      <c r="T34" s="346"/>
      <c r="U34" s="346"/>
      <c r="V34" s="346"/>
    </row>
    <row r="35" spans="1:22">
      <c r="A35" t="s">
        <v>6</v>
      </c>
      <c r="B35">
        <v>40</v>
      </c>
      <c r="L35" s="346" t="s">
        <v>6</v>
      </c>
      <c r="M35" s="347" t="s">
        <v>1</v>
      </c>
      <c r="N35" s="347" t="s">
        <v>1</v>
      </c>
      <c r="O35" s="346"/>
      <c r="P35" s="347" t="s">
        <v>1</v>
      </c>
      <c r="Q35" s="346"/>
      <c r="R35" s="347" t="s">
        <v>1</v>
      </c>
      <c r="S35" s="346"/>
      <c r="T35" s="346"/>
      <c r="U35" s="347" t="s">
        <v>1</v>
      </c>
      <c r="V35" s="346"/>
    </row>
    <row r="36" spans="1:22">
      <c r="A36" t="s">
        <v>7</v>
      </c>
      <c r="B36">
        <v>2</v>
      </c>
      <c r="L36" s="346" t="s">
        <v>7</v>
      </c>
      <c r="M36" s="347" t="s">
        <v>1</v>
      </c>
      <c r="N36" s="346"/>
      <c r="O36" s="346"/>
      <c r="P36" s="346"/>
      <c r="Q36" s="346"/>
      <c r="R36" s="346"/>
      <c r="S36" s="347" t="s">
        <v>1</v>
      </c>
      <c r="T36" s="346"/>
      <c r="U36" s="346"/>
      <c r="V36" s="346"/>
    </row>
    <row r="37" spans="1:22">
      <c r="A37" t="s">
        <v>8</v>
      </c>
      <c r="B37">
        <v>20</v>
      </c>
      <c r="L37" s="346" t="s">
        <v>8</v>
      </c>
      <c r="M37" s="346"/>
      <c r="N37" s="346"/>
      <c r="O37" s="346"/>
      <c r="P37" s="346"/>
      <c r="Q37" s="346"/>
      <c r="R37" s="346"/>
      <c r="S37" s="346"/>
      <c r="T37" s="346"/>
      <c r="U37" s="347" t="s">
        <v>1</v>
      </c>
      <c r="V37" s="346"/>
    </row>
    <row r="38" spans="1:22">
      <c r="A38" t="s">
        <v>9</v>
      </c>
      <c r="B38">
        <v>13</v>
      </c>
      <c r="L38" s="346" t="s">
        <v>9</v>
      </c>
      <c r="M38" s="346"/>
      <c r="N38" s="346"/>
      <c r="O38" s="346"/>
      <c r="P38" s="346"/>
      <c r="Q38" s="347" t="s">
        <v>1</v>
      </c>
      <c r="R38" s="347" t="s">
        <v>1</v>
      </c>
      <c r="S38" s="346"/>
      <c r="T38" s="346"/>
      <c r="U38" s="346"/>
      <c r="V38" s="346"/>
    </row>
    <row r="39" spans="1:22">
      <c r="A39" t="s">
        <v>10</v>
      </c>
      <c r="B39">
        <v>5</v>
      </c>
      <c r="L39" s="346" t="s">
        <v>10</v>
      </c>
      <c r="M39" s="346"/>
      <c r="N39" s="346"/>
      <c r="O39" s="346"/>
      <c r="P39" s="347" t="s">
        <v>1</v>
      </c>
      <c r="Q39" s="347" t="s">
        <v>1</v>
      </c>
      <c r="R39" s="347" t="s">
        <v>1</v>
      </c>
      <c r="S39" s="346"/>
      <c r="T39" s="346"/>
      <c r="U39" s="347" t="s">
        <v>1</v>
      </c>
      <c r="V39" s="346"/>
    </row>
    <row r="40" spans="1:22">
      <c r="A40" t="s">
        <v>11</v>
      </c>
      <c r="B40">
        <v>5</v>
      </c>
      <c r="L40" s="346" t="s">
        <v>11</v>
      </c>
      <c r="M40" s="347" t="s">
        <v>1</v>
      </c>
      <c r="N40" s="346"/>
      <c r="O40" s="346"/>
      <c r="P40" s="346"/>
      <c r="Q40" s="346"/>
      <c r="R40" s="346"/>
      <c r="S40" s="346"/>
      <c r="T40" s="346"/>
      <c r="U40" s="346"/>
      <c r="V40" s="346"/>
    </row>
    <row r="41" spans="1:22">
      <c r="A41" t="s">
        <v>12</v>
      </c>
      <c r="B41">
        <v>22</v>
      </c>
      <c r="L41" s="346" t="s">
        <v>12</v>
      </c>
      <c r="M41" s="347" t="s">
        <v>1</v>
      </c>
      <c r="N41" s="346"/>
      <c r="O41" s="346"/>
      <c r="P41" s="346"/>
      <c r="Q41" s="346"/>
      <c r="R41" s="346"/>
      <c r="S41" s="346"/>
      <c r="T41" s="346"/>
      <c r="U41" s="346"/>
      <c r="V41" s="346"/>
    </row>
    <row r="42" spans="1:22">
      <c r="A42" t="s">
        <v>13</v>
      </c>
      <c r="B42">
        <v>4</v>
      </c>
      <c r="L42" s="346" t="s">
        <v>13</v>
      </c>
      <c r="M42" s="347" t="s">
        <v>1</v>
      </c>
      <c r="N42" s="346"/>
      <c r="O42" s="346"/>
      <c r="P42" s="346"/>
      <c r="Q42" s="346"/>
      <c r="R42" s="346"/>
      <c r="S42" s="346"/>
      <c r="T42" s="346"/>
      <c r="U42" s="347" t="s">
        <v>1</v>
      </c>
      <c r="V42" s="346"/>
    </row>
    <row r="43" spans="1:22">
      <c r="A43" t="s">
        <v>20</v>
      </c>
      <c r="B43">
        <v>141</v>
      </c>
    </row>
    <row r="51" spans="1:7">
      <c r="A51" s="255" t="s">
        <v>0</v>
      </c>
      <c r="B51" t="s">
        <v>1</v>
      </c>
    </row>
    <row r="53" spans="1:7">
      <c r="A53" s="255" t="s">
        <v>2</v>
      </c>
      <c r="C53" s="255" t="s">
        <v>3</v>
      </c>
    </row>
    <row r="54" spans="1:7">
      <c r="A54" s="255" t="s">
        <v>14</v>
      </c>
      <c r="B54" s="255" t="s">
        <v>15</v>
      </c>
      <c r="C54" t="s">
        <v>16</v>
      </c>
      <c r="D54" t="s">
        <v>17</v>
      </c>
      <c r="E54" t="s">
        <v>18</v>
      </c>
      <c r="F54" t="s">
        <v>19</v>
      </c>
      <c r="G54" t="s">
        <v>20</v>
      </c>
    </row>
    <row r="55" spans="1:7">
      <c r="A55" t="s">
        <v>22</v>
      </c>
      <c r="B55" t="s">
        <v>4</v>
      </c>
      <c r="D55">
        <v>1</v>
      </c>
      <c r="E55">
        <v>1</v>
      </c>
      <c r="F55">
        <v>1</v>
      </c>
      <c r="G55">
        <v>3</v>
      </c>
    </row>
    <row r="56" spans="1:7">
      <c r="B56" t="s">
        <v>5</v>
      </c>
      <c r="D56">
        <v>13</v>
      </c>
      <c r="E56">
        <v>5</v>
      </c>
      <c r="G56">
        <v>18</v>
      </c>
    </row>
    <row r="57" spans="1:7">
      <c r="B57" t="s">
        <v>6</v>
      </c>
      <c r="C57">
        <v>6</v>
      </c>
      <c r="D57">
        <v>8</v>
      </c>
      <c r="F57">
        <v>6</v>
      </c>
      <c r="G57">
        <v>20</v>
      </c>
    </row>
    <row r="58" spans="1:7">
      <c r="B58" t="s">
        <v>7</v>
      </c>
      <c r="F58">
        <v>1</v>
      </c>
      <c r="G58">
        <v>1</v>
      </c>
    </row>
    <row r="59" spans="1:7">
      <c r="B59" t="s">
        <v>8</v>
      </c>
      <c r="F59">
        <v>9</v>
      </c>
      <c r="G59">
        <v>9</v>
      </c>
    </row>
    <row r="60" spans="1:7">
      <c r="B60" t="s">
        <v>9</v>
      </c>
      <c r="D60">
        <v>1</v>
      </c>
      <c r="E60">
        <v>1</v>
      </c>
      <c r="F60">
        <v>5</v>
      </c>
      <c r="G60">
        <v>7</v>
      </c>
    </row>
    <row r="61" spans="1:7">
      <c r="B61" t="s">
        <v>10</v>
      </c>
      <c r="F61">
        <v>3</v>
      </c>
      <c r="G61">
        <v>3</v>
      </c>
    </row>
    <row r="62" spans="1:7">
      <c r="B62" t="s">
        <v>11</v>
      </c>
      <c r="D62">
        <v>3</v>
      </c>
      <c r="G62">
        <v>3</v>
      </c>
    </row>
    <row r="63" spans="1:7">
      <c r="B63" t="s">
        <v>12</v>
      </c>
      <c r="D63">
        <v>9</v>
      </c>
      <c r="E63">
        <v>13</v>
      </c>
      <c r="G63">
        <v>22</v>
      </c>
    </row>
    <row r="64" spans="1:7">
      <c r="B64" t="s">
        <v>13</v>
      </c>
      <c r="F64">
        <v>2</v>
      </c>
      <c r="G64">
        <v>2</v>
      </c>
    </row>
    <row r="65" spans="1:7">
      <c r="A65" t="s">
        <v>31</v>
      </c>
      <c r="C65">
        <v>6</v>
      </c>
      <c r="D65">
        <v>35</v>
      </c>
      <c r="E65">
        <v>20</v>
      </c>
      <c r="F65">
        <v>27</v>
      </c>
      <c r="G65">
        <v>88</v>
      </c>
    </row>
    <row r="66" spans="1:7">
      <c r="A66" t="s">
        <v>32</v>
      </c>
      <c r="B66" t="s">
        <v>4</v>
      </c>
      <c r="D66">
        <v>1</v>
      </c>
      <c r="F66">
        <v>4</v>
      </c>
      <c r="G66">
        <v>5</v>
      </c>
    </row>
    <row r="67" spans="1:7">
      <c r="B67" t="s">
        <v>5</v>
      </c>
      <c r="D67">
        <v>1</v>
      </c>
      <c r="F67">
        <v>3</v>
      </c>
      <c r="G67">
        <v>4</v>
      </c>
    </row>
    <row r="68" spans="1:7">
      <c r="B68" t="s">
        <v>6</v>
      </c>
      <c r="C68">
        <v>6</v>
      </c>
      <c r="D68">
        <v>8</v>
      </c>
      <c r="F68">
        <v>6</v>
      </c>
      <c r="G68">
        <v>20</v>
      </c>
    </row>
    <row r="69" spans="1:7">
      <c r="B69" t="s">
        <v>7</v>
      </c>
      <c r="F69">
        <v>1</v>
      </c>
      <c r="G69">
        <v>1</v>
      </c>
    </row>
    <row r="70" spans="1:7">
      <c r="B70" t="s">
        <v>8</v>
      </c>
      <c r="C70">
        <v>2</v>
      </c>
      <c r="F70">
        <v>9</v>
      </c>
      <c r="G70">
        <v>11</v>
      </c>
    </row>
    <row r="71" spans="1:7">
      <c r="B71" t="s">
        <v>9</v>
      </c>
      <c r="D71">
        <v>1</v>
      </c>
      <c r="F71">
        <v>5</v>
      </c>
      <c r="G71">
        <v>6</v>
      </c>
    </row>
    <row r="72" spans="1:7">
      <c r="B72" t="s">
        <v>10</v>
      </c>
      <c r="F72">
        <v>2</v>
      </c>
      <c r="G72">
        <v>2</v>
      </c>
    </row>
    <row r="73" spans="1:7">
      <c r="B73" t="s">
        <v>11</v>
      </c>
      <c r="D73">
        <v>2</v>
      </c>
      <c r="G73">
        <v>2</v>
      </c>
    </row>
    <row r="74" spans="1:7">
      <c r="B74" t="s">
        <v>13</v>
      </c>
      <c r="F74">
        <v>2</v>
      </c>
      <c r="G74">
        <v>2</v>
      </c>
    </row>
    <row r="75" spans="1:7">
      <c r="A75" t="s">
        <v>33</v>
      </c>
      <c r="C75">
        <v>8</v>
      </c>
      <c r="D75">
        <v>13</v>
      </c>
      <c r="F75">
        <v>32</v>
      </c>
      <c r="G75">
        <v>53</v>
      </c>
    </row>
    <row r="76" spans="1:7">
      <c r="A76" t="s">
        <v>20</v>
      </c>
      <c r="C76">
        <v>14</v>
      </c>
      <c r="D76">
        <v>48</v>
      </c>
      <c r="E76">
        <v>20</v>
      </c>
      <c r="F76">
        <v>59</v>
      </c>
      <c r="G76">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1618-66AA-4BEF-A5F1-F680A87F5116}">
  <sheetPr filterMode="1"/>
  <dimension ref="A1:X279"/>
  <sheetViews>
    <sheetView zoomScaleNormal="130" workbookViewId="0">
      <pane xSplit="6" ySplit="1" topLeftCell="G6" activePane="bottomRight" state="frozen"/>
      <selection pane="bottomRight" activeCell="E11" sqref="E11"/>
      <selection pane="bottomLeft" activeCell="A2" sqref="A2"/>
      <selection pane="topRight" activeCell="G1" sqref="G1"/>
    </sheetView>
  </sheetViews>
  <sheetFormatPr defaultRowHeight="15" customHeight="1"/>
  <cols>
    <col min="1" max="1" width="14.5703125" style="354" customWidth="1"/>
    <col min="2" max="2" width="9.140625" style="354" bestFit="1" customWidth="1"/>
    <col min="3" max="3" width="9.140625" style="354"/>
    <col min="4" max="5" width="18.5703125" style="354" customWidth="1"/>
    <col min="6" max="6" width="20.85546875" style="354" bestFit="1" customWidth="1"/>
    <col min="7" max="7" width="13.28515625" style="355" bestFit="1" customWidth="1"/>
    <col min="8" max="9" width="14.140625" style="355" customWidth="1"/>
    <col min="10" max="12" width="40.140625" style="355" customWidth="1"/>
    <col min="13" max="13" width="27.85546875" style="2" customWidth="1"/>
    <col min="14" max="14" width="34" style="2" customWidth="1"/>
    <col min="15" max="16" width="72.85546875" style="2" customWidth="1"/>
    <col min="17" max="17" width="39.7109375" style="2" customWidth="1"/>
    <col min="18" max="18" width="56.42578125" style="2" bestFit="1" customWidth="1"/>
    <col min="19" max="21" width="9.140625" style="2"/>
    <col min="16384" max="16384" width="9.140625" bestFit="1" customWidth="1"/>
  </cols>
  <sheetData>
    <row r="1" spans="1:21" s="402" customFormat="1" ht="29.1">
      <c r="A1" s="353" t="s">
        <v>14</v>
      </c>
      <c r="B1" s="353" t="s">
        <v>34</v>
      </c>
      <c r="C1" s="353" t="s">
        <v>35</v>
      </c>
      <c r="D1" s="353" t="s">
        <v>3</v>
      </c>
      <c r="E1" s="353" t="s">
        <v>36</v>
      </c>
      <c r="F1" s="353" t="s">
        <v>0</v>
      </c>
      <c r="G1" s="353" t="s">
        <v>37</v>
      </c>
      <c r="H1" s="353" t="s">
        <v>15</v>
      </c>
      <c r="I1" s="353" t="s">
        <v>38</v>
      </c>
      <c r="J1" s="353" t="s">
        <v>39</v>
      </c>
      <c r="K1" s="341" t="s">
        <v>40</v>
      </c>
      <c r="L1" s="341" t="s">
        <v>41</v>
      </c>
      <c r="M1" s="341" t="s">
        <v>42</v>
      </c>
      <c r="N1" s="341" t="s">
        <v>43</v>
      </c>
      <c r="O1" s="341" t="s">
        <v>44</v>
      </c>
      <c r="P1" s="341" t="s">
        <v>45</v>
      </c>
      <c r="Q1" s="341" t="s">
        <v>46</v>
      </c>
      <c r="R1" s="341" t="s">
        <v>47</v>
      </c>
      <c r="S1" s="401" t="s">
        <v>48</v>
      </c>
      <c r="T1" s="401" t="s">
        <v>49</v>
      </c>
      <c r="U1" s="401" t="s">
        <v>50</v>
      </c>
    </row>
    <row r="2" spans="1:21" ht="14.45" hidden="1">
      <c r="A2" s="354" t="s">
        <v>22</v>
      </c>
      <c r="B2" s="354">
        <v>1</v>
      </c>
      <c r="C2" s="354" t="s">
        <v>51</v>
      </c>
      <c r="D2" s="354" t="s">
        <v>17</v>
      </c>
      <c r="E2" s="354" t="s">
        <v>52</v>
      </c>
      <c r="F2" s="354" t="s">
        <v>53</v>
      </c>
      <c r="G2" s="355" t="s">
        <v>1</v>
      </c>
      <c r="H2" s="355" t="s">
        <v>9</v>
      </c>
      <c r="J2" s="355" t="s">
        <v>54</v>
      </c>
      <c r="L2" s="355" t="s">
        <v>55</v>
      </c>
      <c r="M2" s="2">
        <v>2025</v>
      </c>
      <c r="N2" s="2" t="s">
        <v>1</v>
      </c>
      <c r="O2" s="2" t="s">
        <v>56</v>
      </c>
      <c r="Q2" s="2" t="s">
        <v>1</v>
      </c>
      <c r="R2" s="2" t="s">
        <v>57</v>
      </c>
    </row>
    <row r="3" spans="1:21" ht="14.45" hidden="1">
      <c r="A3" s="354" t="s">
        <v>22</v>
      </c>
      <c r="B3" s="354">
        <v>2</v>
      </c>
      <c r="C3" s="354" t="s">
        <v>58</v>
      </c>
      <c r="D3" s="354" t="s">
        <v>17</v>
      </c>
      <c r="E3" s="354" t="s">
        <v>52</v>
      </c>
      <c r="F3" s="354" t="s">
        <v>53</v>
      </c>
      <c r="G3" s="355" t="s">
        <v>1</v>
      </c>
      <c r="H3" s="355" t="s">
        <v>9</v>
      </c>
      <c r="J3" s="355" t="s">
        <v>59</v>
      </c>
      <c r="L3" s="355" t="s">
        <v>60</v>
      </c>
      <c r="M3" s="2">
        <v>1</v>
      </c>
      <c r="N3" s="2" t="s">
        <v>1</v>
      </c>
      <c r="O3" s="2" t="s">
        <v>56</v>
      </c>
      <c r="Q3" s="2" t="s">
        <v>1</v>
      </c>
      <c r="R3" s="2" t="s">
        <v>57</v>
      </c>
    </row>
    <row r="4" spans="1:21" ht="14.45" hidden="1">
      <c r="A4" s="354" t="s">
        <v>22</v>
      </c>
      <c r="B4" s="354">
        <v>3</v>
      </c>
      <c r="C4" s="354" t="s">
        <v>61</v>
      </c>
      <c r="D4" s="354" t="s">
        <v>17</v>
      </c>
      <c r="E4" s="354" t="s">
        <v>52</v>
      </c>
      <c r="F4" s="354" t="s">
        <v>53</v>
      </c>
      <c r="G4" s="355" t="s">
        <v>1</v>
      </c>
      <c r="H4" s="355" t="s">
        <v>9</v>
      </c>
      <c r="J4" s="355" t="s">
        <v>62</v>
      </c>
      <c r="L4" s="355" t="s">
        <v>63</v>
      </c>
      <c r="M4" s="2">
        <v>2</v>
      </c>
      <c r="N4" s="2" t="s">
        <v>1</v>
      </c>
      <c r="O4" s="2" t="s">
        <v>56</v>
      </c>
      <c r="Q4" s="2" t="s">
        <v>1</v>
      </c>
      <c r="R4" s="2" t="s">
        <v>57</v>
      </c>
    </row>
    <row r="5" spans="1:21" ht="14.45" hidden="1">
      <c r="A5" s="354" t="s">
        <v>22</v>
      </c>
      <c r="B5" s="354">
        <v>4</v>
      </c>
      <c r="C5" s="354" t="s">
        <v>64</v>
      </c>
      <c r="D5" s="354" t="s">
        <v>17</v>
      </c>
      <c r="E5" s="354" t="s">
        <v>52</v>
      </c>
      <c r="F5" s="354" t="s">
        <v>53</v>
      </c>
      <c r="G5" s="355" t="s">
        <v>1</v>
      </c>
      <c r="H5" s="355" t="s">
        <v>9</v>
      </c>
      <c r="J5" s="355" t="s">
        <v>65</v>
      </c>
      <c r="L5" s="355" t="s">
        <v>66</v>
      </c>
      <c r="M5" s="2">
        <v>25</v>
      </c>
      <c r="N5" s="2" t="s">
        <v>1</v>
      </c>
      <c r="O5" s="2" t="s">
        <v>56</v>
      </c>
      <c r="Q5" s="2" t="s">
        <v>1</v>
      </c>
      <c r="R5" s="2" t="s">
        <v>57</v>
      </c>
    </row>
    <row r="6" spans="1:21" ht="14.45">
      <c r="A6" s="354" t="s">
        <v>22</v>
      </c>
      <c r="B6" s="354">
        <v>5</v>
      </c>
      <c r="C6" s="354" t="s">
        <v>67</v>
      </c>
      <c r="D6" s="354" t="s">
        <v>19</v>
      </c>
      <c r="E6" s="354" t="s">
        <v>68</v>
      </c>
      <c r="F6" s="354" t="s">
        <v>1</v>
      </c>
      <c r="G6" s="355" t="s">
        <v>1</v>
      </c>
      <c r="H6" s="355" t="s">
        <v>9</v>
      </c>
      <c r="J6" s="355" t="s">
        <v>69</v>
      </c>
      <c r="K6" s="356" t="s">
        <v>70</v>
      </c>
      <c r="L6" s="355" t="s">
        <v>71</v>
      </c>
      <c r="M6" s="4" t="s">
        <v>72</v>
      </c>
      <c r="N6" s="2" t="s">
        <v>1</v>
      </c>
      <c r="O6" s="2" t="s">
        <v>73</v>
      </c>
      <c r="Q6" s="2" t="s">
        <v>53</v>
      </c>
      <c r="R6" s="5">
        <v>1</v>
      </c>
      <c r="S6" s="3"/>
      <c r="T6" s="3"/>
      <c r="U6" s="3"/>
    </row>
    <row r="7" spans="1:21" ht="14.45">
      <c r="A7" s="354" t="s">
        <v>22</v>
      </c>
      <c r="B7" s="354">
        <v>6</v>
      </c>
      <c r="C7" s="354" t="s">
        <v>74</v>
      </c>
      <c r="D7" s="354" t="s">
        <v>19</v>
      </c>
      <c r="E7" s="354" t="s">
        <v>75</v>
      </c>
      <c r="F7" s="354" t="s">
        <v>53</v>
      </c>
      <c r="G7" s="355" t="s">
        <v>1</v>
      </c>
      <c r="H7" s="355" t="s">
        <v>76</v>
      </c>
      <c r="J7" s="355" t="s">
        <v>77</v>
      </c>
      <c r="L7" s="355" t="s">
        <v>78</v>
      </c>
      <c r="M7" s="2" t="s">
        <v>79</v>
      </c>
      <c r="N7" s="2" t="s">
        <v>1</v>
      </c>
      <c r="O7" s="2" t="s">
        <v>80</v>
      </c>
      <c r="Q7" s="2" t="s">
        <v>53</v>
      </c>
      <c r="R7" s="5">
        <v>1</v>
      </c>
      <c r="S7" s="3"/>
      <c r="T7" s="3"/>
      <c r="U7" s="3"/>
    </row>
    <row r="8" spans="1:21" ht="14.45">
      <c r="A8" s="354" t="s">
        <v>22</v>
      </c>
      <c r="B8" s="354">
        <v>7</v>
      </c>
      <c r="C8" s="354" t="s">
        <v>81</v>
      </c>
      <c r="D8" s="354" t="s">
        <v>19</v>
      </c>
      <c r="E8" s="354" t="s">
        <v>75</v>
      </c>
      <c r="F8" s="354" t="s">
        <v>53</v>
      </c>
      <c r="G8" s="355" t="s">
        <v>1</v>
      </c>
      <c r="H8" s="355" t="s">
        <v>11</v>
      </c>
      <c r="J8" s="355" t="s">
        <v>82</v>
      </c>
      <c r="L8" s="355" t="s">
        <v>83</v>
      </c>
      <c r="M8" s="2">
        <v>100</v>
      </c>
      <c r="N8" s="2" t="s">
        <v>1</v>
      </c>
      <c r="O8" s="2" t="s">
        <v>84</v>
      </c>
      <c r="Q8" s="2" t="s">
        <v>1</v>
      </c>
      <c r="S8" s="3"/>
      <c r="T8" s="3"/>
      <c r="U8" s="3"/>
    </row>
    <row r="9" spans="1:21" ht="14.45">
      <c r="A9" s="354" t="s">
        <v>22</v>
      </c>
      <c r="B9" s="354">
        <v>8</v>
      </c>
      <c r="C9" s="354" t="s">
        <v>85</v>
      </c>
      <c r="D9" s="354" t="s">
        <v>19</v>
      </c>
      <c r="E9" s="354" t="s">
        <v>75</v>
      </c>
      <c r="F9" s="354" t="s">
        <v>53</v>
      </c>
      <c r="G9" s="355" t="s">
        <v>1</v>
      </c>
      <c r="H9" s="355" t="s">
        <v>11</v>
      </c>
      <c r="J9" s="355" t="s">
        <v>86</v>
      </c>
      <c r="L9" s="355" t="s">
        <v>87</v>
      </c>
      <c r="M9" s="2">
        <v>181</v>
      </c>
      <c r="N9" s="2" t="s">
        <v>1</v>
      </c>
      <c r="O9" s="2" t="s">
        <v>84</v>
      </c>
      <c r="Q9" s="2" t="s">
        <v>1</v>
      </c>
      <c r="S9" s="3"/>
      <c r="T9" s="3"/>
      <c r="U9" s="3"/>
    </row>
    <row r="10" spans="1:21" ht="14.45">
      <c r="A10" s="354" t="s">
        <v>22</v>
      </c>
      <c r="B10" s="354">
        <v>9</v>
      </c>
      <c r="C10" s="354" t="s">
        <v>88</v>
      </c>
      <c r="D10" s="354" t="s">
        <v>19</v>
      </c>
      <c r="E10" s="354" t="s">
        <v>68</v>
      </c>
      <c r="F10" s="354" t="s">
        <v>53</v>
      </c>
      <c r="G10" s="355" t="s">
        <v>1</v>
      </c>
      <c r="H10" s="355" t="s">
        <v>11</v>
      </c>
      <c r="J10" s="355" t="s">
        <v>89</v>
      </c>
      <c r="L10" s="355" t="s">
        <v>90</v>
      </c>
      <c r="M10" s="2" t="s">
        <v>91</v>
      </c>
      <c r="N10" s="2" t="s">
        <v>1</v>
      </c>
      <c r="O10" s="2" t="s">
        <v>92</v>
      </c>
      <c r="Q10" s="2" t="s">
        <v>53</v>
      </c>
      <c r="R10" s="5">
        <v>1</v>
      </c>
      <c r="S10" s="3"/>
      <c r="T10" s="3"/>
      <c r="U10" s="3"/>
    </row>
    <row r="11" spans="1:21" ht="14.45">
      <c r="A11" s="354" t="s">
        <v>22</v>
      </c>
      <c r="B11" s="354">
        <v>10</v>
      </c>
      <c r="C11" s="354" t="s">
        <v>93</v>
      </c>
      <c r="D11" s="354" t="s">
        <v>19</v>
      </c>
      <c r="E11" s="354" t="s">
        <v>75</v>
      </c>
      <c r="F11" s="354" t="s">
        <v>53</v>
      </c>
      <c r="G11" s="355" t="s">
        <v>1</v>
      </c>
      <c r="H11" s="355" t="s">
        <v>11</v>
      </c>
      <c r="J11" s="355" t="s">
        <v>94</v>
      </c>
      <c r="L11" s="355" t="s">
        <v>95</v>
      </c>
      <c r="M11" s="2" t="s">
        <v>96</v>
      </c>
      <c r="N11" s="2" t="s">
        <v>1</v>
      </c>
      <c r="O11" s="2" t="s">
        <v>97</v>
      </c>
      <c r="Q11" s="2" t="s">
        <v>1</v>
      </c>
      <c r="S11" s="3"/>
      <c r="T11" s="3"/>
      <c r="U11" s="3"/>
    </row>
    <row r="12" spans="1:21" ht="14.45">
      <c r="A12" s="354" t="s">
        <v>22</v>
      </c>
      <c r="B12" s="354">
        <v>11</v>
      </c>
      <c r="C12" s="354" t="s">
        <v>98</v>
      </c>
      <c r="D12" s="354" t="s">
        <v>19</v>
      </c>
      <c r="E12" s="354" t="s">
        <v>75</v>
      </c>
      <c r="F12" s="354" t="s">
        <v>53</v>
      </c>
      <c r="G12" s="355" t="s">
        <v>1</v>
      </c>
      <c r="H12" s="355" t="s">
        <v>11</v>
      </c>
      <c r="J12" s="355" t="s">
        <v>99</v>
      </c>
      <c r="L12" s="355" t="s">
        <v>100</v>
      </c>
      <c r="M12" s="2" t="s">
        <v>101</v>
      </c>
      <c r="N12" s="2" t="s">
        <v>1</v>
      </c>
      <c r="O12" s="2" t="s">
        <v>102</v>
      </c>
      <c r="Q12" s="2" t="s">
        <v>1</v>
      </c>
      <c r="S12" s="3"/>
      <c r="T12" s="3"/>
      <c r="U12" s="3"/>
    </row>
    <row r="13" spans="1:21" ht="14.45" hidden="1">
      <c r="A13" s="354" t="s">
        <v>22</v>
      </c>
      <c r="B13" s="354">
        <v>12</v>
      </c>
      <c r="C13" s="354" t="s">
        <v>103</v>
      </c>
      <c r="D13" s="354" t="s">
        <v>104</v>
      </c>
      <c r="E13" s="354" t="s">
        <v>75</v>
      </c>
      <c r="F13" s="354" t="s">
        <v>53</v>
      </c>
      <c r="G13" s="355" t="s">
        <v>1</v>
      </c>
      <c r="H13" s="355" t="s">
        <v>11</v>
      </c>
      <c r="J13" s="355" t="s">
        <v>105</v>
      </c>
      <c r="L13" s="355" t="s">
        <v>106</v>
      </c>
      <c r="M13" s="2" t="s">
        <v>107</v>
      </c>
      <c r="N13" s="2" t="s">
        <v>1</v>
      </c>
      <c r="O13" s="2" t="s">
        <v>92</v>
      </c>
      <c r="Q13" s="2" t="s">
        <v>1</v>
      </c>
    </row>
    <row r="14" spans="1:21" ht="72">
      <c r="A14" s="354" t="s">
        <v>22</v>
      </c>
      <c r="B14" s="354">
        <v>13</v>
      </c>
      <c r="C14" s="354" t="s">
        <v>108</v>
      </c>
      <c r="D14" s="354" t="s">
        <v>19</v>
      </c>
      <c r="E14" s="354" t="s">
        <v>68</v>
      </c>
      <c r="F14" s="354" t="s">
        <v>1</v>
      </c>
      <c r="G14" s="355" t="s">
        <v>1</v>
      </c>
      <c r="H14" s="355" t="s">
        <v>6</v>
      </c>
      <c r="J14" s="355" t="s">
        <v>109</v>
      </c>
      <c r="K14" s="357" t="s">
        <v>110</v>
      </c>
      <c r="L14" s="355" t="s">
        <v>111</v>
      </c>
      <c r="M14" s="2">
        <v>5770</v>
      </c>
      <c r="N14" s="2" t="s">
        <v>1</v>
      </c>
      <c r="O14" s="315" t="s">
        <v>112</v>
      </c>
      <c r="Q14" s="2" t="s">
        <v>53</v>
      </c>
      <c r="R14" s="5">
        <v>1</v>
      </c>
      <c r="S14" s="3"/>
      <c r="T14" s="3"/>
      <c r="U14" s="3"/>
    </row>
    <row r="15" spans="1:21" ht="72">
      <c r="A15" s="354" t="s">
        <v>22</v>
      </c>
      <c r="B15" s="354">
        <v>14</v>
      </c>
      <c r="C15" s="354" t="s">
        <v>113</v>
      </c>
      <c r="D15" s="354" t="s">
        <v>19</v>
      </c>
      <c r="E15" s="354" t="s">
        <v>68</v>
      </c>
      <c r="F15" s="354" t="s">
        <v>1</v>
      </c>
      <c r="G15" s="355" t="s">
        <v>1</v>
      </c>
      <c r="H15" s="355" t="s">
        <v>6</v>
      </c>
      <c r="J15" s="355" t="s">
        <v>114</v>
      </c>
      <c r="K15" s="357" t="s">
        <v>110</v>
      </c>
      <c r="L15" s="355" t="s">
        <v>115</v>
      </c>
      <c r="M15" s="2">
        <v>5772</v>
      </c>
      <c r="N15" s="2" t="s">
        <v>1</v>
      </c>
      <c r="O15" s="315" t="s">
        <v>116</v>
      </c>
      <c r="P15" s="2" t="s">
        <v>117</v>
      </c>
      <c r="Q15" s="2" t="s">
        <v>53</v>
      </c>
      <c r="R15" s="5">
        <v>1</v>
      </c>
      <c r="S15" s="3"/>
      <c r="T15" s="3"/>
      <c r="U15" s="3"/>
    </row>
    <row r="16" spans="1:21" ht="60">
      <c r="A16" s="354" t="s">
        <v>22</v>
      </c>
      <c r="B16" s="354">
        <v>17</v>
      </c>
      <c r="C16" s="354" t="s">
        <v>118</v>
      </c>
      <c r="D16" s="354" t="s">
        <v>19</v>
      </c>
      <c r="E16" s="354" t="s">
        <v>68</v>
      </c>
      <c r="F16" s="354" t="s">
        <v>1</v>
      </c>
      <c r="G16" s="355" t="s">
        <v>1</v>
      </c>
      <c r="H16" s="355" t="s">
        <v>9</v>
      </c>
      <c r="J16" s="355" t="s">
        <v>119</v>
      </c>
      <c r="K16" s="358" t="s">
        <v>120</v>
      </c>
      <c r="L16" s="355" t="s">
        <v>121</v>
      </c>
      <c r="M16" s="4">
        <v>45870.988194444442</v>
      </c>
      <c r="N16" s="2" t="s">
        <v>1</v>
      </c>
      <c r="O16" s="2" t="s">
        <v>56</v>
      </c>
      <c r="Q16" s="2" t="s">
        <v>53</v>
      </c>
      <c r="R16" s="5">
        <v>1</v>
      </c>
      <c r="S16" s="3"/>
      <c r="T16" s="3"/>
      <c r="U16" s="3"/>
    </row>
    <row r="17" spans="1:21" ht="60">
      <c r="A17" s="354" t="s">
        <v>22</v>
      </c>
      <c r="B17" s="354">
        <v>18</v>
      </c>
      <c r="C17" s="354" t="s">
        <v>122</v>
      </c>
      <c r="D17" s="354" t="s">
        <v>19</v>
      </c>
      <c r="E17" s="354" t="s">
        <v>68</v>
      </c>
      <c r="F17" s="354" t="s">
        <v>1</v>
      </c>
      <c r="G17" s="355" t="s">
        <v>1</v>
      </c>
      <c r="H17" s="355" t="s">
        <v>9</v>
      </c>
      <c r="J17" s="355" t="s">
        <v>123</v>
      </c>
      <c r="K17" s="359" t="s">
        <v>120</v>
      </c>
      <c r="L17" s="355" t="s">
        <v>124</v>
      </c>
      <c r="M17" s="4">
        <v>45870.900694444441</v>
      </c>
      <c r="N17" s="2" t="s">
        <v>1</v>
      </c>
      <c r="O17" s="2" t="s">
        <v>56</v>
      </c>
      <c r="Q17" s="2" t="s">
        <v>1</v>
      </c>
      <c r="R17" s="5">
        <v>1</v>
      </c>
      <c r="S17" s="3"/>
      <c r="T17" s="3"/>
      <c r="U17" s="3"/>
    </row>
    <row r="18" spans="1:21" ht="14.45">
      <c r="A18" s="354" t="s">
        <v>22</v>
      </c>
      <c r="B18" s="354">
        <v>19</v>
      </c>
      <c r="C18" s="354" t="s">
        <v>125</v>
      </c>
      <c r="D18" s="354" t="s">
        <v>19</v>
      </c>
      <c r="E18" s="354" t="s">
        <v>68</v>
      </c>
      <c r="F18" s="354" t="s">
        <v>53</v>
      </c>
      <c r="G18" s="355" t="s">
        <v>1</v>
      </c>
      <c r="H18" s="355" t="s">
        <v>11</v>
      </c>
      <c r="J18" s="355" t="s">
        <v>126</v>
      </c>
      <c r="L18" s="355" t="s">
        <v>127</v>
      </c>
      <c r="M18" s="2">
        <v>942442</v>
      </c>
      <c r="N18" s="2" t="s">
        <v>1</v>
      </c>
      <c r="O18" s="2" t="s">
        <v>128</v>
      </c>
      <c r="Q18" s="2" t="s">
        <v>53</v>
      </c>
      <c r="R18" s="5">
        <v>1</v>
      </c>
      <c r="S18" s="3"/>
      <c r="T18" s="3"/>
      <c r="U18" s="3"/>
    </row>
    <row r="19" spans="1:21" ht="120">
      <c r="A19" s="354" t="s">
        <v>22</v>
      </c>
      <c r="B19" s="354">
        <v>20</v>
      </c>
      <c r="C19" s="354" t="s">
        <v>129</v>
      </c>
      <c r="D19" s="354" t="s">
        <v>19</v>
      </c>
      <c r="E19" s="354" t="s">
        <v>68</v>
      </c>
      <c r="F19" s="354" t="s">
        <v>1</v>
      </c>
      <c r="G19" s="355" t="s">
        <v>1</v>
      </c>
      <c r="H19" s="355" t="s">
        <v>8</v>
      </c>
      <c r="J19" s="355" t="s">
        <v>130</v>
      </c>
      <c r="K19" s="358" t="s">
        <v>131</v>
      </c>
      <c r="L19" s="355" t="s">
        <v>132</v>
      </c>
      <c r="M19" s="2">
        <v>7.9859999999999998</v>
      </c>
      <c r="N19" s="2" t="s">
        <v>1</v>
      </c>
      <c r="O19" s="2" t="s">
        <v>133</v>
      </c>
      <c r="Q19" s="2" t="s">
        <v>1</v>
      </c>
      <c r="R19" s="5">
        <v>1</v>
      </c>
      <c r="S19" s="3"/>
      <c r="T19" s="3"/>
      <c r="U19" s="3"/>
    </row>
    <row r="20" spans="1:21" ht="24">
      <c r="A20" s="354" t="s">
        <v>22</v>
      </c>
      <c r="B20" s="354">
        <v>21</v>
      </c>
      <c r="C20" s="354" t="s">
        <v>134</v>
      </c>
      <c r="D20" s="354" t="s">
        <v>19</v>
      </c>
      <c r="E20" s="354" t="s">
        <v>68</v>
      </c>
      <c r="F20" s="354" t="s">
        <v>1</v>
      </c>
      <c r="G20" s="355" t="s">
        <v>1</v>
      </c>
      <c r="H20" s="355" t="s">
        <v>8</v>
      </c>
      <c r="J20" s="355" t="s">
        <v>135</v>
      </c>
      <c r="K20" s="359" t="s">
        <v>136</v>
      </c>
      <c r="L20" s="355" t="s">
        <v>137</v>
      </c>
      <c r="M20" s="2">
        <v>16043.874</v>
      </c>
      <c r="N20" s="2" t="s">
        <v>1</v>
      </c>
      <c r="O20" s="2" t="s">
        <v>138</v>
      </c>
      <c r="S20" s="3"/>
      <c r="T20" s="3"/>
      <c r="U20" s="3"/>
    </row>
    <row r="21" spans="1:21" ht="14.45" hidden="1">
      <c r="A21" s="354" t="s">
        <v>22</v>
      </c>
      <c r="B21" s="354">
        <v>22</v>
      </c>
      <c r="C21" s="354" t="s">
        <v>139</v>
      </c>
      <c r="D21" s="354" t="s">
        <v>18</v>
      </c>
      <c r="E21" s="354" t="s">
        <v>68</v>
      </c>
      <c r="F21" s="354" t="s">
        <v>1</v>
      </c>
      <c r="G21" s="355" t="s">
        <v>1</v>
      </c>
      <c r="H21" s="355" t="s">
        <v>5</v>
      </c>
      <c r="J21" s="355" t="s">
        <v>140</v>
      </c>
      <c r="K21" s="355" t="s">
        <v>141</v>
      </c>
      <c r="L21" s="355" t="s">
        <v>142</v>
      </c>
      <c r="M21" s="2" t="s">
        <v>143</v>
      </c>
      <c r="N21" s="2" t="s">
        <v>1</v>
      </c>
      <c r="O21" s="2" t="s">
        <v>144</v>
      </c>
      <c r="Q21" s="2" t="s">
        <v>53</v>
      </c>
      <c r="S21" s="3"/>
      <c r="T21" s="3"/>
      <c r="U21" s="3"/>
    </row>
    <row r="22" spans="1:21" ht="14.45" hidden="1">
      <c r="A22" s="354" t="s">
        <v>22</v>
      </c>
      <c r="B22" s="354">
        <v>23</v>
      </c>
      <c r="C22" s="354" t="s">
        <v>145</v>
      </c>
      <c r="D22" s="354" t="s">
        <v>18</v>
      </c>
      <c r="E22" s="354" t="s">
        <v>68</v>
      </c>
      <c r="F22" s="354" t="s">
        <v>1</v>
      </c>
      <c r="G22" s="355" t="s">
        <v>1</v>
      </c>
      <c r="H22" s="355" t="s">
        <v>5</v>
      </c>
      <c r="J22" s="355" t="s">
        <v>146</v>
      </c>
      <c r="K22" s="355" t="s">
        <v>147</v>
      </c>
      <c r="L22" s="355" t="s">
        <v>148</v>
      </c>
      <c r="M22" s="2" t="s">
        <v>149</v>
      </c>
      <c r="N22" s="2" t="s">
        <v>1</v>
      </c>
      <c r="O22" s="2" t="s">
        <v>138</v>
      </c>
      <c r="Q22" s="2" t="s">
        <v>53</v>
      </c>
      <c r="S22" s="3"/>
      <c r="T22" s="3"/>
      <c r="U22" s="3"/>
    </row>
    <row r="23" spans="1:21" ht="14.45">
      <c r="A23" s="354" t="s">
        <v>22</v>
      </c>
      <c r="B23" s="354">
        <v>25</v>
      </c>
      <c r="C23" s="354" t="s">
        <v>150</v>
      </c>
      <c r="D23" s="354" t="s">
        <v>19</v>
      </c>
      <c r="E23" s="354" t="s">
        <v>68</v>
      </c>
      <c r="F23" s="354" t="s">
        <v>1</v>
      </c>
      <c r="G23" s="355" t="s">
        <v>1</v>
      </c>
      <c r="H23" s="355" t="s">
        <v>13</v>
      </c>
      <c r="J23" s="355" t="s">
        <v>151</v>
      </c>
      <c r="K23" s="356" t="s">
        <v>152</v>
      </c>
      <c r="L23" s="355" t="s">
        <v>153</v>
      </c>
      <c r="M23" s="2">
        <v>424</v>
      </c>
      <c r="N23" s="2" t="s">
        <v>1</v>
      </c>
      <c r="O23" s="2" t="s">
        <v>154</v>
      </c>
      <c r="Q23" s="2" t="s">
        <v>1</v>
      </c>
      <c r="S23" s="3"/>
      <c r="T23" s="3"/>
      <c r="U23" s="3"/>
    </row>
    <row r="24" spans="1:21" ht="48">
      <c r="A24" s="354" t="s">
        <v>22</v>
      </c>
      <c r="B24" s="354">
        <v>25</v>
      </c>
      <c r="C24" s="354" t="s">
        <v>155</v>
      </c>
      <c r="D24" s="354" t="s">
        <v>19</v>
      </c>
      <c r="E24" s="354" t="s">
        <v>68</v>
      </c>
      <c r="F24" s="354" t="s">
        <v>1</v>
      </c>
      <c r="G24" s="355" t="s">
        <v>1</v>
      </c>
      <c r="H24" s="355" t="s">
        <v>13</v>
      </c>
      <c r="J24" s="355" t="s">
        <v>156</v>
      </c>
      <c r="K24" s="357" t="s">
        <v>157</v>
      </c>
      <c r="L24" s="355" t="s">
        <v>158</v>
      </c>
      <c r="M24" s="2">
        <v>1598.45</v>
      </c>
      <c r="N24" s="2" t="s">
        <v>1</v>
      </c>
      <c r="O24" s="2" t="s">
        <v>159</v>
      </c>
      <c r="Q24" s="2" t="s">
        <v>1</v>
      </c>
      <c r="S24" s="3"/>
      <c r="T24" s="3"/>
      <c r="U24" s="3"/>
    </row>
    <row r="25" spans="1:21" ht="14.45">
      <c r="A25" s="354" t="s">
        <v>22</v>
      </c>
      <c r="B25" s="354">
        <v>26</v>
      </c>
      <c r="C25" s="354" t="s">
        <v>160</v>
      </c>
      <c r="D25" s="354" t="s">
        <v>19</v>
      </c>
      <c r="E25" s="354" t="s">
        <v>68</v>
      </c>
      <c r="F25" s="354" t="s">
        <v>1</v>
      </c>
      <c r="G25" s="355" t="s">
        <v>1</v>
      </c>
      <c r="H25" s="355" t="s">
        <v>9</v>
      </c>
      <c r="J25" s="355" t="s">
        <v>161</v>
      </c>
      <c r="K25" s="356" t="s">
        <v>162</v>
      </c>
      <c r="L25" s="355" t="s">
        <v>163</v>
      </c>
      <c r="M25" s="2">
        <v>2</v>
      </c>
      <c r="N25" s="2" t="s">
        <v>1</v>
      </c>
      <c r="O25" s="2" t="s">
        <v>164</v>
      </c>
      <c r="Q25" s="2" t="s">
        <v>1</v>
      </c>
      <c r="R25" s="5">
        <v>1</v>
      </c>
      <c r="S25" s="3"/>
      <c r="T25" s="3"/>
      <c r="U25" s="3"/>
    </row>
    <row r="26" spans="1:21" ht="14.45">
      <c r="A26" s="354" t="s">
        <v>22</v>
      </c>
      <c r="B26" s="354">
        <v>27</v>
      </c>
      <c r="C26" s="354" t="s">
        <v>165</v>
      </c>
      <c r="D26" s="354" t="s">
        <v>19</v>
      </c>
      <c r="E26" s="354" t="s">
        <v>68</v>
      </c>
      <c r="F26" s="354" t="s">
        <v>1</v>
      </c>
      <c r="G26" s="355" t="s">
        <v>1</v>
      </c>
      <c r="H26" s="355" t="s">
        <v>9</v>
      </c>
      <c r="J26" s="355" t="s">
        <v>166</v>
      </c>
      <c r="K26" s="356" t="s">
        <v>162</v>
      </c>
      <c r="L26" s="355" t="s">
        <v>167</v>
      </c>
      <c r="M26" s="2">
        <v>6.02</v>
      </c>
      <c r="N26" s="2" t="s">
        <v>1</v>
      </c>
      <c r="O26" s="2" t="s">
        <v>168</v>
      </c>
      <c r="Q26" s="2" t="s">
        <v>1</v>
      </c>
      <c r="R26" s="5">
        <v>1</v>
      </c>
      <c r="S26" s="3"/>
      <c r="T26" s="3"/>
      <c r="U26" s="3"/>
    </row>
    <row r="27" spans="1:21" ht="14.45">
      <c r="A27" s="354" t="s">
        <v>22</v>
      </c>
      <c r="B27" s="354">
        <v>28</v>
      </c>
      <c r="C27" s="354" t="s">
        <v>169</v>
      </c>
      <c r="D27" s="354" t="s">
        <v>19</v>
      </c>
      <c r="E27" s="354" t="s">
        <v>68</v>
      </c>
      <c r="F27" s="354" t="s">
        <v>1</v>
      </c>
      <c r="G27" s="355" t="s">
        <v>1</v>
      </c>
      <c r="H27" s="355" t="s">
        <v>8</v>
      </c>
      <c r="J27" s="355" t="s">
        <v>170</v>
      </c>
      <c r="K27" s="359" t="s">
        <v>171</v>
      </c>
      <c r="L27" s="355" t="s">
        <v>172</v>
      </c>
      <c r="M27" s="2">
        <v>167.70599999999999</v>
      </c>
      <c r="N27" s="2" t="s">
        <v>1</v>
      </c>
      <c r="O27" s="2" t="s">
        <v>133</v>
      </c>
      <c r="Q27" s="2" t="s">
        <v>1</v>
      </c>
      <c r="R27" s="5">
        <v>1</v>
      </c>
      <c r="S27" s="3"/>
      <c r="T27" s="3"/>
      <c r="U27" s="3"/>
    </row>
    <row r="28" spans="1:21" ht="60">
      <c r="A28" s="354" t="s">
        <v>22</v>
      </c>
      <c r="B28" s="354">
        <v>29</v>
      </c>
      <c r="C28" s="354" t="s">
        <v>173</v>
      </c>
      <c r="D28" s="354" t="s">
        <v>19</v>
      </c>
      <c r="E28" s="354" t="s">
        <v>68</v>
      </c>
      <c r="F28" s="354" t="s">
        <v>1</v>
      </c>
      <c r="G28" s="355" t="s">
        <v>1</v>
      </c>
      <c r="H28" s="355" t="s">
        <v>10</v>
      </c>
      <c r="J28" s="355" t="s">
        <v>174</v>
      </c>
      <c r="K28" s="357" t="s">
        <v>175</v>
      </c>
      <c r="L28" s="355" t="s">
        <v>176</v>
      </c>
      <c r="M28" s="2">
        <v>9379.1579999999994</v>
      </c>
      <c r="N28" s="2" t="s">
        <v>1</v>
      </c>
      <c r="O28" s="2" t="s">
        <v>177</v>
      </c>
      <c r="Q28" s="2" t="s">
        <v>1</v>
      </c>
      <c r="S28" s="3"/>
      <c r="T28" s="3"/>
      <c r="U28" s="3"/>
    </row>
    <row r="29" spans="1:21" ht="252">
      <c r="A29" s="354" t="s">
        <v>22</v>
      </c>
      <c r="B29" s="354">
        <v>30</v>
      </c>
      <c r="C29" s="354" t="s">
        <v>178</v>
      </c>
      <c r="D29" s="354" t="s">
        <v>19</v>
      </c>
      <c r="E29" s="354" t="s">
        <v>68</v>
      </c>
      <c r="F29" s="354" t="s">
        <v>1</v>
      </c>
      <c r="G29" s="355" t="s">
        <v>1</v>
      </c>
      <c r="H29" s="355" t="s">
        <v>10</v>
      </c>
      <c r="I29" s="355" t="s">
        <v>179</v>
      </c>
      <c r="J29" s="355" t="s">
        <v>180</v>
      </c>
      <c r="K29" s="358" t="s">
        <v>181</v>
      </c>
      <c r="L29" s="355" t="s">
        <v>182</v>
      </c>
      <c r="M29" s="2">
        <v>25423.031999999999</v>
      </c>
      <c r="N29" s="2" t="s">
        <v>1</v>
      </c>
      <c r="O29" s="2" t="s">
        <v>183</v>
      </c>
      <c r="Q29" s="2" t="s">
        <v>1</v>
      </c>
      <c r="S29" s="3"/>
      <c r="T29" s="3"/>
      <c r="U29" s="3"/>
    </row>
    <row r="30" spans="1:21" ht="14.45">
      <c r="A30" s="354" t="s">
        <v>22</v>
      </c>
      <c r="B30" s="354">
        <v>31</v>
      </c>
      <c r="C30" s="354" t="s">
        <v>184</v>
      </c>
      <c r="D30" s="354" t="s">
        <v>19</v>
      </c>
      <c r="E30" s="354" t="s">
        <v>75</v>
      </c>
      <c r="F30" s="354" t="s">
        <v>53</v>
      </c>
      <c r="G30" s="355" t="s">
        <v>1</v>
      </c>
      <c r="H30" s="355" t="s">
        <v>10</v>
      </c>
      <c r="J30" s="355" t="s">
        <v>185</v>
      </c>
      <c r="L30" s="355" t="s">
        <v>186</v>
      </c>
      <c r="M30" s="2">
        <v>0</v>
      </c>
      <c r="N30" s="2" t="s">
        <v>1</v>
      </c>
      <c r="O30" s="2" t="s">
        <v>177</v>
      </c>
      <c r="Q30" s="2" t="s">
        <v>1</v>
      </c>
      <c r="S30" s="3"/>
      <c r="T30" s="3"/>
      <c r="U30" s="3"/>
    </row>
    <row r="31" spans="1:21" ht="14.45">
      <c r="A31" s="354" t="s">
        <v>22</v>
      </c>
      <c r="B31" s="354">
        <v>32</v>
      </c>
      <c r="C31" s="354" t="s">
        <v>187</v>
      </c>
      <c r="D31" s="354" t="s">
        <v>19</v>
      </c>
      <c r="E31" s="354" t="s">
        <v>68</v>
      </c>
      <c r="F31" s="354" t="s">
        <v>1</v>
      </c>
      <c r="G31" s="355" t="s">
        <v>1</v>
      </c>
      <c r="H31" s="355" t="s">
        <v>10</v>
      </c>
      <c r="J31" s="355" t="s">
        <v>188</v>
      </c>
      <c r="K31" s="355" t="s">
        <v>189</v>
      </c>
      <c r="L31" s="355" t="s">
        <v>190</v>
      </c>
      <c r="M31" s="2">
        <v>3386.0639999999999</v>
      </c>
      <c r="N31" s="2" t="s">
        <v>1</v>
      </c>
      <c r="O31" s="2" t="s">
        <v>177</v>
      </c>
      <c r="Q31" s="2" t="s">
        <v>1</v>
      </c>
      <c r="S31" s="3"/>
      <c r="T31" s="3"/>
      <c r="U31" s="3"/>
    </row>
    <row r="32" spans="1:21" ht="24">
      <c r="A32" s="354" t="s">
        <v>22</v>
      </c>
      <c r="B32" s="354">
        <v>33</v>
      </c>
      <c r="C32" s="354" t="s">
        <v>191</v>
      </c>
      <c r="D32" s="354" t="s">
        <v>19</v>
      </c>
      <c r="E32" s="354" t="s">
        <v>68</v>
      </c>
      <c r="F32" s="354" t="s">
        <v>1</v>
      </c>
      <c r="G32" s="355" t="s">
        <v>1</v>
      </c>
      <c r="H32" s="355" t="s">
        <v>8</v>
      </c>
      <c r="J32" s="355" t="s">
        <v>192</v>
      </c>
      <c r="K32" s="357" t="s">
        <v>193</v>
      </c>
      <c r="L32" s="355" t="s">
        <v>194</v>
      </c>
      <c r="M32" s="2">
        <v>167.70599999999999</v>
      </c>
      <c r="N32" s="2" t="s">
        <v>1</v>
      </c>
      <c r="O32" s="2" t="s">
        <v>195</v>
      </c>
      <c r="Q32" s="2" t="s">
        <v>1</v>
      </c>
      <c r="S32" s="3"/>
      <c r="T32" s="3"/>
      <c r="U32" s="3"/>
    </row>
    <row r="33" spans="1:21" ht="24">
      <c r="A33" s="354" t="s">
        <v>22</v>
      </c>
      <c r="B33" s="354">
        <v>34</v>
      </c>
      <c r="C33" s="354" t="s">
        <v>196</v>
      </c>
      <c r="D33" s="354" t="s">
        <v>19</v>
      </c>
      <c r="E33" s="354" t="s">
        <v>68</v>
      </c>
      <c r="F33" s="354" t="s">
        <v>1</v>
      </c>
      <c r="G33" s="355" t="s">
        <v>1</v>
      </c>
      <c r="H33" s="355" t="s">
        <v>8</v>
      </c>
      <c r="J33" s="355" t="s">
        <v>197</v>
      </c>
      <c r="K33" s="357" t="s">
        <v>198</v>
      </c>
      <c r="L33" s="355" t="s">
        <v>199</v>
      </c>
      <c r="M33" s="2">
        <v>0</v>
      </c>
      <c r="N33" s="2" t="s">
        <v>1</v>
      </c>
      <c r="O33" s="2" t="s">
        <v>195</v>
      </c>
      <c r="Q33" s="2" t="s">
        <v>1</v>
      </c>
      <c r="S33" s="3"/>
      <c r="T33" s="3"/>
      <c r="U33" s="3"/>
    </row>
    <row r="34" spans="1:21" ht="14.45">
      <c r="A34" s="354" t="s">
        <v>22</v>
      </c>
      <c r="B34" s="354">
        <v>35</v>
      </c>
      <c r="C34" s="354" t="s">
        <v>200</v>
      </c>
      <c r="D34" s="354" t="s">
        <v>19</v>
      </c>
      <c r="E34" s="354" t="s">
        <v>68</v>
      </c>
      <c r="F34" s="354" t="s">
        <v>1</v>
      </c>
      <c r="G34" s="355" t="s">
        <v>1</v>
      </c>
      <c r="H34" s="355" t="s">
        <v>8</v>
      </c>
      <c r="J34" s="355" t="s">
        <v>201</v>
      </c>
      <c r="K34" s="357" t="s">
        <v>202</v>
      </c>
      <c r="L34" s="355" t="s">
        <v>203</v>
      </c>
      <c r="M34" s="2">
        <v>15.972</v>
      </c>
      <c r="N34" s="2" t="s">
        <v>1</v>
      </c>
      <c r="O34" s="2" t="s">
        <v>204</v>
      </c>
      <c r="Q34" s="2" t="s">
        <v>1</v>
      </c>
      <c r="S34" s="3"/>
      <c r="T34" s="3"/>
      <c r="U34" s="3"/>
    </row>
    <row r="35" spans="1:21" ht="29.1">
      <c r="A35" s="354" t="s">
        <v>22</v>
      </c>
      <c r="B35" s="354">
        <v>36</v>
      </c>
      <c r="C35" s="354" t="s">
        <v>205</v>
      </c>
      <c r="D35" s="354" t="s">
        <v>19</v>
      </c>
      <c r="E35" s="354" t="s">
        <v>68</v>
      </c>
      <c r="F35" s="354" t="s">
        <v>53</v>
      </c>
      <c r="G35" s="355" t="s">
        <v>1</v>
      </c>
      <c r="H35" s="355" t="s">
        <v>8</v>
      </c>
      <c r="J35" s="355" t="s">
        <v>206</v>
      </c>
      <c r="K35" s="357"/>
      <c r="L35" s="355" t="s">
        <v>207</v>
      </c>
      <c r="M35" s="2">
        <v>0</v>
      </c>
      <c r="N35" s="2" t="s">
        <v>1</v>
      </c>
      <c r="O35" s="256" t="s">
        <v>204</v>
      </c>
      <c r="Q35" s="2" t="s">
        <v>1</v>
      </c>
      <c r="R35" s="2" t="s">
        <v>208</v>
      </c>
      <c r="S35" s="3"/>
      <c r="T35" s="3"/>
      <c r="U35" s="3"/>
    </row>
    <row r="36" spans="1:21" ht="24">
      <c r="A36" s="354" t="s">
        <v>22</v>
      </c>
      <c r="B36" s="354">
        <v>37</v>
      </c>
      <c r="C36" s="354" t="s">
        <v>209</v>
      </c>
      <c r="D36" s="354" t="s">
        <v>19</v>
      </c>
      <c r="E36" s="354" t="s">
        <v>68</v>
      </c>
      <c r="F36" s="354" t="s">
        <v>1</v>
      </c>
      <c r="G36" s="355" t="s">
        <v>1</v>
      </c>
      <c r="H36" s="355" t="s">
        <v>8</v>
      </c>
      <c r="J36" s="355" t="s">
        <v>210</v>
      </c>
      <c r="K36" s="358" t="s">
        <v>211</v>
      </c>
      <c r="L36" s="355" t="s">
        <v>212</v>
      </c>
      <c r="M36" s="2">
        <v>0</v>
      </c>
      <c r="N36" s="2" t="s">
        <v>1</v>
      </c>
      <c r="O36" s="2" t="s">
        <v>204</v>
      </c>
      <c r="Q36" s="2" t="s">
        <v>1</v>
      </c>
      <c r="R36" s="2" t="s">
        <v>208</v>
      </c>
      <c r="S36" s="3"/>
      <c r="T36" s="3"/>
      <c r="U36" s="3"/>
    </row>
    <row r="37" spans="1:21" ht="24">
      <c r="A37" s="354" t="s">
        <v>22</v>
      </c>
      <c r="B37" s="354">
        <v>38</v>
      </c>
      <c r="C37" s="354" t="s">
        <v>213</v>
      </c>
      <c r="D37" s="354" t="s">
        <v>19</v>
      </c>
      <c r="E37" s="354" t="s">
        <v>68</v>
      </c>
      <c r="F37" s="354" t="s">
        <v>1</v>
      </c>
      <c r="G37" s="355" t="s">
        <v>1</v>
      </c>
      <c r="H37" s="355" t="s">
        <v>8</v>
      </c>
      <c r="J37" s="355" t="s">
        <v>214</v>
      </c>
      <c r="K37" s="358" t="s">
        <v>215</v>
      </c>
      <c r="L37" s="355" t="s">
        <v>216</v>
      </c>
      <c r="M37" s="2">
        <v>0</v>
      </c>
      <c r="N37" s="2" t="s">
        <v>1</v>
      </c>
      <c r="O37" s="2" t="s">
        <v>217</v>
      </c>
      <c r="Q37" s="2" t="s">
        <v>1</v>
      </c>
      <c r="S37" s="3"/>
      <c r="T37" s="3"/>
      <c r="U37" s="3"/>
    </row>
    <row r="38" spans="1:21" ht="14.45">
      <c r="A38" s="354" t="s">
        <v>22</v>
      </c>
      <c r="B38" s="354">
        <v>39</v>
      </c>
      <c r="C38" s="354" t="s">
        <v>218</v>
      </c>
      <c r="D38" s="354" t="s">
        <v>19</v>
      </c>
      <c r="E38" s="354" t="s">
        <v>52</v>
      </c>
      <c r="F38" s="354" t="s">
        <v>53</v>
      </c>
      <c r="G38" s="355" t="s">
        <v>219</v>
      </c>
      <c r="H38" s="355" t="s">
        <v>8</v>
      </c>
      <c r="J38" s="355" t="s">
        <v>220</v>
      </c>
      <c r="K38" s="357"/>
      <c r="L38" s="355" t="s">
        <v>221</v>
      </c>
      <c r="M38" s="2">
        <v>0</v>
      </c>
      <c r="N38" s="2" t="s">
        <v>1</v>
      </c>
      <c r="O38" s="2" t="s">
        <v>222</v>
      </c>
      <c r="Q38" s="2" t="s">
        <v>1</v>
      </c>
      <c r="S38" s="3"/>
      <c r="T38" s="3"/>
      <c r="U38" s="3"/>
    </row>
    <row r="39" spans="1:21" ht="14.45">
      <c r="A39" s="354" t="s">
        <v>22</v>
      </c>
      <c r="B39" s="354">
        <v>40</v>
      </c>
      <c r="C39" s="354" t="s">
        <v>223</v>
      </c>
      <c r="D39" s="354" t="s">
        <v>19</v>
      </c>
      <c r="E39" s="354" t="s">
        <v>68</v>
      </c>
      <c r="F39" s="354" t="s">
        <v>1</v>
      </c>
      <c r="G39" s="355" t="s">
        <v>1</v>
      </c>
      <c r="H39" s="355" t="s">
        <v>8</v>
      </c>
      <c r="J39" s="355" t="s">
        <v>224</v>
      </c>
      <c r="K39" s="357" t="s">
        <v>225</v>
      </c>
      <c r="L39" s="355" t="s">
        <v>226</v>
      </c>
      <c r="M39" s="2">
        <v>69478.2</v>
      </c>
      <c r="N39" s="2" t="s">
        <v>1</v>
      </c>
      <c r="O39" s="2" t="s">
        <v>227</v>
      </c>
      <c r="Q39" s="2" t="s">
        <v>1</v>
      </c>
      <c r="S39" s="3"/>
      <c r="T39" s="3"/>
      <c r="U39" s="3"/>
    </row>
    <row r="40" spans="1:21" ht="14.45">
      <c r="A40" s="354" t="s">
        <v>22</v>
      </c>
      <c r="B40" s="354">
        <v>41</v>
      </c>
      <c r="C40" s="354" t="s">
        <v>228</v>
      </c>
      <c r="D40" s="354" t="s">
        <v>19</v>
      </c>
      <c r="E40" s="354" t="s">
        <v>75</v>
      </c>
      <c r="F40" s="354" t="s">
        <v>53</v>
      </c>
      <c r="G40" s="355" t="s">
        <v>1</v>
      </c>
      <c r="H40" s="355" t="s">
        <v>8</v>
      </c>
      <c r="J40" s="355" t="s">
        <v>229</v>
      </c>
      <c r="K40" s="357"/>
      <c r="L40" s="355" t="s">
        <v>230</v>
      </c>
      <c r="M40" s="2">
        <v>0</v>
      </c>
      <c r="N40" s="2" t="s">
        <v>1</v>
      </c>
      <c r="O40" s="2" t="s">
        <v>227</v>
      </c>
      <c r="Q40" s="2" t="s">
        <v>1</v>
      </c>
      <c r="S40" s="3"/>
      <c r="T40" s="3"/>
      <c r="U40" s="3"/>
    </row>
    <row r="41" spans="1:21" ht="14.45">
      <c r="A41" s="354" t="s">
        <v>22</v>
      </c>
      <c r="B41" s="354">
        <v>42</v>
      </c>
      <c r="C41" s="354" t="s">
        <v>231</v>
      </c>
      <c r="D41" s="354" t="s">
        <v>19</v>
      </c>
      <c r="E41" s="354" t="s">
        <v>68</v>
      </c>
      <c r="F41" s="354" t="s">
        <v>53</v>
      </c>
      <c r="G41" s="355" t="s">
        <v>1</v>
      </c>
      <c r="H41" s="355" t="s">
        <v>232</v>
      </c>
      <c r="J41" s="355" t="s">
        <v>233</v>
      </c>
      <c r="L41" s="355" t="s">
        <v>234</v>
      </c>
      <c r="M41" s="2">
        <v>1224.52</v>
      </c>
      <c r="N41" s="2" t="s">
        <v>1</v>
      </c>
      <c r="O41" s="2" t="s">
        <v>235</v>
      </c>
      <c r="Q41" s="2" t="s">
        <v>1</v>
      </c>
      <c r="S41" s="3"/>
      <c r="T41" s="3"/>
      <c r="U41" s="3"/>
    </row>
    <row r="42" spans="1:21" ht="14.45">
      <c r="A42" s="354" t="s">
        <v>22</v>
      </c>
      <c r="B42" s="354">
        <v>43</v>
      </c>
      <c r="C42" s="354" t="s">
        <v>236</v>
      </c>
      <c r="D42" s="354" t="s">
        <v>19</v>
      </c>
      <c r="E42" s="354" t="s">
        <v>68</v>
      </c>
      <c r="F42" s="354" t="s">
        <v>53</v>
      </c>
      <c r="G42" s="355" t="s">
        <v>1</v>
      </c>
      <c r="H42" s="355" t="s">
        <v>232</v>
      </c>
      <c r="J42" s="355" t="s">
        <v>237</v>
      </c>
      <c r="L42" s="355" t="s">
        <v>238</v>
      </c>
      <c r="M42" s="2">
        <v>0</v>
      </c>
      <c r="N42" s="2" t="s">
        <v>1</v>
      </c>
      <c r="O42" s="2" t="s">
        <v>235</v>
      </c>
      <c r="Q42" s="2" t="s">
        <v>1</v>
      </c>
      <c r="S42" s="3"/>
      <c r="T42" s="3"/>
      <c r="U42" s="3"/>
    </row>
    <row r="43" spans="1:21" ht="14.45">
      <c r="A43" s="354" t="s">
        <v>22</v>
      </c>
      <c r="B43" s="354">
        <v>44</v>
      </c>
      <c r="C43" s="354" t="s">
        <v>239</v>
      </c>
      <c r="D43" s="354" t="s">
        <v>19</v>
      </c>
      <c r="E43" s="354" t="s">
        <v>68</v>
      </c>
      <c r="F43" s="354" t="s">
        <v>53</v>
      </c>
      <c r="G43" s="355" t="s">
        <v>1</v>
      </c>
      <c r="H43" s="355" t="s">
        <v>232</v>
      </c>
      <c r="J43" s="355" t="s">
        <v>240</v>
      </c>
      <c r="L43" s="355" t="s">
        <v>241</v>
      </c>
      <c r="M43" s="2">
        <v>28790.861000000001</v>
      </c>
      <c r="N43" s="2" t="s">
        <v>1</v>
      </c>
      <c r="O43" s="2" t="s">
        <v>242</v>
      </c>
      <c r="Q43" s="2" t="s">
        <v>1</v>
      </c>
      <c r="S43" s="3"/>
      <c r="T43" s="3"/>
      <c r="U43" s="3"/>
    </row>
    <row r="44" spans="1:21" ht="14.45">
      <c r="A44" s="354" t="s">
        <v>22</v>
      </c>
      <c r="B44" s="354">
        <v>45</v>
      </c>
      <c r="C44" s="354" t="s">
        <v>243</v>
      </c>
      <c r="D44" s="354" t="s">
        <v>19</v>
      </c>
      <c r="E44" s="354" t="s">
        <v>68</v>
      </c>
      <c r="F44" s="354" t="s">
        <v>53</v>
      </c>
      <c r="G44" s="355" t="s">
        <v>1</v>
      </c>
      <c r="H44" s="355" t="s">
        <v>232</v>
      </c>
      <c r="J44" s="355" t="s">
        <v>244</v>
      </c>
      <c r="L44" s="355" t="s">
        <v>245</v>
      </c>
      <c r="M44" s="2">
        <v>30015.381000000001</v>
      </c>
      <c r="N44" s="2" t="s">
        <v>1</v>
      </c>
      <c r="O44" s="2" t="s">
        <v>242</v>
      </c>
      <c r="Q44" s="2" t="s">
        <v>1</v>
      </c>
      <c r="S44" s="3"/>
      <c r="T44" s="3"/>
      <c r="U44" s="3"/>
    </row>
    <row r="45" spans="1:21" ht="14.45" hidden="1">
      <c r="A45" s="354" t="s">
        <v>22</v>
      </c>
      <c r="B45" s="354">
        <v>46</v>
      </c>
      <c r="C45" s="354" t="s">
        <v>246</v>
      </c>
      <c r="D45" s="354" t="s">
        <v>17</v>
      </c>
      <c r="E45" s="354" t="s">
        <v>52</v>
      </c>
      <c r="F45" s="354" t="s">
        <v>1</v>
      </c>
      <c r="G45" s="355" t="s">
        <v>1</v>
      </c>
      <c r="H45" s="355" t="s">
        <v>9</v>
      </c>
      <c r="J45" s="355" t="s">
        <v>247</v>
      </c>
      <c r="K45" s="355" t="s">
        <v>248</v>
      </c>
      <c r="L45" s="355" t="s">
        <v>249</v>
      </c>
      <c r="M45" s="2" t="s">
        <v>250</v>
      </c>
      <c r="N45" s="2" t="s">
        <v>1</v>
      </c>
      <c r="O45" s="2" t="s">
        <v>56</v>
      </c>
      <c r="Q45" s="2" t="s">
        <v>1</v>
      </c>
      <c r="R45" s="2" t="s">
        <v>57</v>
      </c>
    </row>
    <row r="46" spans="1:21" ht="108" hidden="1">
      <c r="A46" s="354" t="s">
        <v>22</v>
      </c>
      <c r="B46" s="354">
        <v>47</v>
      </c>
      <c r="C46" s="354" t="s">
        <v>251</v>
      </c>
      <c r="D46" s="354" t="s">
        <v>17</v>
      </c>
      <c r="E46" s="354" t="s">
        <v>68</v>
      </c>
      <c r="F46" s="354" t="s">
        <v>1</v>
      </c>
      <c r="G46" s="355" t="s">
        <v>1</v>
      </c>
      <c r="H46" s="355" t="s">
        <v>4</v>
      </c>
      <c r="J46" s="355" t="s">
        <v>252</v>
      </c>
      <c r="K46" s="358" t="s">
        <v>253</v>
      </c>
      <c r="L46" s="355" t="s">
        <v>254</v>
      </c>
      <c r="M46" s="2" t="s">
        <v>255</v>
      </c>
      <c r="N46" s="2" t="s">
        <v>1</v>
      </c>
      <c r="O46" s="2" t="s">
        <v>256</v>
      </c>
      <c r="Q46" s="2" t="s">
        <v>53</v>
      </c>
      <c r="R46" s="2" t="s">
        <v>57</v>
      </c>
    </row>
    <row r="47" spans="1:21" ht="14.45" hidden="1">
      <c r="A47" s="354" t="s">
        <v>22</v>
      </c>
      <c r="B47" s="354">
        <v>48</v>
      </c>
      <c r="C47" s="354" t="s">
        <v>257</v>
      </c>
      <c r="D47" s="354" t="s">
        <v>18</v>
      </c>
      <c r="E47" s="354" t="s">
        <v>75</v>
      </c>
      <c r="F47" s="354" t="s">
        <v>53</v>
      </c>
      <c r="G47" s="355" t="s">
        <v>1</v>
      </c>
      <c r="H47" s="355" t="s">
        <v>5</v>
      </c>
      <c r="J47" s="355" t="s">
        <v>258</v>
      </c>
      <c r="L47" s="355" t="s">
        <v>259</v>
      </c>
      <c r="M47" s="2" t="s">
        <v>260</v>
      </c>
      <c r="N47" s="2" t="s">
        <v>1</v>
      </c>
      <c r="O47" s="2" t="s">
        <v>261</v>
      </c>
      <c r="Q47" s="2" t="s">
        <v>53</v>
      </c>
      <c r="R47" s="5">
        <v>1</v>
      </c>
      <c r="S47" s="3"/>
      <c r="T47" s="3"/>
      <c r="U47" s="3"/>
    </row>
    <row r="48" spans="1:21" ht="14.45" hidden="1">
      <c r="A48" s="354" t="s">
        <v>22</v>
      </c>
      <c r="B48" s="354">
        <v>49</v>
      </c>
      <c r="C48" s="354" t="s">
        <v>262</v>
      </c>
      <c r="D48" s="354" t="s">
        <v>18</v>
      </c>
      <c r="E48" s="354" t="s">
        <v>75</v>
      </c>
      <c r="F48" s="354" t="s">
        <v>53</v>
      </c>
      <c r="G48" s="355" t="s">
        <v>1</v>
      </c>
      <c r="H48" s="355" t="s">
        <v>5</v>
      </c>
      <c r="J48" s="355" t="s">
        <v>263</v>
      </c>
      <c r="L48" s="355" t="s">
        <v>264</v>
      </c>
      <c r="M48" s="2" t="s">
        <v>265</v>
      </c>
      <c r="N48" s="2" t="s">
        <v>1</v>
      </c>
      <c r="O48" s="2" t="s">
        <v>266</v>
      </c>
      <c r="Q48" s="2" t="s">
        <v>53</v>
      </c>
      <c r="R48" s="5">
        <v>1</v>
      </c>
      <c r="S48" s="3"/>
      <c r="T48" s="3"/>
      <c r="U48" s="3"/>
    </row>
    <row r="49" spans="1:21" ht="14.45" hidden="1">
      <c r="A49" s="354" t="s">
        <v>22</v>
      </c>
      <c r="B49" s="354">
        <v>50</v>
      </c>
      <c r="C49" s="354" t="s">
        <v>267</v>
      </c>
      <c r="D49" s="354" t="s">
        <v>17</v>
      </c>
      <c r="E49" s="354" t="s">
        <v>75</v>
      </c>
      <c r="F49" s="354" t="s">
        <v>1</v>
      </c>
      <c r="G49" s="355" t="s">
        <v>1</v>
      </c>
      <c r="H49" s="355" t="s">
        <v>5</v>
      </c>
      <c r="J49" s="355" t="s">
        <v>268</v>
      </c>
      <c r="K49" s="355" t="s">
        <v>269</v>
      </c>
      <c r="L49" s="355" t="s">
        <v>270</v>
      </c>
      <c r="N49" s="2" t="s">
        <v>1</v>
      </c>
      <c r="O49" s="2" t="s">
        <v>271</v>
      </c>
      <c r="R49" s="2" t="s">
        <v>57</v>
      </c>
    </row>
    <row r="50" spans="1:21" ht="156" hidden="1">
      <c r="A50" s="354" t="s">
        <v>22</v>
      </c>
      <c r="B50" s="354">
        <v>51</v>
      </c>
      <c r="C50" s="354" t="s">
        <v>272</v>
      </c>
      <c r="D50" s="354" t="s">
        <v>17</v>
      </c>
      <c r="E50" s="354" t="s">
        <v>68</v>
      </c>
      <c r="F50" s="354" t="s">
        <v>1</v>
      </c>
      <c r="G50" s="355" t="s">
        <v>1</v>
      </c>
      <c r="H50" s="355" t="s">
        <v>12</v>
      </c>
      <c r="J50" s="355" t="s">
        <v>273</v>
      </c>
      <c r="K50" s="358" t="s">
        <v>274</v>
      </c>
      <c r="L50" s="355" t="s">
        <v>275</v>
      </c>
      <c r="M50" s="2">
        <v>667123456</v>
      </c>
      <c r="N50" s="2" t="s">
        <v>1</v>
      </c>
      <c r="O50" s="2" t="s">
        <v>276</v>
      </c>
      <c r="R50" s="2" t="s">
        <v>57</v>
      </c>
    </row>
    <row r="51" spans="1:21" ht="14.45" hidden="1">
      <c r="A51" s="354" t="s">
        <v>22</v>
      </c>
      <c r="B51" s="354">
        <v>52</v>
      </c>
      <c r="C51" s="354" t="s">
        <v>277</v>
      </c>
      <c r="D51" s="354" t="s">
        <v>17</v>
      </c>
      <c r="E51" s="354" t="s">
        <v>68</v>
      </c>
      <c r="F51" s="354" t="s">
        <v>1</v>
      </c>
      <c r="G51" s="355" t="s">
        <v>1</v>
      </c>
      <c r="H51" s="355" t="s">
        <v>12</v>
      </c>
      <c r="J51" s="355" t="s">
        <v>278</v>
      </c>
      <c r="K51" s="360" t="s">
        <v>279</v>
      </c>
      <c r="L51" s="355" t="s">
        <v>280</v>
      </c>
      <c r="N51" s="2" t="s">
        <v>1</v>
      </c>
      <c r="O51" s="2" t="s">
        <v>276</v>
      </c>
      <c r="R51" s="2" t="s">
        <v>57</v>
      </c>
    </row>
    <row r="52" spans="1:21" ht="14.45" hidden="1">
      <c r="A52" s="354" t="s">
        <v>22</v>
      </c>
      <c r="B52" s="354">
        <v>53</v>
      </c>
      <c r="C52" s="354" t="s">
        <v>281</v>
      </c>
      <c r="D52" s="354" t="s">
        <v>17</v>
      </c>
      <c r="E52" s="354" t="s">
        <v>68</v>
      </c>
      <c r="F52" s="354" t="s">
        <v>1</v>
      </c>
      <c r="G52" s="355" t="s">
        <v>1</v>
      </c>
      <c r="H52" s="355" t="s">
        <v>12</v>
      </c>
      <c r="J52" s="355" t="s">
        <v>282</v>
      </c>
      <c r="K52" s="360" t="s">
        <v>279</v>
      </c>
      <c r="L52" s="355" t="s">
        <v>283</v>
      </c>
      <c r="N52" s="2" t="s">
        <v>1</v>
      </c>
      <c r="O52" s="2" t="s">
        <v>276</v>
      </c>
      <c r="R52" s="2" t="s">
        <v>57</v>
      </c>
    </row>
    <row r="53" spans="1:21" ht="14.45" hidden="1">
      <c r="A53" s="354" t="s">
        <v>22</v>
      </c>
      <c r="B53" s="354">
        <v>54</v>
      </c>
      <c r="C53" s="354" t="s">
        <v>284</v>
      </c>
      <c r="D53" s="354" t="s">
        <v>18</v>
      </c>
      <c r="E53" s="354" t="s">
        <v>52</v>
      </c>
      <c r="F53" s="354" t="s">
        <v>1</v>
      </c>
      <c r="G53" s="355" t="s">
        <v>1</v>
      </c>
      <c r="H53" s="355" t="s">
        <v>12</v>
      </c>
      <c r="J53" s="355" t="s">
        <v>285</v>
      </c>
      <c r="K53" s="360" t="s">
        <v>279</v>
      </c>
      <c r="L53" s="355" t="s">
        <v>286</v>
      </c>
      <c r="M53" s="2" t="s">
        <v>287</v>
      </c>
      <c r="N53" s="2" t="s">
        <v>1</v>
      </c>
      <c r="O53" s="2" t="s">
        <v>288</v>
      </c>
      <c r="Q53" s="2" t="s">
        <v>53</v>
      </c>
      <c r="S53" s="3"/>
      <c r="T53" s="3"/>
      <c r="U53" s="3"/>
    </row>
    <row r="54" spans="1:21" ht="14.45" hidden="1">
      <c r="A54" s="354" t="s">
        <v>22</v>
      </c>
      <c r="B54" s="354">
        <v>55</v>
      </c>
      <c r="C54" s="354" t="s">
        <v>289</v>
      </c>
      <c r="D54" s="354" t="s">
        <v>18</v>
      </c>
      <c r="E54" s="354" t="s">
        <v>52</v>
      </c>
      <c r="F54" s="354" t="s">
        <v>1</v>
      </c>
      <c r="G54" s="355" t="s">
        <v>1</v>
      </c>
      <c r="H54" s="355" t="s">
        <v>12</v>
      </c>
      <c r="J54" s="355" t="s">
        <v>290</v>
      </c>
      <c r="K54" s="360" t="s">
        <v>279</v>
      </c>
      <c r="L54" s="355" t="s">
        <v>291</v>
      </c>
      <c r="M54" s="2" t="s">
        <v>292</v>
      </c>
      <c r="N54" s="2" t="s">
        <v>1</v>
      </c>
      <c r="O54" s="2" t="s">
        <v>293</v>
      </c>
      <c r="Q54" s="2" t="s">
        <v>53</v>
      </c>
      <c r="S54" s="3"/>
      <c r="T54" s="3"/>
      <c r="U54" s="3"/>
    </row>
    <row r="55" spans="1:21" ht="14.45" hidden="1">
      <c r="A55" s="354" t="s">
        <v>22</v>
      </c>
      <c r="B55" s="354">
        <v>56</v>
      </c>
      <c r="C55" s="354" t="s">
        <v>294</v>
      </c>
      <c r="D55" s="354" t="s">
        <v>18</v>
      </c>
      <c r="E55" s="354" t="s">
        <v>75</v>
      </c>
      <c r="F55" s="354" t="s">
        <v>1</v>
      </c>
      <c r="G55" s="355" t="s">
        <v>1</v>
      </c>
      <c r="H55" s="355" t="s">
        <v>12</v>
      </c>
      <c r="J55" s="355" t="s">
        <v>295</v>
      </c>
      <c r="K55" s="360" t="s">
        <v>279</v>
      </c>
      <c r="L55" s="355" t="s">
        <v>296</v>
      </c>
      <c r="M55" s="2" t="s">
        <v>297</v>
      </c>
      <c r="N55" s="2" t="s">
        <v>1</v>
      </c>
      <c r="O55" s="2" t="s">
        <v>298</v>
      </c>
      <c r="Q55" s="2" t="s">
        <v>53</v>
      </c>
      <c r="S55" s="3"/>
      <c r="T55" s="3"/>
      <c r="U55" s="3"/>
    </row>
    <row r="56" spans="1:21" ht="14.45" hidden="1">
      <c r="A56" s="354" t="s">
        <v>22</v>
      </c>
      <c r="B56" s="354">
        <v>57</v>
      </c>
      <c r="C56" s="354" t="s">
        <v>299</v>
      </c>
      <c r="D56" s="354" t="s">
        <v>18</v>
      </c>
      <c r="E56" s="354" t="s">
        <v>75</v>
      </c>
      <c r="F56" s="354" t="s">
        <v>1</v>
      </c>
      <c r="G56" s="355" t="s">
        <v>1</v>
      </c>
      <c r="H56" s="355" t="s">
        <v>12</v>
      </c>
      <c r="J56" s="355" t="s">
        <v>300</v>
      </c>
      <c r="K56" s="360" t="s">
        <v>279</v>
      </c>
      <c r="L56" s="355" t="s">
        <v>301</v>
      </c>
      <c r="M56" s="2" t="s">
        <v>302</v>
      </c>
      <c r="N56" s="2" t="s">
        <v>1</v>
      </c>
      <c r="O56" s="2" t="s">
        <v>303</v>
      </c>
      <c r="Q56" s="2" t="s">
        <v>53</v>
      </c>
      <c r="S56" s="3"/>
      <c r="T56" s="3"/>
      <c r="U56" s="3"/>
    </row>
    <row r="57" spans="1:21" ht="14.45" hidden="1">
      <c r="A57" s="354" t="s">
        <v>22</v>
      </c>
      <c r="B57" s="354">
        <v>58</v>
      </c>
      <c r="C57" s="354" t="s">
        <v>304</v>
      </c>
      <c r="D57" s="354" t="s">
        <v>17</v>
      </c>
      <c r="E57" s="354" t="s">
        <v>75</v>
      </c>
      <c r="F57" s="354" t="s">
        <v>1</v>
      </c>
      <c r="G57" s="355" t="s">
        <v>1</v>
      </c>
      <c r="H57" s="355" t="s">
        <v>12</v>
      </c>
      <c r="J57" s="355" t="s">
        <v>305</v>
      </c>
      <c r="K57" s="360" t="s">
        <v>279</v>
      </c>
      <c r="L57" s="355" t="s">
        <v>306</v>
      </c>
      <c r="N57" s="2" t="s">
        <v>1</v>
      </c>
      <c r="O57" s="2" t="s">
        <v>307</v>
      </c>
      <c r="R57" s="2" t="s">
        <v>57</v>
      </c>
    </row>
    <row r="58" spans="1:21" ht="14.45" hidden="1">
      <c r="A58" s="354" t="s">
        <v>22</v>
      </c>
      <c r="B58" s="354">
        <v>59</v>
      </c>
      <c r="C58" s="354" t="s">
        <v>308</v>
      </c>
      <c r="D58" s="354" t="s">
        <v>17</v>
      </c>
      <c r="E58" s="354" t="s">
        <v>75</v>
      </c>
      <c r="F58" s="354" t="s">
        <v>1</v>
      </c>
      <c r="G58" s="355" t="s">
        <v>1</v>
      </c>
      <c r="H58" s="355" t="s">
        <v>12</v>
      </c>
      <c r="J58" s="355" t="s">
        <v>309</v>
      </c>
      <c r="K58" s="360" t="s">
        <v>279</v>
      </c>
      <c r="L58" s="355" t="s">
        <v>310</v>
      </c>
      <c r="N58" s="2" t="s">
        <v>1</v>
      </c>
      <c r="O58" s="2" t="s">
        <v>307</v>
      </c>
      <c r="R58" s="2" t="s">
        <v>57</v>
      </c>
    </row>
    <row r="59" spans="1:21" ht="14.45" hidden="1">
      <c r="A59" s="354" t="s">
        <v>22</v>
      </c>
      <c r="B59" s="354">
        <v>60</v>
      </c>
      <c r="C59" s="354" t="s">
        <v>311</v>
      </c>
      <c r="D59" s="354" t="s">
        <v>18</v>
      </c>
      <c r="E59" s="354" t="s">
        <v>52</v>
      </c>
      <c r="F59" s="354" t="s">
        <v>1</v>
      </c>
      <c r="G59" s="355" t="s">
        <v>1</v>
      </c>
      <c r="H59" s="355" t="s">
        <v>12</v>
      </c>
      <c r="J59" s="355" t="s">
        <v>312</v>
      </c>
      <c r="K59" s="360" t="s">
        <v>279</v>
      </c>
      <c r="L59" s="355" t="s">
        <v>313</v>
      </c>
      <c r="M59" s="2" t="s">
        <v>314</v>
      </c>
      <c r="N59" s="2" t="s">
        <v>1</v>
      </c>
      <c r="O59" s="2" t="s">
        <v>315</v>
      </c>
      <c r="Q59" s="2" t="s">
        <v>53</v>
      </c>
      <c r="S59" s="3"/>
      <c r="T59" s="3"/>
      <c r="U59" s="3"/>
    </row>
    <row r="60" spans="1:21" ht="14.45" hidden="1">
      <c r="A60" s="354" t="s">
        <v>22</v>
      </c>
      <c r="B60" s="354">
        <v>61</v>
      </c>
      <c r="C60" s="354" t="s">
        <v>316</v>
      </c>
      <c r="D60" s="354" t="s">
        <v>18</v>
      </c>
      <c r="E60" s="354" t="s">
        <v>52</v>
      </c>
      <c r="F60" s="354" t="s">
        <v>1</v>
      </c>
      <c r="G60" s="355" t="s">
        <v>1</v>
      </c>
      <c r="H60" s="355" t="s">
        <v>12</v>
      </c>
      <c r="J60" s="355" t="s">
        <v>317</v>
      </c>
      <c r="K60" s="360" t="s">
        <v>279</v>
      </c>
      <c r="L60" s="355" t="s">
        <v>318</v>
      </c>
      <c r="M60" s="2" t="s">
        <v>319</v>
      </c>
      <c r="N60" s="2" t="s">
        <v>1</v>
      </c>
      <c r="O60" s="2" t="s">
        <v>320</v>
      </c>
      <c r="Q60" s="2" t="s">
        <v>53</v>
      </c>
      <c r="S60" s="3"/>
      <c r="T60" s="3"/>
      <c r="U60" s="3"/>
    </row>
    <row r="61" spans="1:21" ht="14.45" hidden="1">
      <c r="A61" s="354" t="s">
        <v>22</v>
      </c>
      <c r="B61" s="354">
        <v>62</v>
      </c>
      <c r="C61" s="354" t="s">
        <v>321</v>
      </c>
      <c r="D61" s="354" t="s">
        <v>18</v>
      </c>
      <c r="E61" s="354" t="s">
        <v>68</v>
      </c>
      <c r="F61" s="354" t="s">
        <v>1</v>
      </c>
      <c r="G61" s="355" t="s">
        <v>1</v>
      </c>
      <c r="H61" s="355" t="s">
        <v>12</v>
      </c>
      <c r="J61" s="355" t="s">
        <v>322</v>
      </c>
      <c r="K61" s="360" t="s">
        <v>279</v>
      </c>
      <c r="L61" s="355" t="s">
        <v>323</v>
      </c>
      <c r="M61" s="2" t="s">
        <v>324</v>
      </c>
      <c r="N61" s="2" t="s">
        <v>1</v>
      </c>
      <c r="O61" s="2" t="s">
        <v>325</v>
      </c>
      <c r="Q61" s="2" t="s">
        <v>53</v>
      </c>
      <c r="S61" s="3"/>
      <c r="T61" s="3"/>
      <c r="U61" s="3"/>
    </row>
    <row r="62" spans="1:21" ht="14.45" hidden="1">
      <c r="A62" s="354" t="s">
        <v>22</v>
      </c>
      <c r="B62" s="354">
        <v>63</v>
      </c>
      <c r="C62" s="354" t="s">
        <v>326</v>
      </c>
      <c r="D62" s="354" t="s">
        <v>18</v>
      </c>
      <c r="E62" s="354" t="s">
        <v>68</v>
      </c>
      <c r="F62" s="354" t="s">
        <v>1</v>
      </c>
      <c r="G62" s="355" t="s">
        <v>1</v>
      </c>
      <c r="H62" s="355" t="s">
        <v>12</v>
      </c>
      <c r="J62" s="355" t="s">
        <v>327</v>
      </c>
      <c r="K62" s="360" t="s">
        <v>279</v>
      </c>
      <c r="L62" s="355" t="s">
        <v>328</v>
      </c>
      <c r="M62" s="2" t="s">
        <v>324</v>
      </c>
      <c r="N62" s="2" t="s">
        <v>1</v>
      </c>
      <c r="O62" s="2" t="s">
        <v>329</v>
      </c>
      <c r="Q62" s="2" t="s">
        <v>53</v>
      </c>
      <c r="S62" s="3"/>
      <c r="T62" s="3"/>
      <c r="U62" s="3"/>
    </row>
    <row r="63" spans="1:21" ht="14.45" hidden="1">
      <c r="A63" s="354" t="s">
        <v>22</v>
      </c>
      <c r="B63" s="354">
        <v>64</v>
      </c>
      <c r="C63" s="354" t="s">
        <v>330</v>
      </c>
      <c r="D63" s="354" t="s">
        <v>18</v>
      </c>
      <c r="E63" s="354" t="s">
        <v>68</v>
      </c>
      <c r="F63" s="354" t="s">
        <v>1</v>
      </c>
      <c r="G63" s="355" t="s">
        <v>1</v>
      </c>
      <c r="H63" s="355" t="s">
        <v>12</v>
      </c>
      <c r="J63" s="355" t="s">
        <v>331</v>
      </c>
      <c r="K63" s="360" t="s">
        <v>279</v>
      </c>
      <c r="L63" s="355" t="s">
        <v>332</v>
      </c>
      <c r="M63" s="2" t="s">
        <v>333</v>
      </c>
      <c r="N63" s="2" t="s">
        <v>1</v>
      </c>
      <c r="O63" s="2" t="s">
        <v>334</v>
      </c>
      <c r="Q63" s="2" t="s">
        <v>53</v>
      </c>
      <c r="S63" s="3"/>
      <c r="T63" s="3"/>
      <c r="U63" s="3"/>
    </row>
    <row r="64" spans="1:21" ht="14.45" hidden="1">
      <c r="A64" s="354" t="s">
        <v>22</v>
      </c>
      <c r="B64" s="354">
        <v>65</v>
      </c>
      <c r="C64" s="354" t="s">
        <v>335</v>
      </c>
      <c r="D64" s="354" t="s">
        <v>18</v>
      </c>
      <c r="E64" s="354" t="s">
        <v>52</v>
      </c>
      <c r="F64" s="354" t="s">
        <v>1</v>
      </c>
      <c r="G64" s="355" t="s">
        <v>1</v>
      </c>
      <c r="H64" s="355" t="s">
        <v>12</v>
      </c>
      <c r="J64" s="355" t="s">
        <v>336</v>
      </c>
      <c r="K64" s="360" t="s">
        <v>279</v>
      </c>
      <c r="L64" s="355" t="s">
        <v>337</v>
      </c>
      <c r="M64" s="2" t="s">
        <v>338</v>
      </c>
      <c r="N64" s="2" t="s">
        <v>1</v>
      </c>
      <c r="O64" s="2" t="s">
        <v>339</v>
      </c>
      <c r="Q64" s="2" t="s">
        <v>53</v>
      </c>
      <c r="S64" s="3"/>
      <c r="T64" s="3"/>
      <c r="U64" s="3"/>
    </row>
    <row r="65" spans="1:21" ht="14.45" hidden="1">
      <c r="A65" s="354" t="s">
        <v>22</v>
      </c>
      <c r="B65" s="354">
        <v>66</v>
      </c>
      <c r="C65" s="354" t="s">
        <v>340</v>
      </c>
      <c r="D65" s="354" t="s">
        <v>18</v>
      </c>
      <c r="E65" s="354" t="s">
        <v>68</v>
      </c>
      <c r="F65" s="354" t="s">
        <v>1</v>
      </c>
      <c r="G65" s="355" t="s">
        <v>1</v>
      </c>
      <c r="H65" s="355" t="s">
        <v>12</v>
      </c>
      <c r="J65" s="355" t="s">
        <v>341</v>
      </c>
      <c r="K65" s="361" t="s">
        <v>279</v>
      </c>
      <c r="L65" s="355" t="s">
        <v>342</v>
      </c>
      <c r="M65" s="2" t="s">
        <v>343</v>
      </c>
      <c r="N65" s="2" t="s">
        <v>1</v>
      </c>
      <c r="O65" s="2" t="s">
        <v>344</v>
      </c>
      <c r="Q65" s="2" t="s">
        <v>53</v>
      </c>
      <c r="S65" s="3"/>
      <c r="T65" s="3"/>
      <c r="U65" s="3"/>
    </row>
    <row r="66" spans="1:21" ht="14.45" hidden="1">
      <c r="A66" s="354" t="s">
        <v>22</v>
      </c>
      <c r="B66" s="354">
        <v>67</v>
      </c>
      <c r="C66" s="354" t="s">
        <v>345</v>
      </c>
      <c r="D66" s="354" t="s">
        <v>17</v>
      </c>
      <c r="E66" s="354" t="s">
        <v>68</v>
      </c>
      <c r="F66" s="354" t="s">
        <v>1</v>
      </c>
      <c r="G66" s="355" t="s">
        <v>1</v>
      </c>
      <c r="H66" s="355" t="s">
        <v>12</v>
      </c>
      <c r="J66" s="355" t="s">
        <v>346</v>
      </c>
      <c r="K66" s="355" t="s">
        <v>279</v>
      </c>
      <c r="L66" s="355" t="s">
        <v>347</v>
      </c>
      <c r="M66" s="2" t="s">
        <v>348</v>
      </c>
      <c r="N66" s="2" t="s">
        <v>57</v>
      </c>
      <c r="O66" s="2" t="s">
        <v>349</v>
      </c>
      <c r="R66" s="2" t="s">
        <v>57</v>
      </c>
    </row>
    <row r="67" spans="1:21" ht="14.45" hidden="1">
      <c r="A67" s="354" t="s">
        <v>22</v>
      </c>
      <c r="B67" s="354">
        <v>68</v>
      </c>
      <c r="C67" s="354" t="s">
        <v>350</v>
      </c>
      <c r="D67" s="354" t="s">
        <v>17</v>
      </c>
      <c r="E67" s="354" t="s">
        <v>68</v>
      </c>
      <c r="F67" s="354" t="s">
        <v>1</v>
      </c>
      <c r="G67" s="355" t="s">
        <v>1</v>
      </c>
      <c r="H67" s="355" t="s">
        <v>12</v>
      </c>
      <c r="J67" s="355" t="s">
        <v>351</v>
      </c>
      <c r="K67" s="355" t="s">
        <v>279</v>
      </c>
      <c r="L67" s="355" t="s">
        <v>352</v>
      </c>
      <c r="M67" s="2" t="s">
        <v>353</v>
      </c>
      <c r="N67" s="2" t="s">
        <v>57</v>
      </c>
      <c r="O67" s="2" t="s">
        <v>354</v>
      </c>
      <c r="R67" s="2" t="s">
        <v>57</v>
      </c>
    </row>
    <row r="68" spans="1:21" ht="14.45" hidden="1">
      <c r="A68" s="354" t="s">
        <v>22</v>
      </c>
      <c r="B68" s="354">
        <v>69</v>
      </c>
      <c r="C68" s="354" t="s">
        <v>355</v>
      </c>
      <c r="D68" s="354" t="s">
        <v>18</v>
      </c>
      <c r="E68" s="354" t="s">
        <v>68</v>
      </c>
      <c r="F68" s="354" t="s">
        <v>1</v>
      </c>
      <c r="G68" s="355" t="s">
        <v>1</v>
      </c>
      <c r="H68" s="355" t="s">
        <v>12</v>
      </c>
      <c r="J68" s="355" t="s">
        <v>356</v>
      </c>
      <c r="K68" s="355" t="s">
        <v>279</v>
      </c>
      <c r="L68" s="355" t="s">
        <v>357</v>
      </c>
      <c r="M68" s="2" t="s">
        <v>333</v>
      </c>
      <c r="N68" s="2" t="s">
        <v>1</v>
      </c>
      <c r="O68" s="2" t="s">
        <v>358</v>
      </c>
      <c r="Q68" s="2" t="s">
        <v>53</v>
      </c>
      <c r="S68" s="3"/>
      <c r="T68" s="3"/>
      <c r="U68" s="3"/>
    </row>
    <row r="69" spans="1:21" ht="14.45" hidden="1">
      <c r="A69" s="354" t="s">
        <v>22</v>
      </c>
      <c r="B69" s="354">
        <v>71</v>
      </c>
      <c r="C69" s="354" t="s">
        <v>359</v>
      </c>
      <c r="D69" s="354" t="s">
        <v>18</v>
      </c>
      <c r="E69" s="354" t="s">
        <v>68</v>
      </c>
      <c r="F69" s="354" t="s">
        <v>1</v>
      </c>
      <c r="G69" s="355" t="s">
        <v>1</v>
      </c>
      <c r="H69" s="355" t="s">
        <v>12</v>
      </c>
      <c r="J69" s="355" t="s">
        <v>360</v>
      </c>
      <c r="K69" s="355" t="s">
        <v>279</v>
      </c>
      <c r="L69" s="355" t="s">
        <v>361</v>
      </c>
      <c r="M69" s="2" t="s">
        <v>333</v>
      </c>
      <c r="N69" s="2" t="s">
        <v>1</v>
      </c>
      <c r="O69" s="2" t="s">
        <v>362</v>
      </c>
      <c r="Q69" s="2" t="s">
        <v>53</v>
      </c>
      <c r="S69" s="3"/>
      <c r="T69" s="3"/>
      <c r="U69" s="3"/>
    </row>
    <row r="70" spans="1:21" ht="14.45" hidden="1">
      <c r="A70" s="354" t="s">
        <v>22</v>
      </c>
      <c r="B70" s="354">
        <v>72</v>
      </c>
      <c r="C70" s="354" t="s">
        <v>363</v>
      </c>
      <c r="D70" s="354" t="s">
        <v>17</v>
      </c>
      <c r="E70" s="354" t="s">
        <v>68</v>
      </c>
      <c r="F70" s="354" t="s">
        <v>1</v>
      </c>
      <c r="G70" s="355" t="s">
        <v>1</v>
      </c>
      <c r="H70" s="355" t="s">
        <v>12</v>
      </c>
      <c r="J70" s="355" t="s">
        <v>364</v>
      </c>
      <c r="K70" s="361" t="s">
        <v>365</v>
      </c>
      <c r="L70" s="355" t="s">
        <v>366</v>
      </c>
      <c r="M70" s="2" t="s">
        <v>367</v>
      </c>
      <c r="N70" s="2" t="s">
        <v>57</v>
      </c>
      <c r="O70" s="2" t="s">
        <v>368</v>
      </c>
      <c r="R70" s="2" t="s">
        <v>57</v>
      </c>
    </row>
    <row r="71" spans="1:21" ht="14.45" hidden="1">
      <c r="A71" s="354" t="s">
        <v>22</v>
      </c>
      <c r="B71" s="354">
        <v>73</v>
      </c>
      <c r="C71" s="354" t="s">
        <v>369</v>
      </c>
      <c r="D71" s="354" t="s">
        <v>17</v>
      </c>
      <c r="E71" s="354" t="s">
        <v>68</v>
      </c>
      <c r="F71" s="354" t="s">
        <v>1</v>
      </c>
      <c r="G71" s="355" t="s">
        <v>1</v>
      </c>
      <c r="H71" s="355" t="s">
        <v>12</v>
      </c>
      <c r="J71" s="355" t="s">
        <v>370</v>
      </c>
      <c r="K71" s="355" t="s">
        <v>279</v>
      </c>
      <c r="L71" s="355" t="s">
        <v>371</v>
      </c>
      <c r="M71" s="2" t="s">
        <v>372</v>
      </c>
      <c r="N71" s="2" t="s">
        <v>1</v>
      </c>
      <c r="O71" s="2" t="s">
        <v>373</v>
      </c>
      <c r="R71" s="2" t="s">
        <v>57</v>
      </c>
    </row>
    <row r="72" spans="1:21" ht="14.45" hidden="1">
      <c r="A72" s="354" t="s">
        <v>22</v>
      </c>
      <c r="B72" s="354">
        <v>74</v>
      </c>
      <c r="C72" s="354" t="s">
        <v>374</v>
      </c>
      <c r="D72" s="354" t="s">
        <v>17</v>
      </c>
      <c r="E72" s="354" t="s">
        <v>75</v>
      </c>
      <c r="F72" s="354" t="s">
        <v>53</v>
      </c>
      <c r="G72" s="355" t="s">
        <v>1</v>
      </c>
      <c r="H72" s="355" t="s">
        <v>12</v>
      </c>
      <c r="J72" s="355" t="s">
        <v>375</v>
      </c>
      <c r="L72" s="355" t="s">
        <v>376</v>
      </c>
      <c r="N72" s="2" t="s">
        <v>57</v>
      </c>
      <c r="R72" s="2" t="s">
        <v>57</v>
      </c>
    </row>
    <row r="73" spans="1:21" ht="14.45" hidden="1">
      <c r="A73" s="354" t="s">
        <v>22</v>
      </c>
      <c r="B73" s="354">
        <v>75</v>
      </c>
      <c r="C73" s="354" t="s">
        <v>377</v>
      </c>
      <c r="D73" s="354" t="s">
        <v>17</v>
      </c>
      <c r="E73" s="354" t="s">
        <v>75</v>
      </c>
      <c r="F73" s="354" t="s">
        <v>53</v>
      </c>
      <c r="G73" s="355" t="s">
        <v>1</v>
      </c>
      <c r="H73" s="355" t="s">
        <v>12</v>
      </c>
      <c r="J73" s="355" t="s">
        <v>378</v>
      </c>
      <c r="L73" s="355" t="s">
        <v>379</v>
      </c>
      <c r="N73" s="2" t="s">
        <v>57</v>
      </c>
      <c r="R73" s="2" t="s">
        <v>57</v>
      </c>
    </row>
    <row r="74" spans="1:21" ht="14.45" hidden="1">
      <c r="A74" s="354" t="s">
        <v>22</v>
      </c>
      <c r="B74" s="354">
        <v>84</v>
      </c>
      <c r="C74" s="354" t="s">
        <v>380</v>
      </c>
      <c r="D74" s="354" t="s">
        <v>18</v>
      </c>
      <c r="E74" s="354" t="s">
        <v>52</v>
      </c>
      <c r="F74" s="354" t="s">
        <v>53</v>
      </c>
      <c r="G74" s="355" t="s">
        <v>1</v>
      </c>
      <c r="H74" s="355" t="s">
        <v>12</v>
      </c>
      <c r="J74" s="355" t="s">
        <v>381</v>
      </c>
      <c r="L74" s="355" t="s">
        <v>382</v>
      </c>
      <c r="M74" s="2" t="s">
        <v>383</v>
      </c>
      <c r="N74" s="2" t="s">
        <v>1</v>
      </c>
      <c r="O74" s="2" t="s">
        <v>384</v>
      </c>
      <c r="Q74" s="2" t="s">
        <v>53</v>
      </c>
      <c r="S74" s="3"/>
      <c r="T74" s="3"/>
      <c r="U74" s="3"/>
    </row>
    <row r="75" spans="1:21" ht="14.45" hidden="1">
      <c r="A75" s="354" t="s">
        <v>22</v>
      </c>
      <c r="B75" s="354">
        <v>85</v>
      </c>
      <c r="C75" s="354" t="s">
        <v>385</v>
      </c>
      <c r="D75" s="354" t="s">
        <v>18</v>
      </c>
      <c r="E75" s="354" t="s">
        <v>75</v>
      </c>
      <c r="F75" s="354" t="s">
        <v>53</v>
      </c>
      <c r="G75" s="355" t="s">
        <v>1</v>
      </c>
      <c r="H75" s="355" t="s">
        <v>12</v>
      </c>
      <c r="J75" s="355" t="s">
        <v>386</v>
      </c>
      <c r="L75" s="355" t="s">
        <v>387</v>
      </c>
      <c r="M75" s="2" t="s">
        <v>388</v>
      </c>
      <c r="N75" s="2" t="s">
        <v>1</v>
      </c>
      <c r="O75" s="2" t="s">
        <v>389</v>
      </c>
      <c r="Q75" s="2" t="s">
        <v>53</v>
      </c>
      <c r="S75" s="3"/>
      <c r="T75" s="3"/>
      <c r="U75" s="3"/>
    </row>
    <row r="76" spans="1:21" ht="14.45" hidden="1">
      <c r="A76" s="354" t="s">
        <v>22</v>
      </c>
      <c r="B76" s="354">
        <v>86</v>
      </c>
      <c r="C76" s="354" t="s">
        <v>390</v>
      </c>
      <c r="D76" s="354" t="s">
        <v>18</v>
      </c>
      <c r="E76" s="354" t="s">
        <v>75</v>
      </c>
      <c r="F76" s="354" t="s">
        <v>53</v>
      </c>
      <c r="G76" s="355" t="s">
        <v>1</v>
      </c>
      <c r="H76" s="355" t="s">
        <v>6</v>
      </c>
      <c r="J76" s="355" t="s">
        <v>391</v>
      </c>
      <c r="L76" s="355" t="s">
        <v>392</v>
      </c>
      <c r="M76" s="2" t="s">
        <v>333</v>
      </c>
      <c r="N76" s="2" t="s">
        <v>1</v>
      </c>
      <c r="O76" s="2" t="s">
        <v>393</v>
      </c>
      <c r="P76" s="2" t="s">
        <v>117</v>
      </c>
      <c r="Q76" s="2" t="s">
        <v>53</v>
      </c>
      <c r="S76" s="3"/>
      <c r="T76" s="3"/>
      <c r="U76" s="3"/>
    </row>
    <row r="77" spans="1:21" ht="14.45" hidden="1">
      <c r="A77" s="354" t="s">
        <v>22</v>
      </c>
      <c r="B77" s="354">
        <v>87</v>
      </c>
      <c r="C77" s="354" t="s">
        <v>394</v>
      </c>
      <c r="D77" s="354" t="s">
        <v>18</v>
      </c>
      <c r="E77" s="354" t="s">
        <v>68</v>
      </c>
      <c r="F77" s="354" t="s">
        <v>53</v>
      </c>
      <c r="G77" s="355" t="s">
        <v>1</v>
      </c>
      <c r="H77" s="355" t="s">
        <v>6</v>
      </c>
      <c r="J77" s="355" t="s">
        <v>395</v>
      </c>
      <c r="L77" s="355" t="s">
        <v>396</v>
      </c>
      <c r="M77" s="2" t="s">
        <v>292</v>
      </c>
      <c r="N77" s="2" t="s">
        <v>1</v>
      </c>
      <c r="O77" s="2" t="s">
        <v>397</v>
      </c>
      <c r="P77" s="2" t="s">
        <v>117</v>
      </c>
      <c r="Q77" s="2" t="s">
        <v>53</v>
      </c>
      <c r="S77" s="3"/>
      <c r="T77" s="3"/>
      <c r="U77" s="3"/>
    </row>
    <row r="78" spans="1:21" ht="14.45" hidden="1">
      <c r="A78" s="354" t="s">
        <v>22</v>
      </c>
      <c r="B78" s="354">
        <v>88</v>
      </c>
      <c r="C78" s="354" t="s">
        <v>398</v>
      </c>
      <c r="D78" s="354" t="s">
        <v>18</v>
      </c>
      <c r="E78" s="354" t="s">
        <v>68</v>
      </c>
      <c r="F78" s="354" t="s">
        <v>53</v>
      </c>
      <c r="G78" s="355" t="s">
        <v>1</v>
      </c>
      <c r="H78" s="355" t="s">
        <v>6</v>
      </c>
      <c r="J78" s="355" t="s">
        <v>399</v>
      </c>
      <c r="L78" s="355" t="s">
        <v>400</v>
      </c>
      <c r="M78" s="2" t="s">
        <v>401</v>
      </c>
      <c r="N78" s="2" t="s">
        <v>1</v>
      </c>
      <c r="O78" s="2" t="s">
        <v>402</v>
      </c>
      <c r="P78" s="2" t="s">
        <v>117</v>
      </c>
      <c r="Q78" s="2" t="s">
        <v>53</v>
      </c>
      <c r="S78" s="3"/>
      <c r="T78" s="3"/>
      <c r="U78" s="3"/>
    </row>
    <row r="79" spans="1:21" ht="14.45" hidden="1">
      <c r="A79" s="354" t="s">
        <v>22</v>
      </c>
      <c r="B79" s="354">
        <v>89</v>
      </c>
      <c r="C79" s="354" t="s">
        <v>403</v>
      </c>
      <c r="D79" s="354" t="s">
        <v>18</v>
      </c>
      <c r="E79" s="354" t="s">
        <v>75</v>
      </c>
      <c r="F79" s="354" t="s">
        <v>53</v>
      </c>
      <c r="G79" s="355" t="s">
        <v>1</v>
      </c>
      <c r="H79" s="355" t="s">
        <v>6</v>
      </c>
      <c r="J79" s="355" t="s">
        <v>404</v>
      </c>
      <c r="L79" s="355" t="s">
        <v>405</v>
      </c>
      <c r="M79" s="2" t="s">
        <v>406</v>
      </c>
      <c r="N79" s="2" t="s">
        <v>1</v>
      </c>
      <c r="O79" s="2" t="s">
        <v>407</v>
      </c>
      <c r="P79" s="2" t="s">
        <v>117</v>
      </c>
      <c r="Q79" s="2" t="s">
        <v>53</v>
      </c>
      <c r="S79" s="3"/>
      <c r="T79" s="3"/>
      <c r="U79" s="3"/>
    </row>
    <row r="80" spans="1:21" ht="14.45" hidden="1">
      <c r="A80" s="354" t="s">
        <v>22</v>
      </c>
      <c r="B80" s="354">
        <v>90</v>
      </c>
      <c r="C80" s="354" t="s">
        <v>408</v>
      </c>
      <c r="D80" s="354" t="s">
        <v>18</v>
      </c>
      <c r="E80" s="354" t="s">
        <v>75</v>
      </c>
      <c r="F80" s="354" t="s">
        <v>53</v>
      </c>
      <c r="G80" s="355" t="s">
        <v>1</v>
      </c>
      <c r="H80" s="355" t="s">
        <v>6</v>
      </c>
      <c r="J80" s="355" t="s">
        <v>409</v>
      </c>
      <c r="L80" s="355" t="s">
        <v>410</v>
      </c>
      <c r="M80" s="2" t="s">
        <v>333</v>
      </c>
      <c r="N80" s="2" t="s">
        <v>1</v>
      </c>
      <c r="O80" s="2" t="s">
        <v>411</v>
      </c>
      <c r="P80" s="2" t="s">
        <v>117</v>
      </c>
      <c r="Q80" s="2" t="s">
        <v>53</v>
      </c>
      <c r="S80" s="3"/>
      <c r="T80" s="3"/>
      <c r="U80" s="3"/>
    </row>
    <row r="81" spans="1:21" ht="14.45">
      <c r="A81" s="354" t="s">
        <v>22</v>
      </c>
      <c r="B81" s="354">
        <v>91</v>
      </c>
      <c r="C81" s="354" t="s">
        <v>412</v>
      </c>
      <c r="D81" s="354" t="s">
        <v>19</v>
      </c>
      <c r="E81" s="354" t="s">
        <v>68</v>
      </c>
      <c r="F81" s="354" t="s">
        <v>1</v>
      </c>
      <c r="G81" s="355" t="s">
        <v>1</v>
      </c>
      <c r="H81" s="355" t="s">
        <v>6</v>
      </c>
      <c r="J81" s="355" t="s">
        <v>413</v>
      </c>
      <c r="K81" s="355" t="s">
        <v>414</v>
      </c>
      <c r="L81" s="355" t="s">
        <v>415</v>
      </c>
      <c r="M81" s="2" t="s">
        <v>416</v>
      </c>
      <c r="N81" s="2" t="s">
        <v>1</v>
      </c>
      <c r="O81" s="2" t="s">
        <v>417</v>
      </c>
      <c r="P81" s="2" t="s">
        <v>418</v>
      </c>
      <c r="Q81" s="2" t="s">
        <v>53</v>
      </c>
      <c r="S81" s="3"/>
      <c r="T81" s="3"/>
      <c r="U81" s="3"/>
    </row>
    <row r="82" spans="1:21" ht="14.45" hidden="1">
      <c r="A82" s="354" t="s">
        <v>22</v>
      </c>
      <c r="B82" s="354">
        <v>92</v>
      </c>
      <c r="C82" s="354" t="s">
        <v>419</v>
      </c>
      <c r="D82" s="354" t="s">
        <v>104</v>
      </c>
      <c r="E82" s="354" t="s">
        <v>68</v>
      </c>
      <c r="F82" s="354" t="s">
        <v>1</v>
      </c>
      <c r="G82" s="355" t="s">
        <v>1</v>
      </c>
      <c r="H82" s="355" t="s">
        <v>6</v>
      </c>
      <c r="J82" s="355" t="s">
        <v>420</v>
      </c>
      <c r="K82" s="355" t="s">
        <v>414</v>
      </c>
      <c r="L82" s="355" t="s">
        <v>421</v>
      </c>
      <c r="M82" s="2" t="s">
        <v>422</v>
      </c>
      <c r="N82" s="2" t="s">
        <v>1</v>
      </c>
      <c r="O82" s="2" t="s">
        <v>423</v>
      </c>
      <c r="P82" s="2" t="s">
        <v>418</v>
      </c>
      <c r="Q82" s="2" t="s">
        <v>53</v>
      </c>
    </row>
    <row r="83" spans="1:21" ht="14.45">
      <c r="A83" s="354" t="s">
        <v>22</v>
      </c>
      <c r="B83" s="354">
        <v>93</v>
      </c>
      <c r="C83" s="354" t="s">
        <v>424</v>
      </c>
      <c r="D83" s="354" t="s">
        <v>19</v>
      </c>
      <c r="E83" s="354" t="s">
        <v>68</v>
      </c>
      <c r="F83" s="354" t="s">
        <v>1</v>
      </c>
      <c r="G83" s="355" t="s">
        <v>1</v>
      </c>
      <c r="H83" s="355" t="s">
        <v>6</v>
      </c>
      <c r="J83" s="355" t="s">
        <v>425</v>
      </c>
      <c r="K83" s="355" t="s">
        <v>414</v>
      </c>
      <c r="L83" s="355" t="s">
        <v>426</v>
      </c>
      <c r="M83" s="2" t="s">
        <v>427</v>
      </c>
      <c r="N83" s="2" t="s">
        <v>1</v>
      </c>
      <c r="O83" s="2" t="s">
        <v>428</v>
      </c>
      <c r="P83" s="2" t="s">
        <v>418</v>
      </c>
      <c r="Q83" s="2" t="s">
        <v>1</v>
      </c>
      <c r="S83" s="3"/>
      <c r="T83" s="3"/>
      <c r="U83" s="3"/>
    </row>
    <row r="84" spans="1:21" ht="29.1">
      <c r="A84" s="354" t="s">
        <v>22</v>
      </c>
      <c r="B84" s="354">
        <v>94</v>
      </c>
      <c r="C84" s="354" t="s">
        <v>429</v>
      </c>
      <c r="D84" s="354" t="s">
        <v>19</v>
      </c>
      <c r="E84" s="354" t="s">
        <v>68</v>
      </c>
      <c r="F84" s="354" t="s">
        <v>1</v>
      </c>
      <c r="G84" s="355" t="s">
        <v>1</v>
      </c>
      <c r="H84" s="355" t="s">
        <v>6</v>
      </c>
      <c r="J84" s="355" t="s">
        <v>430</v>
      </c>
      <c r="K84" s="355" t="s">
        <v>414</v>
      </c>
      <c r="L84" s="355" t="s">
        <v>431</v>
      </c>
      <c r="M84" s="2" t="s">
        <v>432</v>
      </c>
      <c r="N84" s="2" t="s">
        <v>1</v>
      </c>
      <c r="O84" s="256" t="s">
        <v>433</v>
      </c>
      <c r="P84" s="2" t="s">
        <v>418</v>
      </c>
      <c r="Q84" s="2" t="s">
        <v>1</v>
      </c>
      <c r="S84" s="3"/>
      <c r="T84" s="3"/>
      <c r="U84" s="3"/>
    </row>
    <row r="85" spans="1:21" ht="14.45">
      <c r="A85" s="354" t="s">
        <v>22</v>
      </c>
      <c r="B85" s="354">
        <v>95</v>
      </c>
      <c r="C85" s="354" t="s">
        <v>434</v>
      </c>
      <c r="D85" s="354" t="s">
        <v>19</v>
      </c>
      <c r="E85" s="354" t="s">
        <v>68</v>
      </c>
      <c r="F85" s="354" t="s">
        <v>1</v>
      </c>
      <c r="G85" s="355" t="s">
        <v>1</v>
      </c>
      <c r="H85" s="355" t="s">
        <v>6</v>
      </c>
      <c r="J85" s="355" t="s">
        <v>435</v>
      </c>
      <c r="K85" s="355" t="s">
        <v>414</v>
      </c>
      <c r="L85" s="355" t="s">
        <v>436</v>
      </c>
      <c r="M85" s="2" t="s">
        <v>437</v>
      </c>
      <c r="N85" s="2" t="s">
        <v>1</v>
      </c>
      <c r="O85" s="2" t="s">
        <v>438</v>
      </c>
      <c r="P85" s="2" t="s">
        <v>418</v>
      </c>
      <c r="Q85" s="2" t="s">
        <v>1</v>
      </c>
      <c r="S85" s="3"/>
      <c r="T85" s="3"/>
      <c r="U85" s="3"/>
    </row>
    <row r="86" spans="1:21" ht="14.45" hidden="1">
      <c r="A86" s="354" t="s">
        <v>22</v>
      </c>
      <c r="B86" s="354">
        <v>96</v>
      </c>
      <c r="C86" s="354" t="s">
        <v>439</v>
      </c>
      <c r="D86" s="354" t="s">
        <v>104</v>
      </c>
      <c r="E86" s="354" t="s">
        <v>68</v>
      </c>
      <c r="F86" s="354" t="s">
        <v>1</v>
      </c>
      <c r="G86" s="355" t="s">
        <v>1</v>
      </c>
      <c r="H86" s="355" t="s">
        <v>6</v>
      </c>
      <c r="J86" s="355" t="s">
        <v>440</v>
      </c>
      <c r="K86" s="355" t="s">
        <v>414</v>
      </c>
      <c r="L86" s="355" t="s">
        <v>441</v>
      </c>
      <c r="M86" s="2" t="s">
        <v>442</v>
      </c>
      <c r="N86" s="2" t="s">
        <v>1</v>
      </c>
      <c r="O86" s="2" t="s">
        <v>443</v>
      </c>
      <c r="P86" s="2" t="s">
        <v>117</v>
      </c>
      <c r="Q86" s="2" t="s">
        <v>53</v>
      </c>
    </row>
    <row r="87" spans="1:21" ht="14.45" hidden="1">
      <c r="A87" s="354" t="s">
        <v>22</v>
      </c>
      <c r="B87" s="354">
        <v>97</v>
      </c>
      <c r="C87" s="354" t="s">
        <v>444</v>
      </c>
      <c r="D87" s="354" t="s">
        <v>104</v>
      </c>
      <c r="E87" s="354" t="s">
        <v>68</v>
      </c>
      <c r="F87" s="354" t="s">
        <v>1</v>
      </c>
      <c r="G87" s="355" t="s">
        <v>1</v>
      </c>
      <c r="H87" s="355" t="s">
        <v>6</v>
      </c>
      <c r="J87" s="355" t="s">
        <v>445</v>
      </c>
      <c r="K87" s="355" t="s">
        <v>414</v>
      </c>
      <c r="L87" s="355" t="s">
        <v>446</v>
      </c>
      <c r="M87" s="2" t="s">
        <v>447</v>
      </c>
      <c r="N87" s="2" t="s">
        <v>448</v>
      </c>
      <c r="O87" s="2" t="s">
        <v>449</v>
      </c>
    </row>
    <row r="88" spans="1:21" ht="14.45" hidden="1">
      <c r="A88" s="354" t="s">
        <v>22</v>
      </c>
      <c r="B88" s="354">
        <v>98</v>
      </c>
      <c r="C88" s="354" t="s">
        <v>450</v>
      </c>
      <c r="D88" s="354" t="s">
        <v>104</v>
      </c>
      <c r="E88" s="354" t="s">
        <v>68</v>
      </c>
      <c r="F88" s="354" t="s">
        <v>1</v>
      </c>
      <c r="G88" s="355" t="s">
        <v>1</v>
      </c>
      <c r="H88" s="355" t="s">
        <v>6</v>
      </c>
      <c r="J88" s="355" t="s">
        <v>451</v>
      </c>
      <c r="K88" s="355" t="s">
        <v>414</v>
      </c>
      <c r="L88" s="355" t="s">
        <v>452</v>
      </c>
      <c r="M88" s="2" t="s">
        <v>447</v>
      </c>
      <c r="N88" s="2" t="s">
        <v>1</v>
      </c>
      <c r="O88" s="2" t="s">
        <v>453</v>
      </c>
      <c r="P88" s="2" t="s">
        <v>418</v>
      </c>
      <c r="Q88" s="2" t="s">
        <v>53</v>
      </c>
    </row>
    <row r="89" spans="1:21" ht="14.45" hidden="1">
      <c r="A89" s="354" t="s">
        <v>22</v>
      </c>
      <c r="B89" s="354">
        <v>99</v>
      </c>
      <c r="C89" s="354" t="s">
        <v>454</v>
      </c>
      <c r="D89" s="354" t="s">
        <v>18</v>
      </c>
      <c r="E89" s="354" t="s">
        <v>52</v>
      </c>
      <c r="F89" s="354" t="s">
        <v>53</v>
      </c>
      <c r="G89" s="355" t="s">
        <v>1</v>
      </c>
      <c r="H89" s="355" t="s">
        <v>6</v>
      </c>
      <c r="J89" s="355" t="s">
        <v>455</v>
      </c>
      <c r="L89" s="355" t="s">
        <v>456</v>
      </c>
      <c r="M89" s="2" t="s">
        <v>292</v>
      </c>
      <c r="N89" s="2" t="s">
        <v>1</v>
      </c>
      <c r="O89" s="2" t="s">
        <v>457</v>
      </c>
      <c r="P89" s="2" t="s">
        <v>117</v>
      </c>
      <c r="Q89" s="2" t="s">
        <v>53</v>
      </c>
      <c r="S89" s="3"/>
      <c r="T89" s="3"/>
      <c r="U89" s="3"/>
    </row>
    <row r="90" spans="1:21" ht="14.45" hidden="1">
      <c r="A90" s="354" t="s">
        <v>22</v>
      </c>
      <c r="B90" s="354">
        <v>100</v>
      </c>
      <c r="C90" s="354" t="s">
        <v>458</v>
      </c>
      <c r="D90" s="354" t="s">
        <v>18</v>
      </c>
      <c r="E90" s="354" t="s">
        <v>52</v>
      </c>
      <c r="F90" s="354" t="s">
        <v>53</v>
      </c>
      <c r="G90" s="355" t="s">
        <v>1</v>
      </c>
      <c r="H90" s="355" t="s">
        <v>6</v>
      </c>
      <c r="J90" s="355" t="s">
        <v>459</v>
      </c>
      <c r="L90" s="355" t="s">
        <v>460</v>
      </c>
      <c r="M90" s="2" t="s">
        <v>292</v>
      </c>
      <c r="N90" s="2" t="s">
        <v>1</v>
      </c>
      <c r="O90" s="2" t="s">
        <v>461</v>
      </c>
      <c r="P90" s="2" t="s">
        <v>117</v>
      </c>
      <c r="Q90" s="2" t="s">
        <v>53</v>
      </c>
      <c r="S90" s="3"/>
      <c r="T90" s="3"/>
      <c r="U90" s="3"/>
    </row>
    <row r="91" spans="1:21" ht="14.45" hidden="1">
      <c r="A91" s="354" t="s">
        <v>22</v>
      </c>
      <c r="B91" s="354">
        <v>101</v>
      </c>
      <c r="C91" s="354" t="s">
        <v>462</v>
      </c>
      <c r="D91" s="354" t="s">
        <v>18</v>
      </c>
      <c r="E91" s="354" t="s">
        <v>52</v>
      </c>
      <c r="F91" s="354" t="s">
        <v>53</v>
      </c>
      <c r="G91" s="355" t="s">
        <v>1</v>
      </c>
      <c r="H91" s="355" t="s">
        <v>6</v>
      </c>
      <c r="J91" s="355" t="s">
        <v>463</v>
      </c>
      <c r="L91" s="355" t="s">
        <v>464</v>
      </c>
      <c r="M91" s="2" t="s">
        <v>401</v>
      </c>
      <c r="N91" s="2" t="s">
        <v>1</v>
      </c>
      <c r="O91" s="2" t="s">
        <v>465</v>
      </c>
      <c r="P91" s="2" t="s">
        <v>117</v>
      </c>
      <c r="Q91" s="2" t="s">
        <v>53</v>
      </c>
      <c r="S91" s="3"/>
      <c r="T91" s="3"/>
      <c r="U91" s="3"/>
    </row>
    <row r="92" spans="1:21" ht="14.45" hidden="1">
      <c r="A92" s="354" t="s">
        <v>22</v>
      </c>
      <c r="B92" s="354">
        <v>102</v>
      </c>
      <c r="C92" s="354" t="s">
        <v>466</v>
      </c>
      <c r="D92" s="354" t="s">
        <v>18</v>
      </c>
      <c r="E92" s="354" t="s">
        <v>52</v>
      </c>
      <c r="F92" s="354" t="s">
        <v>53</v>
      </c>
      <c r="G92" s="355" t="s">
        <v>1</v>
      </c>
      <c r="H92" s="355" t="s">
        <v>6</v>
      </c>
      <c r="J92" s="355" t="s">
        <v>467</v>
      </c>
      <c r="L92" s="355" t="s">
        <v>468</v>
      </c>
      <c r="M92" s="2" t="s">
        <v>302</v>
      </c>
      <c r="N92" s="2" t="s">
        <v>1</v>
      </c>
      <c r="O92" s="2" t="s">
        <v>469</v>
      </c>
      <c r="P92" s="2" t="s">
        <v>117</v>
      </c>
      <c r="Q92" s="2" t="s">
        <v>53</v>
      </c>
      <c r="S92" s="3"/>
      <c r="T92" s="3"/>
      <c r="U92" s="3"/>
    </row>
    <row r="93" spans="1:21" ht="14.45" hidden="1">
      <c r="A93" s="354" t="s">
        <v>22</v>
      </c>
      <c r="B93" s="354">
        <v>103</v>
      </c>
      <c r="C93" s="354" t="s">
        <v>470</v>
      </c>
      <c r="D93" s="354" t="s">
        <v>18</v>
      </c>
      <c r="E93" s="354" t="s">
        <v>52</v>
      </c>
      <c r="F93" s="354" t="s">
        <v>53</v>
      </c>
      <c r="G93" s="355" t="s">
        <v>1</v>
      </c>
      <c r="H93" s="355" t="s">
        <v>6</v>
      </c>
      <c r="J93" s="355" t="s">
        <v>471</v>
      </c>
      <c r="L93" s="355" t="s">
        <v>472</v>
      </c>
      <c r="M93" s="2" t="s">
        <v>406</v>
      </c>
      <c r="N93" s="2" t="s">
        <v>1</v>
      </c>
      <c r="O93" s="2" t="s">
        <v>473</v>
      </c>
      <c r="P93" s="2" t="s">
        <v>117</v>
      </c>
      <c r="Q93" s="2" t="s">
        <v>53</v>
      </c>
      <c r="S93" s="3"/>
      <c r="T93" s="3"/>
      <c r="U93" s="3"/>
    </row>
    <row r="94" spans="1:21" ht="14.45" hidden="1">
      <c r="A94" s="354" t="s">
        <v>22</v>
      </c>
      <c r="B94" s="354">
        <v>104</v>
      </c>
      <c r="C94" s="354" t="s">
        <v>474</v>
      </c>
      <c r="D94" s="354" t="s">
        <v>18</v>
      </c>
      <c r="E94" s="354" t="s">
        <v>52</v>
      </c>
      <c r="F94" s="354" t="s">
        <v>53</v>
      </c>
      <c r="G94" s="355" t="s">
        <v>1</v>
      </c>
      <c r="H94" s="355" t="s">
        <v>6</v>
      </c>
      <c r="J94" s="355" t="s">
        <v>475</v>
      </c>
      <c r="L94" s="355" t="s">
        <v>476</v>
      </c>
      <c r="M94" s="2" t="s">
        <v>319</v>
      </c>
      <c r="N94" s="2" t="s">
        <v>1</v>
      </c>
      <c r="O94" s="2" t="s">
        <v>477</v>
      </c>
      <c r="P94" s="2" t="s">
        <v>117</v>
      </c>
      <c r="Q94" s="2" t="s">
        <v>53</v>
      </c>
      <c r="S94" s="3"/>
      <c r="T94" s="3"/>
      <c r="U94" s="3"/>
    </row>
    <row r="95" spans="1:21" ht="14.45" hidden="1">
      <c r="A95" s="354" t="s">
        <v>22</v>
      </c>
      <c r="B95" s="354">
        <v>105</v>
      </c>
      <c r="C95" s="354" t="s">
        <v>478</v>
      </c>
      <c r="D95" s="354" t="s">
        <v>18</v>
      </c>
      <c r="E95" s="354" t="s">
        <v>75</v>
      </c>
      <c r="F95" s="354" t="s">
        <v>53</v>
      </c>
      <c r="G95" s="355" t="s">
        <v>1</v>
      </c>
      <c r="H95" s="355" t="s">
        <v>6</v>
      </c>
      <c r="J95" s="355" t="s">
        <v>479</v>
      </c>
      <c r="L95" s="355" t="s">
        <v>480</v>
      </c>
      <c r="M95" s="2" t="s">
        <v>287</v>
      </c>
      <c r="N95" s="2" t="s">
        <v>1</v>
      </c>
      <c r="O95" s="2" t="s">
        <v>481</v>
      </c>
      <c r="P95" s="2" t="s">
        <v>117</v>
      </c>
      <c r="Q95" s="2" t="s">
        <v>53</v>
      </c>
      <c r="S95" s="3"/>
      <c r="T95" s="3"/>
      <c r="U95" s="3"/>
    </row>
    <row r="96" spans="1:21" ht="14.45" hidden="1">
      <c r="A96" s="354" t="s">
        <v>22</v>
      </c>
      <c r="B96" s="354">
        <v>106</v>
      </c>
      <c r="C96" s="354" t="s">
        <v>482</v>
      </c>
      <c r="D96" s="354" t="s">
        <v>18</v>
      </c>
      <c r="E96" s="354" t="s">
        <v>75</v>
      </c>
      <c r="F96" s="354" t="s">
        <v>53</v>
      </c>
      <c r="G96" s="355" t="s">
        <v>1</v>
      </c>
      <c r="H96" s="355" t="s">
        <v>6</v>
      </c>
      <c r="J96" s="355" t="s">
        <v>483</v>
      </c>
      <c r="L96" s="355" t="s">
        <v>484</v>
      </c>
      <c r="M96" s="2" t="s">
        <v>292</v>
      </c>
      <c r="N96" s="2" t="s">
        <v>1</v>
      </c>
      <c r="O96" s="2" t="s">
        <v>485</v>
      </c>
      <c r="P96" s="2" t="s">
        <v>117</v>
      </c>
      <c r="Q96" s="2" t="s">
        <v>53</v>
      </c>
      <c r="S96" s="3"/>
      <c r="T96" s="3"/>
      <c r="U96" s="3"/>
    </row>
    <row r="97" spans="1:21" ht="14.45" hidden="1">
      <c r="A97" s="354" t="s">
        <v>22</v>
      </c>
      <c r="B97" s="354">
        <v>107</v>
      </c>
      <c r="C97" s="354" t="s">
        <v>486</v>
      </c>
      <c r="D97" s="354" t="s">
        <v>18</v>
      </c>
      <c r="E97" s="354" t="s">
        <v>75</v>
      </c>
      <c r="F97" s="354" t="s">
        <v>53</v>
      </c>
      <c r="G97" s="355" t="s">
        <v>1</v>
      </c>
      <c r="H97" s="355" t="s">
        <v>6</v>
      </c>
      <c r="J97" s="355" t="s">
        <v>487</v>
      </c>
      <c r="L97" s="355" t="s">
        <v>488</v>
      </c>
      <c r="M97" s="2" t="s">
        <v>333</v>
      </c>
      <c r="N97" s="2" t="s">
        <v>1</v>
      </c>
      <c r="O97" s="2" t="s">
        <v>489</v>
      </c>
      <c r="P97" s="2" t="s">
        <v>117</v>
      </c>
      <c r="Q97" s="2" t="s">
        <v>53</v>
      </c>
      <c r="S97" s="3"/>
      <c r="T97" s="3"/>
      <c r="U97" s="3"/>
    </row>
    <row r="98" spans="1:21" ht="14.45" hidden="1">
      <c r="A98" s="354" t="s">
        <v>22</v>
      </c>
      <c r="B98" s="354">
        <v>108</v>
      </c>
      <c r="C98" s="354" t="s">
        <v>490</v>
      </c>
      <c r="D98" s="354" t="s">
        <v>104</v>
      </c>
      <c r="E98" s="354" t="s">
        <v>68</v>
      </c>
      <c r="F98" s="354" t="s">
        <v>1</v>
      </c>
      <c r="G98" s="355" t="s">
        <v>1</v>
      </c>
      <c r="H98" s="355" t="s">
        <v>6</v>
      </c>
      <c r="J98" s="355" t="s">
        <v>491</v>
      </c>
      <c r="K98" s="355" t="s">
        <v>492</v>
      </c>
      <c r="L98" s="355" t="s">
        <v>493</v>
      </c>
      <c r="M98" s="2" t="s">
        <v>494</v>
      </c>
      <c r="N98" s="2" t="s">
        <v>448</v>
      </c>
      <c r="O98" s="2" t="s">
        <v>495</v>
      </c>
      <c r="R98" s="5">
        <v>1</v>
      </c>
    </row>
    <row r="99" spans="1:21" ht="14.45" hidden="1">
      <c r="A99" s="354" t="s">
        <v>22</v>
      </c>
      <c r="B99" s="354">
        <v>109</v>
      </c>
      <c r="C99" s="354" t="s">
        <v>496</v>
      </c>
      <c r="D99" s="354" t="s">
        <v>104</v>
      </c>
      <c r="E99" s="354" t="s">
        <v>68</v>
      </c>
      <c r="F99" s="354" t="s">
        <v>1</v>
      </c>
      <c r="G99" s="355" t="s">
        <v>1</v>
      </c>
      <c r="H99" s="355" t="s">
        <v>6</v>
      </c>
      <c r="J99" s="355" t="s">
        <v>497</v>
      </c>
      <c r="K99" s="355" t="s">
        <v>492</v>
      </c>
      <c r="L99" s="355" t="s">
        <v>498</v>
      </c>
      <c r="M99" s="2" t="s">
        <v>499</v>
      </c>
      <c r="N99" s="2" t="s">
        <v>448</v>
      </c>
      <c r="O99" s="2" t="s">
        <v>495</v>
      </c>
      <c r="R99" s="5">
        <v>1</v>
      </c>
    </row>
    <row r="100" spans="1:21" ht="14.45" hidden="1">
      <c r="A100" s="354" t="s">
        <v>22</v>
      </c>
      <c r="B100" s="354">
        <v>110</v>
      </c>
      <c r="C100" s="354" t="s">
        <v>500</v>
      </c>
      <c r="D100" s="354" t="s">
        <v>17</v>
      </c>
      <c r="E100" s="354" t="s">
        <v>75</v>
      </c>
      <c r="F100" s="354" t="s">
        <v>1</v>
      </c>
      <c r="G100" s="355" t="s">
        <v>1</v>
      </c>
      <c r="H100" s="355" t="s">
        <v>6</v>
      </c>
      <c r="J100" s="355" t="s">
        <v>501</v>
      </c>
      <c r="K100" s="355" t="s">
        <v>502</v>
      </c>
      <c r="L100" s="355" t="s">
        <v>503</v>
      </c>
      <c r="M100" s="2" t="s">
        <v>447</v>
      </c>
      <c r="N100" s="2" t="s">
        <v>1</v>
      </c>
      <c r="O100" s="2" t="s">
        <v>504</v>
      </c>
      <c r="R100" s="2" t="s">
        <v>57</v>
      </c>
    </row>
    <row r="101" spans="1:21" ht="14.45" hidden="1">
      <c r="A101" s="354" t="s">
        <v>22</v>
      </c>
      <c r="B101" s="354">
        <v>111</v>
      </c>
      <c r="C101" s="354" t="s">
        <v>505</v>
      </c>
      <c r="D101" s="354" t="s">
        <v>17</v>
      </c>
      <c r="E101" s="354" t="s">
        <v>75</v>
      </c>
      <c r="F101" s="354" t="s">
        <v>1</v>
      </c>
      <c r="G101" s="355" t="s">
        <v>1</v>
      </c>
      <c r="H101" s="355" t="s">
        <v>6</v>
      </c>
      <c r="J101" s="355" t="s">
        <v>506</v>
      </c>
      <c r="K101" s="355" t="s">
        <v>507</v>
      </c>
      <c r="L101" s="355" t="s">
        <v>508</v>
      </c>
      <c r="M101" s="2" t="s">
        <v>447</v>
      </c>
      <c r="N101" s="2" t="s">
        <v>1</v>
      </c>
      <c r="O101" s="2" t="s">
        <v>504</v>
      </c>
      <c r="R101" s="2" t="s">
        <v>57</v>
      </c>
    </row>
    <row r="102" spans="1:21" ht="87" hidden="1">
      <c r="A102" s="354" t="s">
        <v>22</v>
      </c>
      <c r="B102" s="354">
        <v>112</v>
      </c>
      <c r="C102" s="354" t="s">
        <v>509</v>
      </c>
      <c r="D102" s="354" t="s">
        <v>17</v>
      </c>
      <c r="E102" s="354" t="s">
        <v>75</v>
      </c>
      <c r="F102" s="354" t="s">
        <v>1</v>
      </c>
      <c r="G102" s="355" t="s">
        <v>1</v>
      </c>
      <c r="H102" s="355" t="s">
        <v>6</v>
      </c>
      <c r="J102" s="355" t="s">
        <v>510</v>
      </c>
      <c r="K102" s="355" t="s">
        <v>502</v>
      </c>
      <c r="L102" s="355" t="s">
        <v>511</v>
      </c>
      <c r="M102" s="2" t="s">
        <v>512</v>
      </c>
      <c r="N102" s="2" t="s">
        <v>1</v>
      </c>
      <c r="O102" s="256" t="s">
        <v>513</v>
      </c>
      <c r="P102" s="256" t="s">
        <v>514</v>
      </c>
      <c r="R102" s="2" t="s">
        <v>57</v>
      </c>
    </row>
    <row r="103" spans="1:21" ht="14.45" hidden="1">
      <c r="A103" s="354" t="s">
        <v>22</v>
      </c>
      <c r="B103" s="354">
        <v>113</v>
      </c>
      <c r="C103" s="354" t="s">
        <v>515</v>
      </c>
      <c r="D103" s="354" t="s">
        <v>17</v>
      </c>
      <c r="E103" s="354" t="s">
        <v>75</v>
      </c>
      <c r="F103" s="354" t="s">
        <v>1</v>
      </c>
      <c r="G103" s="355" t="s">
        <v>1</v>
      </c>
      <c r="H103" s="355" t="s">
        <v>6</v>
      </c>
      <c r="J103" s="355" t="s">
        <v>516</v>
      </c>
      <c r="K103" s="355" t="s">
        <v>507</v>
      </c>
      <c r="L103" s="355" t="s">
        <v>517</v>
      </c>
      <c r="M103" s="2" t="s">
        <v>512</v>
      </c>
      <c r="N103" s="2" t="s">
        <v>1</v>
      </c>
      <c r="O103" s="2" t="s">
        <v>504</v>
      </c>
      <c r="R103" s="2" t="s">
        <v>57</v>
      </c>
    </row>
    <row r="104" spans="1:21" ht="14.45" hidden="1">
      <c r="A104" s="354" t="s">
        <v>22</v>
      </c>
      <c r="B104" s="354">
        <v>114</v>
      </c>
      <c r="C104" s="354" t="s">
        <v>518</v>
      </c>
      <c r="D104" s="354" t="s">
        <v>17</v>
      </c>
      <c r="E104" s="354" t="s">
        <v>75</v>
      </c>
      <c r="F104" s="354" t="s">
        <v>53</v>
      </c>
      <c r="G104" s="355" t="s">
        <v>1</v>
      </c>
      <c r="H104" s="355" t="s">
        <v>6</v>
      </c>
      <c r="J104" s="355" t="s">
        <v>519</v>
      </c>
      <c r="L104" s="355" t="s">
        <v>520</v>
      </c>
      <c r="M104" s="2" t="s">
        <v>512</v>
      </c>
      <c r="N104" s="2" t="s">
        <v>1</v>
      </c>
      <c r="O104" s="2" t="s">
        <v>504</v>
      </c>
      <c r="R104" s="2" t="s">
        <v>57</v>
      </c>
    </row>
    <row r="105" spans="1:21" ht="14.45" hidden="1">
      <c r="A105" s="354" t="s">
        <v>22</v>
      </c>
      <c r="B105" s="354">
        <v>115</v>
      </c>
      <c r="C105" s="354" t="s">
        <v>521</v>
      </c>
      <c r="D105" s="354" t="s">
        <v>17</v>
      </c>
      <c r="E105" s="354" t="s">
        <v>75</v>
      </c>
      <c r="F105" s="354" t="s">
        <v>53</v>
      </c>
      <c r="G105" s="355" t="s">
        <v>1</v>
      </c>
      <c r="H105" s="355" t="s">
        <v>6</v>
      </c>
      <c r="J105" s="355" t="s">
        <v>522</v>
      </c>
      <c r="L105" s="355" t="s">
        <v>523</v>
      </c>
      <c r="M105" s="2" t="s">
        <v>512</v>
      </c>
      <c r="N105" s="2" t="s">
        <v>1</v>
      </c>
      <c r="O105" s="2" t="s">
        <v>504</v>
      </c>
      <c r="R105" s="2" t="s">
        <v>57</v>
      </c>
    </row>
    <row r="106" spans="1:21" ht="14.45" hidden="1">
      <c r="A106" s="354" t="s">
        <v>22</v>
      </c>
      <c r="B106" s="354">
        <v>116</v>
      </c>
      <c r="C106" s="354" t="s">
        <v>524</v>
      </c>
      <c r="D106" s="354" t="s">
        <v>17</v>
      </c>
      <c r="E106" s="354" t="s">
        <v>75</v>
      </c>
      <c r="F106" s="354" t="s">
        <v>53</v>
      </c>
      <c r="G106" s="355" t="s">
        <v>1</v>
      </c>
      <c r="H106" s="355" t="s">
        <v>6</v>
      </c>
      <c r="J106" s="355" t="s">
        <v>525</v>
      </c>
      <c r="L106" s="355" t="s">
        <v>526</v>
      </c>
      <c r="M106" s="2" t="s">
        <v>512</v>
      </c>
      <c r="N106" s="2" t="s">
        <v>1</v>
      </c>
      <c r="O106" s="2" t="s">
        <v>504</v>
      </c>
      <c r="R106" s="2" t="s">
        <v>57</v>
      </c>
    </row>
    <row r="107" spans="1:21" ht="14.45" hidden="1">
      <c r="A107" s="354" t="s">
        <v>22</v>
      </c>
      <c r="B107" s="354">
        <v>117</v>
      </c>
      <c r="C107" s="354" t="s">
        <v>527</v>
      </c>
      <c r="D107" s="354" t="s">
        <v>17</v>
      </c>
      <c r="E107" s="354" t="s">
        <v>75</v>
      </c>
      <c r="F107" s="354" t="s">
        <v>53</v>
      </c>
      <c r="G107" s="355" t="s">
        <v>1</v>
      </c>
      <c r="H107" s="355" t="s">
        <v>6</v>
      </c>
      <c r="J107" s="355" t="s">
        <v>528</v>
      </c>
      <c r="L107" s="355" t="s">
        <v>529</v>
      </c>
      <c r="M107" s="2" t="s">
        <v>512</v>
      </c>
      <c r="N107" s="2" t="s">
        <v>1</v>
      </c>
      <c r="O107" s="2" t="s">
        <v>504</v>
      </c>
      <c r="R107" s="2" t="s">
        <v>57</v>
      </c>
    </row>
    <row r="108" spans="1:21" ht="14.45" hidden="1">
      <c r="A108" s="354" t="s">
        <v>22</v>
      </c>
      <c r="B108" s="354">
        <v>118</v>
      </c>
      <c r="C108" s="354" t="s">
        <v>530</v>
      </c>
      <c r="D108" s="354" t="s">
        <v>17</v>
      </c>
      <c r="E108" s="354" t="s">
        <v>75</v>
      </c>
      <c r="F108" s="354" t="s">
        <v>53</v>
      </c>
      <c r="G108" s="355" t="s">
        <v>1</v>
      </c>
      <c r="H108" s="355" t="s">
        <v>6</v>
      </c>
      <c r="J108" s="355" t="s">
        <v>531</v>
      </c>
      <c r="L108" s="355" t="s">
        <v>532</v>
      </c>
      <c r="M108" s="2" t="s">
        <v>512</v>
      </c>
      <c r="N108" s="2" t="s">
        <v>1</v>
      </c>
      <c r="O108" s="2" t="s">
        <v>504</v>
      </c>
      <c r="R108" s="2" t="s">
        <v>57</v>
      </c>
    </row>
    <row r="109" spans="1:21" ht="14.45" hidden="1">
      <c r="A109" s="354" t="s">
        <v>22</v>
      </c>
      <c r="B109" s="354">
        <v>119</v>
      </c>
      <c r="C109" s="354" t="s">
        <v>533</v>
      </c>
      <c r="D109" s="354" t="s">
        <v>17</v>
      </c>
      <c r="E109" s="354" t="s">
        <v>75</v>
      </c>
      <c r="F109" s="354" t="s">
        <v>53</v>
      </c>
      <c r="G109" s="355" t="s">
        <v>1</v>
      </c>
      <c r="H109" s="355" t="s">
        <v>6</v>
      </c>
      <c r="J109" s="355" t="s">
        <v>534</v>
      </c>
      <c r="L109" s="355" t="s">
        <v>535</v>
      </c>
      <c r="M109" s="2" t="s">
        <v>512</v>
      </c>
      <c r="N109" s="2" t="s">
        <v>1</v>
      </c>
      <c r="O109" s="2" t="s">
        <v>504</v>
      </c>
      <c r="R109" s="2" t="s">
        <v>57</v>
      </c>
    </row>
    <row r="110" spans="1:21" ht="14.45" hidden="1">
      <c r="A110" s="354" t="s">
        <v>22</v>
      </c>
      <c r="B110" s="354">
        <v>120</v>
      </c>
      <c r="C110" s="354" t="s">
        <v>536</v>
      </c>
      <c r="D110" s="354" t="s">
        <v>17</v>
      </c>
      <c r="E110" s="354" t="s">
        <v>75</v>
      </c>
      <c r="F110" s="354" t="s">
        <v>53</v>
      </c>
      <c r="G110" s="355" t="s">
        <v>1</v>
      </c>
      <c r="H110" s="355" t="s">
        <v>6</v>
      </c>
      <c r="J110" s="355" t="s">
        <v>537</v>
      </c>
      <c r="L110" s="355" t="s">
        <v>538</v>
      </c>
      <c r="M110" s="2" t="s">
        <v>512</v>
      </c>
      <c r="N110" s="2" t="s">
        <v>1</v>
      </c>
      <c r="O110" s="2" t="s">
        <v>504</v>
      </c>
      <c r="R110" s="2" t="s">
        <v>57</v>
      </c>
    </row>
    <row r="111" spans="1:21" ht="14.45" hidden="1">
      <c r="A111" s="354" t="s">
        <v>22</v>
      </c>
      <c r="B111" s="354">
        <v>121</v>
      </c>
      <c r="C111" s="354" t="s">
        <v>539</v>
      </c>
      <c r="D111" s="354" t="s">
        <v>17</v>
      </c>
      <c r="E111" s="354" t="s">
        <v>75</v>
      </c>
      <c r="F111" s="354" t="s">
        <v>53</v>
      </c>
      <c r="G111" s="355" t="s">
        <v>1</v>
      </c>
      <c r="H111" s="355" t="s">
        <v>6</v>
      </c>
      <c r="J111" s="355" t="s">
        <v>540</v>
      </c>
      <c r="L111" s="355" t="s">
        <v>541</v>
      </c>
      <c r="M111" s="2" t="s">
        <v>512</v>
      </c>
      <c r="N111" s="2" t="s">
        <v>1</v>
      </c>
      <c r="O111" s="2" t="s">
        <v>504</v>
      </c>
      <c r="R111" s="2" t="s">
        <v>57</v>
      </c>
    </row>
    <row r="112" spans="1:21" ht="14.45" hidden="1">
      <c r="A112" s="354" t="s">
        <v>22</v>
      </c>
      <c r="B112" s="354">
        <v>122</v>
      </c>
      <c r="C112" s="354" t="s">
        <v>542</v>
      </c>
      <c r="D112" s="354" t="s">
        <v>17</v>
      </c>
      <c r="E112" s="354" t="s">
        <v>75</v>
      </c>
      <c r="F112" s="354" t="s">
        <v>1</v>
      </c>
      <c r="G112" s="355" t="s">
        <v>1</v>
      </c>
      <c r="H112" s="355" t="s">
        <v>6</v>
      </c>
      <c r="J112" s="355" t="s">
        <v>543</v>
      </c>
      <c r="K112" s="355" t="s">
        <v>502</v>
      </c>
      <c r="L112" s="355" t="s">
        <v>544</v>
      </c>
      <c r="M112" s="2" t="s">
        <v>512</v>
      </c>
      <c r="N112" s="2" t="s">
        <v>1</v>
      </c>
      <c r="O112" s="2" t="s">
        <v>504</v>
      </c>
      <c r="R112" s="2" t="s">
        <v>57</v>
      </c>
    </row>
    <row r="113" spans="1:21" ht="14.45" hidden="1">
      <c r="A113" s="354" t="s">
        <v>22</v>
      </c>
      <c r="B113" s="354">
        <v>123</v>
      </c>
      <c r="C113" s="354" t="s">
        <v>545</v>
      </c>
      <c r="D113" s="354" t="s">
        <v>17</v>
      </c>
      <c r="E113" s="354" t="s">
        <v>75</v>
      </c>
      <c r="F113" s="354" t="s">
        <v>1</v>
      </c>
      <c r="G113" s="355" t="s">
        <v>1</v>
      </c>
      <c r="H113" s="355" t="s">
        <v>6</v>
      </c>
      <c r="J113" s="355" t="s">
        <v>546</v>
      </c>
      <c r="K113" s="355" t="s">
        <v>507</v>
      </c>
      <c r="L113" s="355" t="s">
        <v>547</v>
      </c>
      <c r="M113" s="2" t="s">
        <v>512</v>
      </c>
      <c r="N113" s="2" t="s">
        <v>1</v>
      </c>
      <c r="O113" s="2" t="s">
        <v>504</v>
      </c>
      <c r="R113" s="2" t="s">
        <v>57</v>
      </c>
    </row>
    <row r="114" spans="1:21" ht="14.45" hidden="1">
      <c r="A114" s="354" t="s">
        <v>22</v>
      </c>
      <c r="B114" s="354">
        <v>126</v>
      </c>
      <c r="C114" s="354" t="s">
        <v>548</v>
      </c>
      <c r="D114" s="354" t="s">
        <v>17</v>
      </c>
      <c r="E114" s="354" t="s">
        <v>75</v>
      </c>
      <c r="F114" s="354" t="s">
        <v>1</v>
      </c>
      <c r="G114" s="355" t="s">
        <v>1</v>
      </c>
      <c r="H114" s="355" t="s">
        <v>6</v>
      </c>
      <c r="J114" s="355" t="s">
        <v>549</v>
      </c>
      <c r="K114" s="355" t="s">
        <v>502</v>
      </c>
      <c r="L114" s="355" t="s">
        <v>550</v>
      </c>
      <c r="M114" s="2" t="s">
        <v>442</v>
      </c>
      <c r="N114" s="2" t="s">
        <v>1</v>
      </c>
      <c r="O114" s="2" t="s">
        <v>551</v>
      </c>
      <c r="P114" s="2" t="s">
        <v>117</v>
      </c>
      <c r="Q114" s="2" t="s">
        <v>1</v>
      </c>
      <c r="R114" s="2" t="s">
        <v>57</v>
      </c>
    </row>
    <row r="115" spans="1:21" ht="14.45" hidden="1">
      <c r="A115" s="354" t="s">
        <v>22</v>
      </c>
      <c r="B115" s="354">
        <v>127</v>
      </c>
      <c r="C115" s="354" t="s">
        <v>552</v>
      </c>
      <c r="D115" s="354" t="s">
        <v>17</v>
      </c>
      <c r="E115" s="354" t="s">
        <v>75</v>
      </c>
      <c r="F115" s="354" t="s">
        <v>1</v>
      </c>
      <c r="G115" s="355" t="s">
        <v>1</v>
      </c>
      <c r="H115" s="355" t="s">
        <v>6</v>
      </c>
      <c r="J115" s="355" t="s">
        <v>553</v>
      </c>
      <c r="K115" s="355" t="s">
        <v>507</v>
      </c>
      <c r="L115" s="355" t="s">
        <v>554</v>
      </c>
      <c r="M115" s="2" t="s">
        <v>442</v>
      </c>
      <c r="N115" s="2" t="s">
        <v>1</v>
      </c>
      <c r="O115" s="2" t="s">
        <v>551</v>
      </c>
      <c r="P115" s="2" t="s">
        <v>117</v>
      </c>
      <c r="Q115" s="2" t="s">
        <v>1</v>
      </c>
      <c r="R115" s="2" t="s">
        <v>57</v>
      </c>
    </row>
    <row r="116" spans="1:21" ht="14.45" hidden="1">
      <c r="A116" s="354" t="s">
        <v>22</v>
      </c>
      <c r="B116" s="354">
        <v>128</v>
      </c>
      <c r="C116" s="354" t="s">
        <v>555</v>
      </c>
      <c r="D116" s="354" t="s">
        <v>17</v>
      </c>
      <c r="E116" s="354" t="s">
        <v>75</v>
      </c>
      <c r="F116" s="354" t="s">
        <v>53</v>
      </c>
      <c r="G116" s="355" t="s">
        <v>1</v>
      </c>
      <c r="H116" s="355" t="s">
        <v>6</v>
      </c>
      <c r="J116" s="355" t="s">
        <v>556</v>
      </c>
      <c r="L116" s="355" t="s">
        <v>557</v>
      </c>
      <c r="M116" s="2" t="s">
        <v>558</v>
      </c>
      <c r="N116" s="2" t="s">
        <v>57</v>
      </c>
      <c r="O116" s="2" t="s">
        <v>559</v>
      </c>
      <c r="R116" s="2" t="s">
        <v>57</v>
      </c>
    </row>
    <row r="117" spans="1:21" ht="14.45" hidden="1">
      <c r="A117" s="354" t="s">
        <v>22</v>
      </c>
      <c r="B117" s="354">
        <v>129</v>
      </c>
      <c r="C117" s="354" t="s">
        <v>560</v>
      </c>
      <c r="D117" s="354" t="s">
        <v>17</v>
      </c>
      <c r="E117" s="354" t="s">
        <v>75</v>
      </c>
      <c r="F117" s="354" t="s">
        <v>53</v>
      </c>
      <c r="G117" s="355" t="s">
        <v>1</v>
      </c>
      <c r="H117" s="355" t="s">
        <v>6</v>
      </c>
      <c r="J117" s="355" t="s">
        <v>561</v>
      </c>
      <c r="L117" s="355" t="s">
        <v>562</v>
      </c>
      <c r="M117" s="2" t="s">
        <v>563</v>
      </c>
      <c r="N117" s="2" t="s">
        <v>57</v>
      </c>
      <c r="O117" s="2" t="s">
        <v>559</v>
      </c>
      <c r="R117" s="2" t="s">
        <v>57</v>
      </c>
    </row>
    <row r="118" spans="1:21" ht="14.45" hidden="1">
      <c r="A118" s="354" t="s">
        <v>22</v>
      </c>
      <c r="B118" s="354">
        <v>132</v>
      </c>
      <c r="C118" s="354" t="s">
        <v>564</v>
      </c>
      <c r="D118" s="354" t="s">
        <v>18</v>
      </c>
      <c r="E118" s="354" t="s">
        <v>75</v>
      </c>
      <c r="F118" s="354" t="s">
        <v>1</v>
      </c>
      <c r="G118" s="355" t="s">
        <v>1</v>
      </c>
      <c r="H118" s="355" t="s">
        <v>5</v>
      </c>
      <c r="J118" s="355" t="s">
        <v>565</v>
      </c>
      <c r="K118" s="355" t="s">
        <v>566</v>
      </c>
      <c r="L118" s="355" t="s">
        <v>567</v>
      </c>
      <c r="M118" s="2" t="s">
        <v>568</v>
      </c>
      <c r="N118" s="2" t="s">
        <v>1</v>
      </c>
      <c r="O118" s="2" t="s">
        <v>569</v>
      </c>
      <c r="Q118" s="2" t="s">
        <v>53</v>
      </c>
      <c r="R118" s="5">
        <v>1</v>
      </c>
      <c r="S118" s="3"/>
      <c r="T118" s="3"/>
      <c r="U118" s="3"/>
    </row>
    <row r="119" spans="1:21" ht="14.45" hidden="1">
      <c r="A119" s="354" t="s">
        <v>22</v>
      </c>
      <c r="B119" s="354">
        <v>133</v>
      </c>
      <c r="C119" s="354" t="s">
        <v>570</v>
      </c>
      <c r="D119" s="354" t="s">
        <v>18</v>
      </c>
      <c r="E119" s="354" t="s">
        <v>75</v>
      </c>
      <c r="F119" s="354" t="s">
        <v>1</v>
      </c>
      <c r="G119" s="355" t="s">
        <v>1</v>
      </c>
      <c r="H119" s="355" t="s">
        <v>5</v>
      </c>
      <c r="J119" s="355" t="s">
        <v>571</v>
      </c>
      <c r="K119" s="355" t="s">
        <v>566</v>
      </c>
      <c r="L119" s="355" t="s">
        <v>572</v>
      </c>
      <c r="M119" s="2" t="s">
        <v>573</v>
      </c>
      <c r="N119" s="2" t="s">
        <v>1</v>
      </c>
      <c r="O119" s="2" t="s">
        <v>574</v>
      </c>
      <c r="Q119" s="2" t="s">
        <v>53</v>
      </c>
      <c r="R119" s="5"/>
      <c r="S119" s="3"/>
      <c r="T119" s="3"/>
      <c r="U119" s="3"/>
    </row>
    <row r="120" spans="1:21" ht="14.45" hidden="1">
      <c r="A120" s="354" t="s">
        <v>22</v>
      </c>
      <c r="B120" s="354">
        <v>134</v>
      </c>
      <c r="C120" s="354" t="s">
        <v>575</v>
      </c>
      <c r="D120" s="354" t="s">
        <v>18</v>
      </c>
      <c r="E120" s="354" t="s">
        <v>75</v>
      </c>
      <c r="F120" s="354" t="s">
        <v>1</v>
      </c>
      <c r="G120" s="355" t="s">
        <v>1</v>
      </c>
      <c r="H120" s="355" t="s">
        <v>5</v>
      </c>
      <c r="J120" s="355" t="s">
        <v>576</v>
      </c>
      <c r="K120" s="355" t="s">
        <v>566</v>
      </c>
      <c r="L120" s="355" t="s">
        <v>577</v>
      </c>
      <c r="M120" s="2" t="s">
        <v>578</v>
      </c>
      <c r="N120" s="2" t="s">
        <v>1</v>
      </c>
      <c r="O120" s="2" t="s">
        <v>579</v>
      </c>
      <c r="Q120" s="2" t="s">
        <v>53</v>
      </c>
      <c r="S120" s="3"/>
      <c r="T120" s="3"/>
      <c r="U120" s="3"/>
    </row>
    <row r="121" spans="1:21" ht="14.45" hidden="1">
      <c r="A121" s="354" t="s">
        <v>22</v>
      </c>
      <c r="B121" s="354">
        <v>135</v>
      </c>
      <c r="C121" s="354" t="s">
        <v>580</v>
      </c>
      <c r="D121" s="354" t="s">
        <v>17</v>
      </c>
      <c r="E121" s="354" t="s">
        <v>68</v>
      </c>
      <c r="F121" s="354" t="s">
        <v>1</v>
      </c>
      <c r="G121" s="355" t="s">
        <v>1</v>
      </c>
      <c r="H121" s="355" t="s">
        <v>5</v>
      </c>
      <c r="J121" s="361" t="s">
        <v>581</v>
      </c>
      <c r="K121" s="355" t="s">
        <v>582</v>
      </c>
      <c r="L121" s="355" t="s">
        <v>583</v>
      </c>
      <c r="M121" s="2" t="s">
        <v>584</v>
      </c>
      <c r="N121" s="2" t="s">
        <v>57</v>
      </c>
      <c r="R121" s="2" t="s">
        <v>57</v>
      </c>
    </row>
    <row r="122" spans="1:21" ht="14.45" hidden="1">
      <c r="A122" s="354" t="s">
        <v>22</v>
      </c>
      <c r="B122" s="354">
        <v>136</v>
      </c>
      <c r="C122" s="354" t="s">
        <v>585</v>
      </c>
      <c r="D122" s="354" t="s">
        <v>17</v>
      </c>
      <c r="E122" s="354" t="s">
        <v>68</v>
      </c>
      <c r="F122" s="354" t="s">
        <v>1</v>
      </c>
      <c r="G122" s="355" t="s">
        <v>1</v>
      </c>
      <c r="H122" s="355" t="s">
        <v>5</v>
      </c>
      <c r="J122" s="355" t="s">
        <v>586</v>
      </c>
      <c r="K122" s="355" t="s">
        <v>566</v>
      </c>
      <c r="L122" s="355" t="s">
        <v>587</v>
      </c>
      <c r="N122" s="2" t="s">
        <v>1</v>
      </c>
      <c r="O122" s="2" t="s">
        <v>588</v>
      </c>
      <c r="R122" s="2" t="s">
        <v>57</v>
      </c>
    </row>
    <row r="123" spans="1:21" ht="14.45" hidden="1">
      <c r="A123" s="354" t="s">
        <v>22</v>
      </c>
      <c r="B123" s="354">
        <v>137</v>
      </c>
      <c r="C123" s="354" t="s">
        <v>589</v>
      </c>
      <c r="D123" s="354" t="s">
        <v>17</v>
      </c>
      <c r="E123" s="354" t="s">
        <v>68</v>
      </c>
      <c r="F123" s="354" t="s">
        <v>1</v>
      </c>
      <c r="G123" s="355" t="s">
        <v>1</v>
      </c>
      <c r="H123" s="355" t="s">
        <v>5</v>
      </c>
      <c r="J123" s="355" t="s">
        <v>590</v>
      </c>
      <c r="K123" s="355" t="s">
        <v>566</v>
      </c>
      <c r="L123" s="355" t="s">
        <v>591</v>
      </c>
      <c r="N123" s="2" t="s">
        <v>1</v>
      </c>
      <c r="R123" s="2" t="s">
        <v>57</v>
      </c>
    </row>
    <row r="124" spans="1:21" ht="14.45" hidden="1">
      <c r="A124" s="354" t="s">
        <v>22</v>
      </c>
      <c r="B124" s="354">
        <v>138</v>
      </c>
      <c r="C124" s="354" t="s">
        <v>592</v>
      </c>
      <c r="D124" s="354" t="s">
        <v>17</v>
      </c>
      <c r="E124" s="354" t="s">
        <v>68</v>
      </c>
      <c r="F124" s="354" t="s">
        <v>1</v>
      </c>
      <c r="G124" s="355" t="s">
        <v>1</v>
      </c>
      <c r="H124" s="355" t="s">
        <v>5</v>
      </c>
      <c r="J124" s="355" t="s">
        <v>593</v>
      </c>
      <c r="K124" s="355" t="s">
        <v>566</v>
      </c>
      <c r="L124" s="355" t="s">
        <v>594</v>
      </c>
      <c r="N124" s="2" t="s">
        <v>1</v>
      </c>
      <c r="O124" s="2" t="s">
        <v>595</v>
      </c>
      <c r="R124" s="2" t="s">
        <v>57</v>
      </c>
    </row>
    <row r="125" spans="1:21" ht="14.45" hidden="1">
      <c r="A125" s="354" t="s">
        <v>22</v>
      </c>
      <c r="B125" s="354">
        <v>139</v>
      </c>
      <c r="C125" s="354" t="s">
        <v>596</v>
      </c>
      <c r="D125" s="354" t="s">
        <v>17</v>
      </c>
      <c r="E125" s="354" t="s">
        <v>68</v>
      </c>
      <c r="F125" s="354" t="s">
        <v>1</v>
      </c>
      <c r="G125" s="355" t="s">
        <v>1</v>
      </c>
      <c r="H125" s="355" t="s">
        <v>5</v>
      </c>
      <c r="J125" s="355" t="s">
        <v>597</v>
      </c>
      <c r="K125" s="355" t="s">
        <v>566</v>
      </c>
      <c r="L125" s="355" t="s">
        <v>598</v>
      </c>
      <c r="M125" s="2" t="s">
        <v>599</v>
      </c>
      <c r="N125" s="2" t="s">
        <v>1</v>
      </c>
      <c r="O125" s="2" t="s">
        <v>595</v>
      </c>
      <c r="R125" s="2" t="s">
        <v>57</v>
      </c>
    </row>
    <row r="126" spans="1:21" ht="14.45" hidden="1">
      <c r="A126" s="354" t="s">
        <v>22</v>
      </c>
      <c r="B126" s="354">
        <v>140</v>
      </c>
      <c r="C126" s="354" t="s">
        <v>600</v>
      </c>
      <c r="D126" s="354" t="s">
        <v>17</v>
      </c>
      <c r="E126" s="354" t="s">
        <v>52</v>
      </c>
      <c r="F126" s="354" t="s">
        <v>53</v>
      </c>
      <c r="G126" s="355" t="s">
        <v>1</v>
      </c>
      <c r="H126" s="355" t="s">
        <v>5</v>
      </c>
      <c r="J126" s="355" t="s">
        <v>601</v>
      </c>
      <c r="L126" s="355" t="s">
        <v>602</v>
      </c>
      <c r="M126" s="2" t="s">
        <v>603</v>
      </c>
      <c r="N126" s="2" t="s">
        <v>1</v>
      </c>
      <c r="O126" s="2" t="s">
        <v>595</v>
      </c>
      <c r="R126" s="2" t="s">
        <v>57</v>
      </c>
    </row>
    <row r="127" spans="1:21" ht="14.45" hidden="1">
      <c r="A127" s="354" t="s">
        <v>22</v>
      </c>
      <c r="B127" s="354">
        <v>141</v>
      </c>
      <c r="C127" s="354" t="s">
        <v>374</v>
      </c>
      <c r="D127" s="354" t="s">
        <v>17</v>
      </c>
      <c r="E127" s="354" t="s">
        <v>75</v>
      </c>
      <c r="F127" s="354" t="s">
        <v>1</v>
      </c>
      <c r="G127" s="355" t="s">
        <v>1</v>
      </c>
      <c r="H127" s="355" t="s">
        <v>5</v>
      </c>
      <c r="J127" s="355" t="s">
        <v>604</v>
      </c>
      <c r="K127" s="355" t="s">
        <v>605</v>
      </c>
      <c r="L127" s="355" t="s">
        <v>606</v>
      </c>
      <c r="N127" s="2" t="s">
        <v>57</v>
      </c>
      <c r="R127" s="2" t="s">
        <v>57</v>
      </c>
    </row>
    <row r="128" spans="1:21" ht="14.45" hidden="1">
      <c r="A128" s="354" t="s">
        <v>22</v>
      </c>
      <c r="B128" s="354">
        <v>142</v>
      </c>
      <c r="C128" s="354" t="s">
        <v>377</v>
      </c>
      <c r="D128" s="354" t="s">
        <v>17</v>
      </c>
      <c r="E128" s="354" t="s">
        <v>75</v>
      </c>
      <c r="F128" s="354" t="s">
        <v>53</v>
      </c>
      <c r="G128" s="355" t="s">
        <v>1</v>
      </c>
      <c r="H128" s="355" t="s">
        <v>5</v>
      </c>
      <c r="J128" s="355" t="s">
        <v>607</v>
      </c>
      <c r="L128" s="355" t="s">
        <v>608</v>
      </c>
      <c r="N128" s="2" t="s">
        <v>57</v>
      </c>
      <c r="R128" s="2" t="s">
        <v>57</v>
      </c>
    </row>
    <row r="129" spans="1:21" ht="14.45" hidden="1">
      <c r="A129" s="354" t="s">
        <v>22</v>
      </c>
      <c r="B129" s="354">
        <v>143</v>
      </c>
      <c r="C129" s="354" t="s">
        <v>609</v>
      </c>
      <c r="D129" s="354" t="s">
        <v>17</v>
      </c>
      <c r="E129" s="354" t="s">
        <v>75</v>
      </c>
      <c r="F129" s="354" t="s">
        <v>53</v>
      </c>
      <c r="G129" s="355" t="s">
        <v>1</v>
      </c>
      <c r="H129" s="355" t="s">
        <v>5</v>
      </c>
      <c r="J129" s="355" t="s">
        <v>610</v>
      </c>
      <c r="L129" s="355" t="s">
        <v>611</v>
      </c>
      <c r="N129" s="2" t="s">
        <v>57</v>
      </c>
      <c r="R129" s="2" t="s">
        <v>57</v>
      </c>
    </row>
    <row r="130" spans="1:21" ht="14.45" hidden="1">
      <c r="A130" s="354" t="s">
        <v>22</v>
      </c>
      <c r="B130" s="354">
        <v>144</v>
      </c>
      <c r="C130" s="354" t="s">
        <v>612</v>
      </c>
      <c r="D130" s="354" t="s">
        <v>17</v>
      </c>
      <c r="E130" s="354" t="s">
        <v>75</v>
      </c>
      <c r="F130" s="354" t="s">
        <v>1</v>
      </c>
      <c r="G130" s="355" t="s">
        <v>1</v>
      </c>
      <c r="H130" s="355" t="s">
        <v>5</v>
      </c>
      <c r="J130" s="355" t="s">
        <v>613</v>
      </c>
      <c r="K130" s="355" t="s">
        <v>614</v>
      </c>
      <c r="L130" s="355" t="s">
        <v>615</v>
      </c>
      <c r="M130" s="2" t="s">
        <v>616</v>
      </c>
      <c r="N130" s="2" t="s">
        <v>57</v>
      </c>
      <c r="R130" s="2" t="s">
        <v>57</v>
      </c>
    </row>
    <row r="131" spans="1:21" ht="14.45" hidden="1">
      <c r="A131" s="354" t="s">
        <v>22</v>
      </c>
      <c r="B131" s="354">
        <v>145</v>
      </c>
      <c r="C131" s="354" t="s">
        <v>617</v>
      </c>
      <c r="D131" s="354" t="s">
        <v>17</v>
      </c>
      <c r="E131" s="354" t="s">
        <v>75</v>
      </c>
      <c r="F131" s="354" t="s">
        <v>53</v>
      </c>
      <c r="G131" s="355" t="s">
        <v>1</v>
      </c>
      <c r="H131" s="355" t="s">
        <v>5</v>
      </c>
      <c r="J131" s="355" t="s">
        <v>618</v>
      </c>
      <c r="L131" s="355" t="s">
        <v>619</v>
      </c>
      <c r="M131" s="2" t="s">
        <v>620</v>
      </c>
      <c r="N131" s="2" t="s">
        <v>57</v>
      </c>
      <c r="R131" s="2" t="s">
        <v>57</v>
      </c>
    </row>
    <row r="132" spans="1:21" ht="40.5" customHeight="1">
      <c r="A132" s="354" t="s">
        <v>22</v>
      </c>
      <c r="B132" s="354">
        <v>146</v>
      </c>
      <c r="C132" s="354" t="s">
        <v>621</v>
      </c>
      <c r="D132" s="354" t="s">
        <v>19</v>
      </c>
      <c r="E132" s="354" t="s">
        <v>75</v>
      </c>
      <c r="F132" s="354" t="s">
        <v>1</v>
      </c>
      <c r="G132" s="355" t="s">
        <v>1</v>
      </c>
      <c r="H132" s="355" t="s">
        <v>4</v>
      </c>
      <c r="J132" s="355" t="s">
        <v>622</v>
      </c>
      <c r="K132" s="357" t="s">
        <v>623</v>
      </c>
      <c r="L132" s="355" t="s">
        <v>624</v>
      </c>
      <c r="M132" s="2">
        <v>2</v>
      </c>
      <c r="N132" s="2" t="s">
        <v>1</v>
      </c>
      <c r="O132" s="2" t="s">
        <v>625</v>
      </c>
      <c r="Q132" s="2" t="s">
        <v>1</v>
      </c>
      <c r="S132" s="3"/>
      <c r="T132" s="3"/>
      <c r="U132" s="3"/>
    </row>
    <row r="133" spans="1:21" ht="14.45">
      <c r="A133" s="354" t="s">
        <v>22</v>
      </c>
      <c r="B133" s="354">
        <v>147</v>
      </c>
      <c r="C133" s="354" t="s">
        <v>626</v>
      </c>
      <c r="D133" s="354" t="s">
        <v>19</v>
      </c>
      <c r="E133" s="354" t="s">
        <v>75</v>
      </c>
      <c r="F133" s="354" t="s">
        <v>53</v>
      </c>
      <c r="G133" s="355" t="s">
        <v>1</v>
      </c>
      <c r="H133" s="355" t="s">
        <v>4</v>
      </c>
      <c r="J133" s="355" t="s">
        <v>627</v>
      </c>
      <c r="K133" s="357"/>
      <c r="L133" s="355" t="s">
        <v>628</v>
      </c>
      <c r="M133" s="2">
        <v>0</v>
      </c>
      <c r="N133" s="2" t="s">
        <v>1</v>
      </c>
      <c r="O133" s="2" t="s">
        <v>625</v>
      </c>
      <c r="Q133" s="2" t="s">
        <v>1</v>
      </c>
      <c r="S133" s="3"/>
      <c r="T133" s="3"/>
      <c r="U133" s="3"/>
    </row>
    <row r="134" spans="1:21" ht="60" hidden="1">
      <c r="A134" s="354" t="s">
        <v>22</v>
      </c>
      <c r="B134" s="354">
        <v>148</v>
      </c>
      <c r="C134" s="354" t="s">
        <v>629</v>
      </c>
      <c r="D134" s="354" t="s">
        <v>18</v>
      </c>
      <c r="E134" s="354" t="s">
        <v>68</v>
      </c>
      <c r="F134" s="354" t="s">
        <v>1</v>
      </c>
      <c r="G134" s="355" t="s">
        <v>1</v>
      </c>
      <c r="H134" s="355" t="s">
        <v>4</v>
      </c>
      <c r="J134" s="355" t="s">
        <v>630</v>
      </c>
      <c r="K134" s="357" t="s">
        <v>631</v>
      </c>
      <c r="L134" s="355" t="s">
        <v>632</v>
      </c>
      <c r="M134" s="2" t="s">
        <v>333</v>
      </c>
      <c r="N134" s="2" t="s">
        <v>633</v>
      </c>
      <c r="O134" s="2" t="s">
        <v>634</v>
      </c>
      <c r="Q134" s="2" t="s">
        <v>53</v>
      </c>
      <c r="S134" s="3"/>
      <c r="T134" s="3"/>
      <c r="U134" s="3"/>
    </row>
    <row r="135" spans="1:21" ht="14.45" hidden="1">
      <c r="A135" s="354" t="s">
        <v>22</v>
      </c>
      <c r="B135" s="354">
        <v>149</v>
      </c>
      <c r="C135" s="354" t="s">
        <v>635</v>
      </c>
      <c r="D135" s="354" t="s">
        <v>18</v>
      </c>
      <c r="E135" s="354" t="s">
        <v>75</v>
      </c>
      <c r="F135" s="354" t="s">
        <v>53</v>
      </c>
      <c r="G135" s="355" t="s">
        <v>1</v>
      </c>
      <c r="H135" s="355" t="s">
        <v>4</v>
      </c>
      <c r="J135" s="355" t="s">
        <v>636</v>
      </c>
      <c r="K135" s="357"/>
      <c r="M135" s="2" t="s">
        <v>333</v>
      </c>
      <c r="N135" s="2" t="s">
        <v>637</v>
      </c>
      <c r="O135" s="2" t="s">
        <v>638</v>
      </c>
      <c r="Q135" s="2" t="s">
        <v>53</v>
      </c>
      <c r="S135" s="3"/>
      <c r="T135" s="3"/>
      <c r="U135" s="3"/>
    </row>
    <row r="136" spans="1:21" ht="14.45" hidden="1">
      <c r="A136" s="354" t="s">
        <v>22</v>
      </c>
      <c r="B136" s="354">
        <v>150</v>
      </c>
      <c r="C136" s="354" t="s">
        <v>639</v>
      </c>
      <c r="D136" s="354" t="s">
        <v>18</v>
      </c>
      <c r="E136" s="354" t="s">
        <v>68</v>
      </c>
      <c r="F136" s="354" t="s">
        <v>208</v>
      </c>
      <c r="G136" s="355" t="s">
        <v>1</v>
      </c>
      <c r="H136" s="355" t="s">
        <v>4</v>
      </c>
      <c r="J136" s="355" t="s">
        <v>640</v>
      </c>
      <c r="K136" s="357"/>
      <c r="M136" s="2" t="s">
        <v>333</v>
      </c>
      <c r="N136" s="2" t="s">
        <v>53</v>
      </c>
      <c r="O136" s="2" t="s">
        <v>641</v>
      </c>
      <c r="Q136" s="2" t="s">
        <v>53</v>
      </c>
      <c r="S136" s="3"/>
      <c r="T136" s="3"/>
      <c r="U136" s="3"/>
    </row>
    <row r="137" spans="1:21" ht="14.45" hidden="1">
      <c r="A137" s="354" t="s">
        <v>22</v>
      </c>
      <c r="B137" s="354">
        <v>151</v>
      </c>
      <c r="C137" s="354" t="s">
        <v>642</v>
      </c>
      <c r="D137" s="354" t="s">
        <v>18</v>
      </c>
      <c r="E137" s="354" t="s">
        <v>68</v>
      </c>
      <c r="F137" s="354" t="s">
        <v>208</v>
      </c>
      <c r="G137" s="355" t="s">
        <v>1</v>
      </c>
      <c r="H137" s="355" t="s">
        <v>4</v>
      </c>
      <c r="J137" s="355" t="s">
        <v>643</v>
      </c>
      <c r="K137" s="357"/>
      <c r="M137" s="2" t="s">
        <v>333</v>
      </c>
      <c r="N137" s="2" t="s">
        <v>53</v>
      </c>
      <c r="O137" s="2" t="s">
        <v>644</v>
      </c>
      <c r="Q137" s="2" t="s">
        <v>53</v>
      </c>
      <c r="S137" s="3"/>
      <c r="T137" s="3"/>
      <c r="U137" s="3"/>
    </row>
    <row r="138" spans="1:21" ht="14.45" hidden="1">
      <c r="A138" s="354" t="s">
        <v>22</v>
      </c>
      <c r="B138" s="354">
        <v>152</v>
      </c>
      <c r="C138" s="354" t="s">
        <v>645</v>
      </c>
      <c r="D138" s="354" t="s">
        <v>18</v>
      </c>
      <c r="E138" s="354" t="s">
        <v>68</v>
      </c>
      <c r="F138" s="354" t="s">
        <v>208</v>
      </c>
      <c r="G138" s="355" t="s">
        <v>1</v>
      </c>
      <c r="H138" s="355" t="s">
        <v>4</v>
      </c>
      <c r="J138" s="355" t="s">
        <v>646</v>
      </c>
      <c r="K138" s="357"/>
      <c r="M138" s="2" t="s">
        <v>333</v>
      </c>
      <c r="N138" s="2" t="s">
        <v>53</v>
      </c>
      <c r="O138" s="2" t="s">
        <v>647</v>
      </c>
      <c r="Q138" s="2" t="s">
        <v>53</v>
      </c>
      <c r="S138" s="3"/>
      <c r="T138" s="3"/>
      <c r="U138" s="3"/>
    </row>
    <row r="139" spans="1:21" ht="14.45" hidden="1">
      <c r="A139" s="354" t="s">
        <v>22</v>
      </c>
      <c r="B139" s="354">
        <v>153</v>
      </c>
      <c r="C139" s="354" t="s">
        <v>648</v>
      </c>
      <c r="D139" s="354" t="s">
        <v>18</v>
      </c>
      <c r="E139" s="354" t="s">
        <v>68</v>
      </c>
      <c r="F139" s="354" t="s">
        <v>208</v>
      </c>
      <c r="G139" s="355" t="s">
        <v>1</v>
      </c>
      <c r="H139" s="355" t="s">
        <v>4</v>
      </c>
      <c r="J139" s="355" t="s">
        <v>649</v>
      </c>
      <c r="K139" s="357"/>
      <c r="M139" s="2" t="s">
        <v>333</v>
      </c>
      <c r="N139" s="2" t="s">
        <v>53</v>
      </c>
      <c r="O139" s="2" t="s">
        <v>650</v>
      </c>
      <c r="Q139" s="2" t="s">
        <v>53</v>
      </c>
      <c r="S139" s="3"/>
      <c r="T139" s="3"/>
      <c r="U139" s="3"/>
    </row>
    <row r="140" spans="1:21" ht="14.45" hidden="1">
      <c r="A140" s="354" t="s">
        <v>22</v>
      </c>
      <c r="B140" s="354">
        <v>154</v>
      </c>
      <c r="C140" s="354" t="s">
        <v>651</v>
      </c>
      <c r="D140" s="354" t="s">
        <v>18</v>
      </c>
      <c r="E140" s="354" t="s">
        <v>68</v>
      </c>
      <c r="F140" s="354" t="s">
        <v>208</v>
      </c>
      <c r="G140" s="355" t="s">
        <v>1</v>
      </c>
      <c r="H140" s="355" t="s">
        <v>4</v>
      </c>
      <c r="J140" s="355" t="s">
        <v>652</v>
      </c>
      <c r="K140" s="357"/>
      <c r="M140" s="2" t="s">
        <v>333</v>
      </c>
      <c r="N140" s="2" t="s">
        <v>53</v>
      </c>
      <c r="O140" s="2" t="s">
        <v>653</v>
      </c>
      <c r="Q140" s="2" t="s">
        <v>53</v>
      </c>
      <c r="S140" s="3"/>
      <c r="T140" s="3"/>
      <c r="U140" s="3"/>
    </row>
    <row r="141" spans="1:21" ht="14.45" hidden="1">
      <c r="A141" s="354" t="s">
        <v>22</v>
      </c>
      <c r="B141" s="354">
        <v>155</v>
      </c>
      <c r="C141" s="354" t="s">
        <v>654</v>
      </c>
      <c r="D141" s="354" t="s">
        <v>18</v>
      </c>
      <c r="E141" s="354" t="s">
        <v>68</v>
      </c>
      <c r="F141" s="354" t="s">
        <v>208</v>
      </c>
      <c r="G141" s="355" t="s">
        <v>1</v>
      </c>
      <c r="H141" s="355" t="s">
        <v>4</v>
      </c>
      <c r="J141" s="355" t="s">
        <v>655</v>
      </c>
      <c r="K141" s="357"/>
      <c r="M141" s="2" t="s">
        <v>333</v>
      </c>
      <c r="N141" s="2" t="s">
        <v>53</v>
      </c>
      <c r="O141" s="2" t="s">
        <v>656</v>
      </c>
      <c r="Q141" s="2" t="s">
        <v>53</v>
      </c>
      <c r="S141" s="3"/>
      <c r="T141" s="3"/>
      <c r="U141" s="3"/>
    </row>
    <row r="142" spans="1:21" ht="14.45" hidden="1">
      <c r="A142" s="354" t="s">
        <v>22</v>
      </c>
      <c r="B142" s="354">
        <v>156</v>
      </c>
      <c r="C142" s="354" t="s">
        <v>657</v>
      </c>
      <c r="D142" s="354" t="s">
        <v>18</v>
      </c>
      <c r="E142" s="354" t="s">
        <v>68</v>
      </c>
      <c r="F142" s="354" t="s">
        <v>208</v>
      </c>
      <c r="G142" s="355" t="s">
        <v>1</v>
      </c>
      <c r="H142" s="355" t="s">
        <v>4</v>
      </c>
      <c r="J142" s="355" t="s">
        <v>658</v>
      </c>
      <c r="K142" s="357"/>
      <c r="M142" s="2" t="s">
        <v>333</v>
      </c>
      <c r="N142" s="2" t="s">
        <v>53</v>
      </c>
      <c r="O142" s="2" t="s">
        <v>659</v>
      </c>
      <c r="Q142" s="2" t="s">
        <v>53</v>
      </c>
      <c r="S142" s="3"/>
      <c r="T142" s="3"/>
      <c r="U142" s="3"/>
    </row>
    <row r="143" spans="1:21" ht="14.45" hidden="1">
      <c r="A143" s="354" t="s">
        <v>22</v>
      </c>
      <c r="B143" s="354">
        <v>157</v>
      </c>
      <c r="C143" s="354" t="s">
        <v>660</v>
      </c>
      <c r="D143" s="354" t="s">
        <v>18</v>
      </c>
      <c r="E143" s="354" t="s">
        <v>68</v>
      </c>
      <c r="F143" s="354" t="s">
        <v>208</v>
      </c>
      <c r="G143" s="355" t="s">
        <v>1</v>
      </c>
      <c r="H143" s="355" t="s">
        <v>4</v>
      </c>
      <c r="J143" s="355" t="s">
        <v>661</v>
      </c>
      <c r="K143" s="357"/>
      <c r="M143" s="2" t="s">
        <v>333</v>
      </c>
      <c r="N143" s="2" t="s">
        <v>53</v>
      </c>
      <c r="O143" s="2" t="s">
        <v>662</v>
      </c>
      <c r="Q143" s="2" t="s">
        <v>53</v>
      </c>
      <c r="S143" s="3"/>
      <c r="T143" s="3"/>
      <c r="U143" s="3"/>
    </row>
    <row r="144" spans="1:21" ht="14.45" hidden="1">
      <c r="A144" s="354" t="s">
        <v>22</v>
      </c>
      <c r="B144" s="354">
        <v>158</v>
      </c>
      <c r="C144" s="354" t="s">
        <v>663</v>
      </c>
      <c r="D144" s="354" t="s">
        <v>18</v>
      </c>
      <c r="E144" s="354" t="s">
        <v>68</v>
      </c>
      <c r="F144" s="354" t="s">
        <v>208</v>
      </c>
      <c r="G144" s="355" t="s">
        <v>1</v>
      </c>
      <c r="H144" s="355" t="s">
        <v>4</v>
      </c>
      <c r="J144" s="355" t="s">
        <v>664</v>
      </c>
      <c r="K144" s="357"/>
      <c r="M144" s="2" t="s">
        <v>333</v>
      </c>
      <c r="N144" s="2" t="s">
        <v>53</v>
      </c>
      <c r="O144" s="2" t="s">
        <v>665</v>
      </c>
      <c r="Q144" s="2" t="s">
        <v>53</v>
      </c>
      <c r="S144" s="3"/>
      <c r="T144" s="3"/>
      <c r="U144" s="3"/>
    </row>
    <row r="145" spans="1:21" ht="14.45" hidden="1">
      <c r="A145" s="354" t="s">
        <v>22</v>
      </c>
      <c r="B145" s="354">
        <v>159</v>
      </c>
      <c r="C145" s="354" t="s">
        <v>666</v>
      </c>
      <c r="D145" s="354" t="s">
        <v>18</v>
      </c>
      <c r="E145" s="354" t="s">
        <v>68</v>
      </c>
      <c r="F145" s="354" t="s">
        <v>208</v>
      </c>
      <c r="G145" s="355" t="s">
        <v>1</v>
      </c>
      <c r="H145" s="355" t="s">
        <v>4</v>
      </c>
      <c r="J145" s="355" t="s">
        <v>667</v>
      </c>
      <c r="K145" s="357"/>
      <c r="M145" s="2" t="s">
        <v>333</v>
      </c>
      <c r="N145" s="2" t="s">
        <v>53</v>
      </c>
      <c r="O145" s="2" t="s">
        <v>668</v>
      </c>
      <c r="Q145" s="2" t="s">
        <v>53</v>
      </c>
      <c r="S145" s="3"/>
      <c r="T145" s="3"/>
      <c r="U145" s="3"/>
    </row>
    <row r="146" spans="1:21" ht="14.45" hidden="1">
      <c r="A146" s="354" t="s">
        <v>22</v>
      </c>
      <c r="B146" s="354">
        <v>160</v>
      </c>
      <c r="C146" s="354" t="s">
        <v>669</v>
      </c>
      <c r="D146" s="354" t="s">
        <v>18</v>
      </c>
      <c r="E146" s="354" t="s">
        <v>68</v>
      </c>
      <c r="F146" s="354" t="s">
        <v>208</v>
      </c>
      <c r="G146" s="355" t="s">
        <v>1</v>
      </c>
      <c r="H146" s="355" t="s">
        <v>4</v>
      </c>
      <c r="J146" s="355" t="s">
        <v>670</v>
      </c>
      <c r="K146" s="357"/>
      <c r="M146" s="2" t="s">
        <v>333</v>
      </c>
      <c r="N146" s="2" t="s">
        <v>53</v>
      </c>
      <c r="O146" s="2" t="s">
        <v>671</v>
      </c>
      <c r="Q146" s="2" t="s">
        <v>53</v>
      </c>
      <c r="S146" s="3"/>
      <c r="T146" s="3"/>
      <c r="U146" s="3"/>
    </row>
    <row r="147" spans="1:21" ht="14.45" hidden="1">
      <c r="A147" s="354" t="s">
        <v>22</v>
      </c>
      <c r="B147" s="354">
        <v>161</v>
      </c>
      <c r="C147" s="354" t="s">
        <v>672</v>
      </c>
      <c r="D147" s="354" t="s">
        <v>18</v>
      </c>
      <c r="E147" s="354" t="s">
        <v>68</v>
      </c>
      <c r="F147" s="354" t="s">
        <v>208</v>
      </c>
      <c r="G147" s="355" t="s">
        <v>1</v>
      </c>
      <c r="H147" s="355" t="s">
        <v>4</v>
      </c>
      <c r="J147" s="355" t="s">
        <v>673</v>
      </c>
      <c r="K147" s="357"/>
      <c r="M147" s="2" t="s">
        <v>333</v>
      </c>
      <c r="N147" s="2" t="s">
        <v>53</v>
      </c>
      <c r="O147" s="2" t="s">
        <v>674</v>
      </c>
      <c r="Q147" s="2" t="s">
        <v>53</v>
      </c>
      <c r="S147" s="3"/>
      <c r="T147" s="3"/>
      <c r="U147" s="3"/>
    </row>
    <row r="148" spans="1:21" ht="14.45">
      <c r="A148" s="354" t="s">
        <v>22</v>
      </c>
      <c r="B148" s="354">
        <v>162</v>
      </c>
      <c r="C148" s="354" t="s">
        <v>675</v>
      </c>
      <c r="D148" s="354" t="s">
        <v>19</v>
      </c>
      <c r="E148" s="354" t="s">
        <v>68</v>
      </c>
      <c r="F148" s="354" t="s">
        <v>53</v>
      </c>
      <c r="G148" s="355" t="s">
        <v>1</v>
      </c>
      <c r="H148" s="355" t="s">
        <v>4</v>
      </c>
      <c r="J148" s="355" t="s">
        <v>676</v>
      </c>
      <c r="K148" s="357"/>
      <c r="L148" s="355" t="s">
        <v>677</v>
      </c>
      <c r="M148" s="2">
        <v>4994</v>
      </c>
      <c r="N148" s="2" t="s">
        <v>1</v>
      </c>
      <c r="O148" s="2" t="s">
        <v>678</v>
      </c>
      <c r="Q148" s="2" t="s">
        <v>53</v>
      </c>
      <c r="R148" s="5">
        <v>1</v>
      </c>
      <c r="S148" s="3"/>
      <c r="T148" s="3"/>
      <c r="U148" s="3"/>
    </row>
    <row r="149" spans="1:21" ht="14.45">
      <c r="A149" s="354" t="s">
        <v>22</v>
      </c>
      <c r="B149" s="354">
        <v>163</v>
      </c>
      <c r="C149" s="354" t="s">
        <v>679</v>
      </c>
      <c r="D149" s="354" t="s">
        <v>19</v>
      </c>
      <c r="E149" s="354" t="s">
        <v>52</v>
      </c>
      <c r="F149" s="354" t="s">
        <v>53</v>
      </c>
      <c r="G149" s="355" t="s">
        <v>1</v>
      </c>
      <c r="H149" s="362" t="s">
        <v>680</v>
      </c>
      <c r="I149" s="362"/>
      <c r="J149" s="362" t="s">
        <v>681</v>
      </c>
      <c r="M149" s="304" t="s">
        <v>682</v>
      </c>
      <c r="N149" s="2" t="s">
        <v>53</v>
      </c>
      <c r="O149" s="2" t="s">
        <v>683</v>
      </c>
      <c r="Q149" s="2" t="s">
        <v>684</v>
      </c>
      <c r="S149" s="3"/>
      <c r="T149" s="3"/>
      <c r="U149" s="3"/>
    </row>
    <row r="150" spans="1:21" ht="14.45" hidden="1">
      <c r="A150" s="354" t="s">
        <v>22</v>
      </c>
      <c r="B150" s="354">
        <v>164</v>
      </c>
      <c r="C150" s="354" t="s">
        <v>685</v>
      </c>
      <c r="D150" s="354" t="s">
        <v>18</v>
      </c>
      <c r="E150" s="354" t="s">
        <v>68</v>
      </c>
      <c r="F150" s="354" t="s">
        <v>53</v>
      </c>
      <c r="G150" s="355" t="s">
        <v>1</v>
      </c>
      <c r="H150" s="355" t="s">
        <v>4</v>
      </c>
      <c r="J150" s="355" t="s">
        <v>686</v>
      </c>
      <c r="K150" s="357"/>
      <c r="M150" s="2" t="s">
        <v>687</v>
      </c>
      <c r="N150" s="2" t="s">
        <v>1</v>
      </c>
      <c r="O150" s="2" t="s">
        <v>688</v>
      </c>
      <c r="Q150" s="2" t="s">
        <v>53</v>
      </c>
      <c r="S150" s="3"/>
      <c r="T150" s="3"/>
      <c r="U150" s="3"/>
    </row>
    <row r="151" spans="1:21" ht="14.45" hidden="1">
      <c r="A151" s="354" t="s">
        <v>22</v>
      </c>
      <c r="B151" s="354">
        <v>165</v>
      </c>
      <c r="C151" s="354" t="s">
        <v>689</v>
      </c>
      <c r="D151" s="354" t="s">
        <v>18</v>
      </c>
      <c r="E151" s="354" t="s">
        <v>68</v>
      </c>
      <c r="F151" s="354" t="s">
        <v>53</v>
      </c>
      <c r="G151" s="355" t="s">
        <v>1</v>
      </c>
      <c r="H151" s="355" t="s">
        <v>4</v>
      </c>
      <c r="J151" s="355" t="s">
        <v>690</v>
      </c>
      <c r="K151" s="357"/>
      <c r="M151" s="2" t="s">
        <v>578</v>
      </c>
      <c r="N151" s="2" t="s">
        <v>1</v>
      </c>
      <c r="O151" s="2" t="s">
        <v>691</v>
      </c>
      <c r="Q151" s="2" t="s">
        <v>53</v>
      </c>
      <c r="S151" s="3"/>
      <c r="T151" s="3"/>
      <c r="U151" s="3"/>
    </row>
    <row r="152" spans="1:21" ht="14.45" hidden="1">
      <c r="A152" s="354" t="s">
        <v>22</v>
      </c>
      <c r="B152" s="354">
        <v>166</v>
      </c>
      <c r="C152" s="354" t="s">
        <v>692</v>
      </c>
      <c r="D152" s="354" t="s">
        <v>18</v>
      </c>
      <c r="E152" s="354" t="s">
        <v>75</v>
      </c>
      <c r="F152" s="354" t="s">
        <v>53</v>
      </c>
      <c r="G152" s="355" t="s">
        <v>1</v>
      </c>
      <c r="H152" s="355" t="s">
        <v>11</v>
      </c>
      <c r="J152" s="356" t="s">
        <v>693</v>
      </c>
      <c r="M152" s="2" t="s">
        <v>694</v>
      </c>
      <c r="N152" s="2" t="s">
        <v>695</v>
      </c>
      <c r="O152" s="2" t="s">
        <v>696</v>
      </c>
      <c r="Q152" s="2" t="s">
        <v>53</v>
      </c>
      <c r="S152" s="3"/>
      <c r="T152" s="3"/>
      <c r="U152" s="3"/>
    </row>
    <row r="153" spans="1:21" ht="14.45" hidden="1">
      <c r="A153" s="354" t="s">
        <v>22</v>
      </c>
      <c r="B153" s="354">
        <v>167</v>
      </c>
      <c r="C153" s="354" t="s">
        <v>697</v>
      </c>
      <c r="D153" s="354" t="s">
        <v>18</v>
      </c>
      <c r="E153" s="354" t="s">
        <v>75</v>
      </c>
      <c r="F153" s="354" t="s">
        <v>53</v>
      </c>
      <c r="G153" s="355" t="s">
        <v>1</v>
      </c>
      <c r="H153" s="355" t="s">
        <v>11</v>
      </c>
      <c r="J153" s="356" t="s">
        <v>698</v>
      </c>
      <c r="M153" s="2" t="s">
        <v>694</v>
      </c>
      <c r="N153" s="2" t="s">
        <v>695</v>
      </c>
      <c r="O153" s="2" t="s">
        <v>699</v>
      </c>
      <c r="Q153" s="2" t="s">
        <v>53</v>
      </c>
      <c r="S153" s="3"/>
      <c r="T153" s="3"/>
      <c r="U153" s="3"/>
    </row>
    <row r="154" spans="1:21" ht="14.45" hidden="1">
      <c r="A154" s="354" t="s">
        <v>22</v>
      </c>
      <c r="B154" s="354">
        <v>168</v>
      </c>
      <c r="C154" s="354" t="s">
        <v>700</v>
      </c>
      <c r="D154" s="354" t="s">
        <v>18</v>
      </c>
      <c r="E154" s="354" t="s">
        <v>75</v>
      </c>
      <c r="F154" s="354" t="s">
        <v>53</v>
      </c>
      <c r="G154" s="355" t="s">
        <v>1</v>
      </c>
      <c r="H154" s="355" t="s">
        <v>4</v>
      </c>
      <c r="J154" s="355" t="s">
        <v>701</v>
      </c>
      <c r="K154" s="357"/>
      <c r="M154" s="2" t="s">
        <v>333</v>
      </c>
      <c r="N154" s="2" t="s">
        <v>1</v>
      </c>
      <c r="O154" s="2" t="s">
        <v>702</v>
      </c>
      <c r="Q154" s="2" t="s">
        <v>53</v>
      </c>
      <c r="S154" s="3"/>
      <c r="T154" s="3"/>
      <c r="U154" s="3"/>
    </row>
    <row r="155" spans="1:21" ht="14.45" hidden="1">
      <c r="A155" s="354" t="s">
        <v>22</v>
      </c>
      <c r="B155" s="354">
        <v>169</v>
      </c>
      <c r="C155" s="354" t="s">
        <v>703</v>
      </c>
      <c r="D155" s="354" t="s">
        <v>18</v>
      </c>
      <c r="E155" s="354" t="s">
        <v>75</v>
      </c>
      <c r="F155" s="354" t="s">
        <v>53</v>
      </c>
      <c r="G155" s="355" t="s">
        <v>1</v>
      </c>
      <c r="H155" s="355" t="s">
        <v>4</v>
      </c>
      <c r="J155" s="355" t="s">
        <v>704</v>
      </c>
      <c r="K155" s="357"/>
      <c r="M155" s="2" t="s">
        <v>333</v>
      </c>
      <c r="N155" s="2" t="s">
        <v>1</v>
      </c>
      <c r="O155" s="2" t="s">
        <v>705</v>
      </c>
      <c r="Q155" s="2" t="s">
        <v>53</v>
      </c>
      <c r="S155" s="3"/>
      <c r="T155" s="3"/>
      <c r="U155" s="3"/>
    </row>
    <row r="156" spans="1:21" ht="14.45" hidden="1">
      <c r="A156" s="354" t="s">
        <v>22</v>
      </c>
      <c r="B156" s="354">
        <v>170</v>
      </c>
      <c r="C156" s="354" t="s">
        <v>706</v>
      </c>
      <c r="D156" s="354" t="s">
        <v>18</v>
      </c>
      <c r="E156" s="354" t="s">
        <v>52</v>
      </c>
      <c r="F156" s="354" t="s">
        <v>53</v>
      </c>
      <c r="G156" s="355" t="s">
        <v>1</v>
      </c>
      <c r="H156" s="355" t="s">
        <v>11</v>
      </c>
      <c r="J156" s="355" t="s">
        <v>707</v>
      </c>
      <c r="M156" s="2" t="s">
        <v>333</v>
      </c>
      <c r="N156" s="2" t="s">
        <v>1</v>
      </c>
      <c r="O156" s="2" t="s">
        <v>708</v>
      </c>
      <c r="Q156" s="2" t="s">
        <v>53</v>
      </c>
      <c r="S156" s="3"/>
      <c r="T156" s="3"/>
      <c r="U156" s="3"/>
    </row>
    <row r="157" spans="1:21" ht="14.45" hidden="1">
      <c r="A157" s="354" t="s">
        <v>22</v>
      </c>
      <c r="B157" s="354">
        <v>171</v>
      </c>
      <c r="C157" s="354" t="s">
        <v>709</v>
      </c>
      <c r="D157" s="354" t="s">
        <v>18</v>
      </c>
      <c r="E157" s="354" t="s">
        <v>75</v>
      </c>
      <c r="F157" s="354" t="s">
        <v>53</v>
      </c>
      <c r="G157" s="355" t="s">
        <v>1</v>
      </c>
      <c r="H157" s="355" t="s">
        <v>9</v>
      </c>
      <c r="J157" s="355" t="s">
        <v>710</v>
      </c>
      <c r="M157" s="2" t="s">
        <v>711</v>
      </c>
      <c r="N157" s="2" t="s">
        <v>1</v>
      </c>
      <c r="O157" s="2" t="s">
        <v>712</v>
      </c>
      <c r="Q157" s="2" t="s">
        <v>53</v>
      </c>
      <c r="S157" s="3"/>
      <c r="T157" s="3"/>
      <c r="U157" s="3"/>
    </row>
    <row r="158" spans="1:21" ht="14.45" hidden="1">
      <c r="A158" s="354" t="s">
        <v>22</v>
      </c>
      <c r="B158" s="354">
        <v>172</v>
      </c>
      <c r="C158" s="354" t="s">
        <v>713</v>
      </c>
      <c r="D158" s="354" t="s">
        <v>18</v>
      </c>
      <c r="E158" s="354" t="s">
        <v>52</v>
      </c>
      <c r="F158" s="354" t="s">
        <v>53</v>
      </c>
      <c r="G158" s="355" t="s">
        <v>1</v>
      </c>
      <c r="H158" s="355" t="s">
        <v>9</v>
      </c>
      <c r="J158" s="355" t="s">
        <v>714</v>
      </c>
      <c r="M158" s="2" t="s">
        <v>715</v>
      </c>
      <c r="N158" s="2" t="s">
        <v>1</v>
      </c>
      <c r="O158" s="2" t="s">
        <v>716</v>
      </c>
      <c r="Q158" s="2" t="s">
        <v>53</v>
      </c>
      <c r="S158" s="3"/>
      <c r="T158" s="3"/>
      <c r="U158" s="3"/>
    </row>
    <row r="159" spans="1:21" ht="14.45" hidden="1">
      <c r="A159" s="354" t="s">
        <v>22</v>
      </c>
      <c r="B159" s="354">
        <v>173</v>
      </c>
      <c r="C159" s="354" t="s">
        <v>717</v>
      </c>
      <c r="D159" s="354" t="s">
        <v>18</v>
      </c>
      <c r="E159" s="354" t="s">
        <v>75</v>
      </c>
      <c r="F159" s="354" t="s">
        <v>1</v>
      </c>
      <c r="G159" s="355" t="s">
        <v>1</v>
      </c>
      <c r="H159" s="355" t="s">
        <v>9</v>
      </c>
      <c r="J159" s="355" t="s">
        <v>718</v>
      </c>
      <c r="K159" s="356" t="s">
        <v>719</v>
      </c>
      <c r="M159" s="2">
        <v>45870.797222222202</v>
      </c>
      <c r="N159" s="2" t="s">
        <v>1</v>
      </c>
      <c r="O159" s="2" t="s">
        <v>720</v>
      </c>
      <c r="Q159" s="2" t="s">
        <v>53</v>
      </c>
      <c r="S159" s="3"/>
      <c r="T159" s="3"/>
      <c r="U159" s="3"/>
    </row>
    <row r="160" spans="1:21" ht="14.45" hidden="1">
      <c r="A160" s="354" t="s">
        <v>22</v>
      </c>
      <c r="B160" s="354">
        <v>174</v>
      </c>
      <c r="C160" s="354" t="s">
        <v>721</v>
      </c>
      <c r="D160" s="354" t="s">
        <v>18</v>
      </c>
      <c r="E160" s="354" t="s">
        <v>68</v>
      </c>
      <c r="F160" s="354" t="s">
        <v>208</v>
      </c>
      <c r="G160" s="355" t="s">
        <v>1</v>
      </c>
      <c r="H160" s="355" t="s">
        <v>9</v>
      </c>
      <c r="J160" s="355" t="s">
        <v>722</v>
      </c>
      <c r="K160" s="355" t="s">
        <v>723</v>
      </c>
      <c r="M160" s="4" t="s">
        <v>724</v>
      </c>
      <c r="N160" s="2" t="s">
        <v>1</v>
      </c>
      <c r="O160" s="2" t="s">
        <v>725</v>
      </c>
      <c r="Q160" s="2" t="s">
        <v>53</v>
      </c>
      <c r="S160" s="3"/>
      <c r="T160" s="3"/>
      <c r="U160" s="3"/>
    </row>
    <row r="161" spans="1:24" ht="14.45" hidden="1">
      <c r="A161" s="354" t="s">
        <v>22</v>
      </c>
      <c r="B161" s="354">
        <v>175</v>
      </c>
      <c r="C161" s="354" t="s">
        <v>726</v>
      </c>
      <c r="D161" s="354" t="s">
        <v>18</v>
      </c>
      <c r="E161" s="354" t="s">
        <v>52</v>
      </c>
      <c r="F161" s="354" t="s">
        <v>53</v>
      </c>
      <c r="G161" s="355" t="s">
        <v>1</v>
      </c>
      <c r="H161" s="355" t="s">
        <v>9</v>
      </c>
      <c r="J161" s="355" t="s">
        <v>727</v>
      </c>
      <c r="M161" s="2" t="s">
        <v>333</v>
      </c>
      <c r="N161" s="2" t="s">
        <v>53</v>
      </c>
      <c r="O161" s="2" t="s">
        <v>728</v>
      </c>
      <c r="Q161" s="2" t="s">
        <v>53</v>
      </c>
      <c r="S161" s="3"/>
      <c r="T161" s="3"/>
      <c r="U161" s="3"/>
    </row>
    <row r="162" spans="1:24" ht="14.45" hidden="1">
      <c r="A162" s="354" t="s">
        <v>22</v>
      </c>
      <c r="B162" s="354">
        <v>176</v>
      </c>
      <c r="C162" s="354" t="s">
        <v>729</v>
      </c>
      <c r="D162" s="354" t="s">
        <v>18</v>
      </c>
      <c r="E162" s="354" t="s">
        <v>52</v>
      </c>
      <c r="F162" s="354" t="s">
        <v>53</v>
      </c>
      <c r="G162" s="355" t="s">
        <v>1</v>
      </c>
      <c r="H162" s="355" t="s">
        <v>9</v>
      </c>
      <c r="J162" s="355" t="s">
        <v>730</v>
      </c>
      <c r="M162" s="2" t="s">
        <v>333</v>
      </c>
      <c r="N162" s="2" t="s">
        <v>53</v>
      </c>
      <c r="O162" s="2" t="s">
        <v>731</v>
      </c>
      <c r="Q162" s="2" t="s">
        <v>53</v>
      </c>
      <c r="S162" s="3"/>
      <c r="T162" s="3"/>
      <c r="U162" s="3"/>
    </row>
    <row r="163" spans="1:24" ht="14.45" hidden="1">
      <c r="A163" s="354" t="s">
        <v>22</v>
      </c>
      <c r="B163" s="354">
        <v>177</v>
      </c>
      <c r="C163" s="354" t="s">
        <v>732</v>
      </c>
      <c r="D163" s="354" t="s">
        <v>17</v>
      </c>
      <c r="E163" s="354" t="s">
        <v>68</v>
      </c>
      <c r="F163" s="354" t="s">
        <v>1</v>
      </c>
      <c r="G163" s="355" t="s">
        <v>1</v>
      </c>
      <c r="H163" s="355" t="s">
        <v>11</v>
      </c>
      <c r="J163" s="361" t="s">
        <v>733</v>
      </c>
      <c r="K163" s="355" t="s">
        <v>582</v>
      </c>
      <c r="L163" s="355" t="s">
        <v>734</v>
      </c>
      <c r="M163" s="2" t="s">
        <v>584</v>
      </c>
      <c r="N163" s="2" t="s">
        <v>57</v>
      </c>
      <c r="R163" s="2" t="s">
        <v>57</v>
      </c>
    </row>
    <row r="164" spans="1:24" ht="48">
      <c r="A164" s="354" t="s">
        <v>22</v>
      </c>
      <c r="B164" s="354">
        <v>178</v>
      </c>
      <c r="C164" s="354" t="s">
        <v>735</v>
      </c>
      <c r="D164" s="354" t="s">
        <v>19</v>
      </c>
      <c r="E164" s="354" t="s">
        <v>68</v>
      </c>
      <c r="F164" s="354" t="s">
        <v>1</v>
      </c>
      <c r="G164" s="355" t="s">
        <v>1</v>
      </c>
      <c r="H164" s="355" t="s">
        <v>7</v>
      </c>
      <c r="J164" s="355" t="s">
        <v>736</v>
      </c>
      <c r="K164" s="359" t="s">
        <v>737</v>
      </c>
      <c r="L164" s="355" t="s">
        <v>738</v>
      </c>
      <c r="M164" s="2">
        <v>8700</v>
      </c>
      <c r="N164" s="2" t="s">
        <v>1</v>
      </c>
      <c r="O164" s="2" t="s">
        <v>739</v>
      </c>
      <c r="Q164" s="2" t="s">
        <v>1</v>
      </c>
      <c r="S164" s="3"/>
      <c r="T164" s="3"/>
      <c r="U164" s="3"/>
    </row>
    <row r="165" spans="1:24" ht="14.45">
      <c r="A165" s="354" t="s">
        <v>22</v>
      </c>
      <c r="B165" s="354">
        <v>179</v>
      </c>
      <c r="C165" s="354" t="s">
        <v>740</v>
      </c>
      <c r="D165" s="354" t="s">
        <v>19</v>
      </c>
      <c r="E165" s="354" t="s">
        <v>52</v>
      </c>
      <c r="F165" s="354" t="s">
        <v>53</v>
      </c>
      <c r="G165" s="355" t="s">
        <v>1</v>
      </c>
      <c r="H165" s="355" t="s">
        <v>11</v>
      </c>
      <c r="J165" s="355" t="s">
        <v>741</v>
      </c>
      <c r="L165" s="355" t="s">
        <v>742</v>
      </c>
      <c r="M165" s="2">
        <v>8</v>
      </c>
      <c r="N165" s="2" t="s">
        <v>1</v>
      </c>
      <c r="O165" s="2" t="s">
        <v>743</v>
      </c>
      <c r="Q165" s="2" t="s">
        <v>1</v>
      </c>
      <c r="S165" s="3"/>
      <c r="T165" s="3"/>
      <c r="U165" s="3"/>
    </row>
    <row r="166" spans="1:24" ht="14.45" hidden="1">
      <c r="A166" s="354" t="s">
        <v>22</v>
      </c>
      <c r="B166" s="354">
        <v>180</v>
      </c>
      <c r="C166" s="354" t="s">
        <v>744</v>
      </c>
      <c r="D166" s="354" t="s">
        <v>104</v>
      </c>
      <c r="E166" s="354" t="s">
        <v>75</v>
      </c>
      <c r="F166" s="354" t="s">
        <v>53</v>
      </c>
      <c r="G166" s="355" t="s">
        <v>1</v>
      </c>
      <c r="H166" s="355" t="s">
        <v>11</v>
      </c>
      <c r="J166" s="361" t="s">
        <v>745</v>
      </c>
      <c r="L166" s="355" t="s">
        <v>746</v>
      </c>
      <c r="M166" s="2" t="s">
        <v>747</v>
      </c>
      <c r="N166" s="2" t="s">
        <v>448</v>
      </c>
      <c r="O166" s="2" t="s">
        <v>748</v>
      </c>
      <c r="R166" s="2" t="s">
        <v>208</v>
      </c>
    </row>
    <row r="167" spans="1:24" ht="14.45" hidden="1">
      <c r="A167" s="354" t="s">
        <v>22</v>
      </c>
      <c r="B167" s="354">
        <v>181</v>
      </c>
      <c r="C167" s="354" t="s">
        <v>749</v>
      </c>
      <c r="D167" s="354" t="s">
        <v>104</v>
      </c>
      <c r="E167" s="354" t="s">
        <v>75</v>
      </c>
      <c r="F167" s="354" t="s">
        <v>53</v>
      </c>
      <c r="G167" s="355" t="s">
        <v>1</v>
      </c>
      <c r="H167" s="355" t="s">
        <v>11</v>
      </c>
      <c r="J167" s="361" t="s">
        <v>750</v>
      </c>
      <c r="L167" s="355" t="s">
        <v>751</v>
      </c>
      <c r="M167" s="2" t="s">
        <v>752</v>
      </c>
      <c r="N167" s="2" t="s">
        <v>448</v>
      </c>
      <c r="R167" s="2" t="s">
        <v>208</v>
      </c>
    </row>
    <row r="168" spans="1:24" ht="14.45" hidden="1">
      <c r="A168" s="354" t="s">
        <v>22</v>
      </c>
      <c r="B168" s="354">
        <v>182</v>
      </c>
      <c r="C168" s="354" t="s">
        <v>753</v>
      </c>
      <c r="D168" s="354" t="s">
        <v>104</v>
      </c>
      <c r="E168" s="354" t="s">
        <v>75</v>
      </c>
      <c r="F168" s="354" t="s">
        <v>53</v>
      </c>
      <c r="G168" s="355" t="s">
        <v>1</v>
      </c>
      <c r="H168" s="355" t="s">
        <v>11</v>
      </c>
      <c r="J168" s="361" t="s">
        <v>754</v>
      </c>
      <c r="L168" s="355" t="s">
        <v>755</v>
      </c>
      <c r="M168" s="2" t="s">
        <v>752</v>
      </c>
      <c r="N168" s="2" t="s">
        <v>448</v>
      </c>
      <c r="R168" s="2" t="s">
        <v>208</v>
      </c>
    </row>
    <row r="169" spans="1:24" ht="14.45" hidden="1">
      <c r="A169" s="354" t="s">
        <v>22</v>
      </c>
      <c r="B169" s="354">
        <v>183</v>
      </c>
      <c r="C169" s="354" t="s">
        <v>756</v>
      </c>
      <c r="D169" s="354" t="s">
        <v>18</v>
      </c>
      <c r="E169" s="354" t="s">
        <v>75</v>
      </c>
      <c r="F169" s="354" t="s">
        <v>208</v>
      </c>
      <c r="G169" s="355" t="s">
        <v>1</v>
      </c>
      <c r="H169" s="355" t="s">
        <v>7</v>
      </c>
      <c r="J169" s="355" t="s">
        <v>757</v>
      </c>
      <c r="M169" s="2" t="s">
        <v>333</v>
      </c>
      <c r="N169" s="2" t="s">
        <v>1</v>
      </c>
      <c r="O169" s="2" t="s">
        <v>758</v>
      </c>
      <c r="Q169" s="2" t="s">
        <v>53</v>
      </c>
      <c r="S169" s="3"/>
      <c r="T169" s="3"/>
      <c r="U169" s="3"/>
    </row>
    <row r="170" spans="1:24" ht="14.45" hidden="1">
      <c r="A170" s="354" t="s">
        <v>22</v>
      </c>
      <c r="B170" s="354">
        <v>184</v>
      </c>
      <c r="C170" s="354" t="s">
        <v>759</v>
      </c>
      <c r="D170" s="354" t="s">
        <v>18</v>
      </c>
      <c r="E170" s="354" t="s">
        <v>75</v>
      </c>
      <c r="F170" s="354" t="s">
        <v>208</v>
      </c>
      <c r="G170" s="355" t="s">
        <v>1</v>
      </c>
      <c r="H170" s="355" t="s">
        <v>7</v>
      </c>
      <c r="J170" s="355" t="s">
        <v>760</v>
      </c>
      <c r="M170" s="2" t="s">
        <v>333</v>
      </c>
      <c r="N170" s="2" t="s">
        <v>1</v>
      </c>
      <c r="O170" s="2" t="s">
        <v>761</v>
      </c>
      <c r="Q170" s="2" t="s">
        <v>53</v>
      </c>
      <c r="S170" s="3"/>
      <c r="T170" s="3"/>
      <c r="U170" s="3"/>
    </row>
    <row r="171" spans="1:24" ht="14.45" hidden="1">
      <c r="A171" s="354" t="s">
        <v>22</v>
      </c>
      <c r="B171" s="354">
        <v>185</v>
      </c>
      <c r="C171" s="354" t="s">
        <v>762</v>
      </c>
      <c r="D171" s="354" t="s">
        <v>18</v>
      </c>
      <c r="E171" s="354" t="s">
        <v>75</v>
      </c>
      <c r="F171" s="354" t="s">
        <v>208</v>
      </c>
      <c r="G171" s="355" t="s">
        <v>1</v>
      </c>
      <c r="H171" s="355" t="s">
        <v>7</v>
      </c>
      <c r="J171" s="355" t="s">
        <v>763</v>
      </c>
      <c r="M171" s="2" t="s">
        <v>333</v>
      </c>
      <c r="N171" s="2" t="s">
        <v>1</v>
      </c>
      <c r="O171" s="2" t="s">
        <v>764</v>
      </c>
      <c r="Q171" s="2" t="s">
        <v>53</v>
      </c>
      <c r="S171" s="3"/>
      <c r="T171" s="3"/>
      <c r="U171" s="3"/>
    </row>
    <row r="172" spans="1:24" ht="14.45" hidden="1">
      <c r="A172" s="354" t="s">
        <v>22</v>
      </c>
      <c r="B172" s="354">
        <v>186</v>
      </c>
      <c r="C172" s="354" t="s">
        <v>765</v>
      </c>
      <c r="D172" s="354" t="s">
        <v>18</v>
      </c>
      <c r="E172" s="354" t="s">
        <v>75</v>
      </c>
      <c r="F172" s="354" t="s">
        <v>53</v>
      </c>
      <c r="G172" s="355" t="s">
        <v>1</v>
      </c>
      <c r="H172" s="355" t="s">
        <v>11</v>
      </c>
      <c r="J172" s="355" t="s">
        <v>766</v>
      </c>
      <c r="M172" s="2" t="s">
        <v>53</v>
      </c>
      <c r="N172" s="2" t="s">
        <v>1</v>
      </c>
      <c r="O172" s="2" t="s">
        <v>767</v>
      </c>
      <c r="Q172" s="2" t="s">
        <v>53</v>
      </c>
      <c r="S172" s="3"/>
      <c r="T172" s="3"/>
      <c r="U172" s="3"/>
    </row>
    <row r="173" spans="1:24" ht="14.45" hidden="1">
      <c r="A173" s="354" t="s">
        <v>22</v>
      </c>
      <c r="B173" s="354">
        <v>187</v>
      </c>
      <c r="C173" s="354" t="s">
        <v>768</v>
      </c>
      <c r="D173" s="354" t="s">
        <v>18</v>
      </c>
      <c r="E173" s="354" t="s">
        <v>75</v>
      </c>
      <c r="F173" s="354" t="s">
        <v>53</v>
      </c>
      <c r="G173" s="355" t="s">
        <v>1</v>
      </c>
      <c r="H173" s="355" t="s">
        <v>11</v>
      </c>
      <c r="J173" s="355" t="s">
        <v>769</v>
      </c>
      <c r="M173" s="2" t="s">
        <v>1</v>
      </c>
      <c r="N173" s="2" t="s">
        <v>1</v>
      </c>
      <c r="O173" s="2" t="s">
        <v>770</v>
      </c>
      <c r="Q173" s="2" t="s">
        <v>53</v>
      </c>
      <c r="S173" s="3"/>
      <c r="T173" s="3"/>
      <c r="U173" s="3"/>
    </row>
    <row r="174" spans="1:24" ht="14.45" hidden="1">
      <c r="A174" s="354" t="s">
        <v>22</v>
      </c>
      <c r="B174" s="354">
        <v>188</v>
      </c>
      <c r="C174" s="354" t="s">
        <v>771</v>
      </c>
      <c r="D174" s="354" t="s">
        <v>17</v>
      </c>
      <c r="E174" s="354" t="s">
        <v>68</v>
      </c>
      <c r="F174" s="354" t="s">
        <v>1</v>
      </c>
      <c r="G174" s="355" t="s">
        <v>1</v>
      </c>
      <c r="H174" s="355" t="s">
        <v>11</v>
      </c>
      <c r="J174" s="361" t="s">
        <v>772</v>
      </c>
      <c r="K174" s="355" t="s">
        <v>773</v>
      </c>
      <c r="L174" s="355" t="s">
        <v>774</v>
      </c>
      <c r="M174" s="2" t="s">
        <v>584</v>
      </c>
      <c r="N174" s="2" t="s">
        <v>57</v>
      </c>
      <c r="O174" s="2" t="s">
        <v>349</v>
      </c>
      <c r="R174" s="2" t="s">
        <v>57</v>
      </c>
    </row>
    <row r="175" spans="1:24" ht="14.45" hidden="1">
      <c r="A175" s="354" t="s">
        <v>22</v>
      </c>
      <c r="B175" s="354">
        <v>189</v>
      </c>
      <c r="C175" s="354" t="s">
        <v>775</v>
      </c>
      <c r="D175" s="354" t="s">
        <v>17</v>
      </c>
      <c r="E175" s="354" t="s">
        <v>68</v>
      </c>
      <c r="F175" s="354" t="s">
        <v>1</v>
      </c>
      <c r="G175" s="355" t="s">
        <v>1</v>
      </c>
      <c r="H175" s="355" t="s">
        <v>11</v>
      </c>
      <c r="J175" s="355" t="s">
        <v>776</v>
      </c>
      <c r="K175" s="355" t="s">
        <v>773</v>
      </c>
      <c r="N175" s="2" t="s">
        <v>57</v>
      </c>
      <c r="R175" s="2" t="s">
        <v>57</v>
      </c>
    </row>
    <row r="176" spans="1:24" ht="14.45" hidden="1">
      <c r="A176" s="354" t="s">
        <v>22</v>
      </c>
      <c r="B176" s="354">
        <v>191</v>
      </c>
      <c r="C176" s="354" t="s">
        <v>777</v>
      </c>
      <c r="D176" s="354" t="s">
        <v>17</v>
      </c>
      <c r="E176" s="354" t="s">
        <v>68</v>
      </c>
      <c r="F176" s="354" t="s">
        <v>1</v>
      </c>
      <c r="G176" s="355" t="s">
        <v>1</v>
      </c>
      <c r="H176" s="355" t="s">
        <v>5</v>
      </c>
      <c r="J176" s="363" t="s">
        <v>778</v>
      </c>
      <c r="K176" s="355" t="s">
        <v>779</v>
      </c>
      <c r="L176" s="355" t="s">
        <v>780</v>
      </c>
      <c r="M176" s="2" t="s">
        <v>781</v>
      </c>
      <c r="N176" s="280" t="s">
        <v>782</v>
      </c>
      <c r="O176" s="2" t="s">
        <v>783</v>
      </c>
      <c r="P176" s="406" t="s">
        <v>784</v>
      </c>
      <c r="V176" s="1"/>
      <c r="W176" s="1"/>
      <c r="X176" s="1"/>
    </row>
    <row r="177" spans="1:24" ht="14.45" hidden="1">
      <c r="A177" s="354" t="s">
        <v>22</v>
      </c>
      <c r="B177" s="354">
        <v>192</v>
      </c>
      <c r="C177" s="354" t="s">
        <v>785</v>
      </c>
      <c r="D177" s="354" t="s">
        <v>17</v>
      </c>
      <c r="E177" s="354" t="s">
        <v>68</v>
      </c>
      <c r="F177" s="354" t="s">
        <v>1</v>
      </c>
      <c r="G177" s="355" t="s">
        <v>1</v>
      </c>
      <c r="H177" s="355" t="s">
        <v>5</v>
      </c>
      <c r="J177" s="363" t="s">
        <v>778</v>
      </c>
      <c r="K177" s="355" t="s">
        <v>779</v>
      </c>
      <c r="L177" s="355" t="s">
        <v>780</v>
      </c>
      <c r="M177" s="2" t="s">
        <v>781</v>
      </c>
      <c r="N177" s="280" t="s">
        <v>786</v>
      </c>
      <c r="O177" s="2" t="s">
        <v>787</v>
      </c>
      <c r="P177" s="406"/>
      <c r="V177" s="1"/>
      <c r="W177" s="1"/>
      <c r="X177" s="1"/>
    </row>
    <row r="178" spans="1:24" ht="14.45" hidden="1">
      <c r="A178" s="354" t="s">
        <v>22</v>
      </c>
      <c r="B178" s="354">
        <v>193</v>
      </c>
      <c r="C178" s="354" t="s">
        <v>788</v>
      </c>
      <c r="D178" s="354" t="s">
        <v>17</v>
      </c>
      <c r="E178" s="354" t="s">
        <v>68</v>
      </c>
      <c r="F178" s="354" t="s">
        <v>1</v>
      </c>
      <c r="G178" s="355" t="s">
        <v>1</v>
      </c>
      <c r="H178" s="355" t="s">
        <v>5</v>
      </c>
      <c r="J178" s="363" t="s">
        <v>778</v>
      </c>
      <c r="K178" s="355" t="s">
        <v>779</v>
      </c>
      <c r="L178" s="355" t="s">
        <v>780</v>
      </c>
      <c r="M178" s="2" t="s">
        <v>781</v>
      </c>
      <c r="N178" s="280" t="s">
        <v>789</v>
      </c>
      <c r="O178" s="2" t="s">
        <v>790</v>
      </c>
      <c r="P178" s="406"/>
    </row>
    <row r="179" spans="1:24" ht="14.45" hidden="1">
      <c r="A179" s="354" t="s">
        <v>22</v>
      </c>
      <c r="B179" s="354">
        <v>194</v>
      </c>
      <c r="C179" s="354" t="s">
        <v>791</v>
      </c>
      <c r="D179" s="354" t="s">
        <v>17</v>
      </c>
      <c r="E179" s="354" t="s">
        <v>68</v>
      </c>
      <c r="F179" s="354" t="s">
        <v>1</v>
      </c>
      <c r="G179" s="355" t="s">
        <v>1</v>
      </c>
      <c r="H179" s="355" t="s">
        <v>5</v>
      </c>
      <c r="J179" s="363" t="s">
        <v>778</v>
      </c>
      <c r="K179" s="355" t="s">
        <v>779</v>
      </c>
      <c r="L179" s="355" t="s">
        <v>780</v>
      </c>
      <c r="M179" s="2" t="s">
        <v>781</v>
      </c>
      <c r="N179" s="280" t="s">
        <v>792</v>
      </c>
      <c r="O179" s="2" t="s">
        <v>793</v>
      </c>
      <c r="P179" s="406"/>
    </row>
    <row r="180" spans="1:24" ht="14.45" hidden="1">
      <c r="A180" s="354" t="s">
        <v>22</v>
      </c>
      <c r="B180" s="354">
        <v>195</v>
      </c>
      <c r="C180" s="354" t="s">
        <v>794</v>
      </c>
      <c r="D180" s="354" t="s">
        <v>17</v>
      </c>
      <c r="E180" s="354" t="s">
        <v>68</v>
      </c>
      <c r="F180" s="354" t="s">
        <v>1</v>
      </c>
      <c r="G180" s="355" t="s">
        <v>1</v>
      </c>
      <c r="H180" s="355" t="s">
        <v>5</v>
      </c>
      <c r="J180" s="363" t="s">
        <v>778</v>
      </c>
      <c r="K180" s="355" t="s">
        <v>779</v>
      </c>
      <c r="L180" s="355" t="s">
        <v>780</v>
      </c>
      <c r="M180" s="2" t="s">
        <v>781</v>
      </c>
      <c r="N180" s="280" t="s">
        <v>795</v>
      </c>
      <c r="O180" s="2" t="s">
        <v>11</v>
      </c>
      <c r="P180" s="406"/>
    </row>
    <row r="181" spans="1:24" ht="14.45" hidden="1">
      <c r="A181" s="354" t="s">
        <v>32</v>
      </c>
      <c r="B181" s="354">
        <v>1</v>
      </c>
      <c r="C181" s="354" t="s">
        <v>51</v>
      </c>
      <c r="D181" s="354" t="s">
        <v>17</v>
      </c>
      <c r="E181" s="354" t="s">
        <v>52</v>
      </c>
      <c r="F181" s="354" t="s">
        <v>53</v>
      </c>
      <c r="G181" s="362" t="s">
        <v>1</v>
      </c>
      <c r="H181" s="355" t="s">
        <v>9</v>
      </c>
      <c r="J181" s="355" t="s">
        <v>54</v>
      </c>
      <c r="L181" s="355" t="s">
        <v>55</v>
      </c>
      <c r="M181" s="2">
        <v>2025</v>
      </c>
      <c r="N181" s="2" t="s">
        <v>1</v>
      </c>
      <c r="O181" s="2" t="s">
        <v>56</v>
      </c>
      <c r="Q181" s="2" t="s">
        <v>1</v>
      </c>
      <c r="V181" s="1"/>
      <c r="W181" s="1"/>
      <c r="X181" s="1"/>
    </row>
    <row r="182" spans="1:24" ht="14.45" hidden="1">
      <c r="A182" s="354" t="s">
        <v>32</v>
      </c>
      <c r="B182" s="354">
        <v>2</v>
      </c>
      <c r="C182" s="354" t="s">
        <v>58</v>
      </c>
      <c r="D182" s="354" t="s">
        <v>17</v>
      </c>
      <c r="E182" s="354" t="s">
        <v>52</v>
      </c>
      <c r="F182" s="354" t="s">
        <v>53</v>
      </c>
      <c r="G182" s="362" t="s">
        <v>1</v>
      </c>
      <c r="H182" s="355" t="s">
        <v>9</v>
      </c>
      <c r="J182" s="355" t="s">
        <v>59</v>
      </c>
      <c r="L182" s="355" t="s">
        <v>60</v>
      </c>
      <c r="M182" s="2">
        <v>1</v>
      </c>
      <c r="N182" s="2" t="s">
        <v>1</v>
      </c>
      <c r="O182" s="2" t="s">
        <v>56</v>
      </c>
      <c r="Q182" s="2" t="s">
        <v>1</v>
      </c>
      <c r="V182" s="1"/>
      <c r="W182" s="1"/>
      <c r="X182" s="1"/>
    </row>
    <row r="183" spans="1:24" ht="14.45" hidden="1">
      <c r="A183" s="354" t="s">
        <v>32</v>
      </c>
      <c r="B183" s="354">
        <v>3</v>
      </c>
      <c r="C183" s="354" t="s">
        <v>61</v>
      </c>
      <c r="D183" s="354" t="s">
        <v>17</v>
      </c>
      <c r="E183" s="354" t="s">
        <v>52</v>
      </c>
      <c r="F183" s="354" t="s">
        <v>53</v>
      </c>
      <c r="G183" s="362" t="s">
        <v>1</v>
      </c>
      <c r="H183" s="355" t="s">
        <v>9</v>
      </c>
      <c r="J183" s="355" t="s">
        <v>62</v>
      </c>
      <c r="L183" s="355" t="s">
        <v>63</v>
      </c>
      <c r="M183" s="2">
        <v>2</v>
      </c>
      <c r="N183" s="2" t="s">
        <v>1</v>
      </c>
      <c r="O183" s="2" t="s">
        <v>56</v>
      </c>
      <c r="Q183" s="2" t="s">
        <v>1</v>
      </c>
      <c r="V183" s="1"/>
      <c r="W183" s="1"/>
      <c r="X183" s="1"/>
    </row>
    <row r="184" spans="1:24" ht="14.45" hidden="1">
      <c r="A184" s="354" t="s">
        <v>32</v>
      </c>
      <c r="B184" s="354">
        <v>4</v>
      </c>
      <c r="C184" s="354" t="s">
        <v>64</v>
      </c>
      <c r="D184" s="354" t="s">
        <v>17</v>
      </c>
      <c r="E184" s="354" t="s">
        <v>52</v>
      </c>
      <c r="F184" s="354" t="s">
        <v>53</v>
      </c>
      <c r="G184" s="362" t="s">
        <v>1</v>
      </c>
      <c r="H184" s="355" t="s">
        <v>9</v>
      </c>
      <c r="J184" s="355" t="s">
        <v>65</v>
      </c>
      <c r="L184" s="355" t="s">
        <v>66</v>
      </c>
      <c r="M184" s="2">
        <v>25</v>
      </c>
      <c r="N184" s="2" t="s">
        <v>1</v>
      </c>
      <c r="O184" s="2" t="s">
        <v>56</v>
      </c>
      <c r="Q184" s="2" t="s">
        <v>1</v>
      </c>
      <c r="V184" s="1"/>
      <c r="W184" s="1"/>
      <c r="X184" s="1"/>
    </row>
    <row r="185" spans="1:24" ht="14.45">
      <c r="A185" s="354" t="s">
        <v>32</v>
      </c>
      <c r="B185" s="354">
        <v>5</v>
      </c>
      <c r="C185" s="354" t="s">
        <v>67</v>
      </c>
      <c r="D185" s="354" t="s">
        <v>19</v>
      </c>
      <c r="E185" s="354" t="s">
        <v>68</v>
      </c>
      <c r="F185" s="354" t="s">
        <v>1</v>
      </c>
      <c r="G185" s="362" t="s">
        <v>1</v>
      </c>
      <c r="H185" s="355" t="s">
        <v>9</v>
      </c>
      <c r="J185" s="355" t="s">
        <v>69</v>
      </c>
      <c r="K185" s="356" t="s">
        <v>70</v>
      </c>
      <c r="L185" s="355" t="s">
        <v>71</v>
      </c>
      <c r="M185" s="6">
        <v>45871</v>
      </c>
      <c r="N185" s="6" t="s">
        <v>1</v>
      </c>
      <c r="O185" s="6" t="s">
        <v>73</v>
      </c>
      <c r="P185" s="6"/>
      <c r="Q185" s="6" t="s">
        <v>53</v>
      </c>
      <c r="R185" s="6"/>
      <c r="V185" s="1"/>
      <c r="W185" s="1"/>
      <c r="X185" s="1"/>
    </row>
    <row r="186" spans="1:24" ht="14.45">
      <c r="A186" s="354" t="s">
        <v>32</v>
      </c>
      <c r="B186" s="354">
        <v>6</v>
      </c>
      <c r="C186" s="354" t="s">
        <v>74</v>
      </c>
      <c r="D186" s="354" t="s">
        <v>19</v>
      </c>
      <c r="E186" s="354" t="s">
        <v>52</v>
      </c>
      <c r="F186" s="354" t="s">
        <v>53</v>
      </c>
      <c r="G186" s="362" t="s">
        <v>1</v>
      </c>
      <c r="H186" s="355" t="s">
        <v>76</v>
      </c>
      <c r="J186" s="355" t="s">
        <v>77</v>
      </c>
      <c r="L186" s="355" t="s">
        <v>78</v>
      </c>
      <c r="M186" s="2" t="s">
        <v>79</v>
      </c>
      <c r="N186" s="2" t="s">
        <v>1</v>
      </c>
      <c r="O186" s="2" t="s">
        <v>80</v>
      </c>
      <c r="Q186" s="2" t="s">
        <v>53</v>
      </c>
      <c r="V186" s="1"/>
      <c r="W186" s="1"/>
      <c r="X186" s="1"/>
    </row>
    <row r="187" spans="1:24" ht="14.45">
      <c r="A187" s="354" t="s">
        <v>32</v>
      </c>
      <c r="B187" s="354">
        <v>7</v>
      </c>
      <c r="C187" s="354" t="s">
        <v>81</v>
      </c>
      <c r="D187" s="354" t="s">
        <v>19</v>
      </c>
      <c r="E187" s="354" t="s">
        <v>75</v>
      </c>
      <c r="F187" s="354" t="s">
        <v>53</v>
      </c>
      <c r="G187" s="362" t="s">
        <v>1</v>
      </c>
      <c r="H187" s="355" t="s">
        <v>11</v>
      </c>
      <c r="J187" s="355" t="s">
        <v>82</v>
      </c>
      <c r="L187" s="355" t="s">
        <v>83</v>
      </c>
      <c r="M187" s="2">
        <v>100</v>
      </c>
      <c r="N187" s="2" t="s">
        <v>1</v>
      </c>
      <c r="O187" s="2" t="s">
        <v>84</v>
      </c>
      <c r="Q187" s="2" t="s">
        <v>1</v>
      </c>
      <c r="V187" s="1"/>
      <c r="W187" s="1"/>
      <c r="X187" s="1"/>
    </row>
    <row r="188" spans="1:24" ht="14.45">
      <c r="A188" s="354" t="s">
        <v>32</v>
      </c>
      <c r="B188" s="354">
        <v>8</v>
      </c>
      <c r="C188" s="354" t="s">
        <v>85</v>
      </c>
      <c r="D188" s="354" t="s">
        <v>19</v>
      </c>
      <c r="E188" s="354" t="s">
        <v>75</v>
      </c>
      <c r="F188" s="354" t="s">
        <v>53</v>
      </c>
      <c r="G188" s="362" t="s">
        <v>1</v>
      </c>
      <c r="H188" s="355" t="s">
        <v>11</v>
      </c>
      <c r="J188" s="355" t="s">
        <v>86</v>
      </c>
      <c r="L188" s="355" t="s">
        <v>87</v>
      </c>
      <c r="M188" s="2">
        <v>181</v>
      </c>
      <c r="N188" s="2" t="s">
        <v>1</v>
      </c>
      <c r="O188" s="2" t="s">
        <v>84</v>
      </c>
      <c r="Q188" s="2" t="s">
        <v>1</v>
      </c>
      <c r="V188" s="1"/>
      <c r="W188" s="1"/>
      <c r="X188" s="1"/>
    </row>
    <row r="189" spans="1:24" ht="14.45">
      <c r="A189" s="354" t="s">
        <v>32</v>
      </c>
      <c r="B189" s="354">
        <v>9</v>
      </c>
      <c r="C189" s="354" t="s">
        <v>88</v>
      </c>
      <c r="D189" s="354" t="s">
        <v>19</v>
      </c>
      <c r="E189" s="354" t="s">
        <v>68</v>
      </c>
      <c r="F189" s="354" t="s">
        <v>53</v>
      </c>
      <c r="G189" s="362" t="s">
        <v>1</v>
      </c>
      <c r="H189" s="355" t="s">
        <v>11</v>
      </c>
      <c r="J189" s="355" t="s">
        <v>89</v>
      </c>
      <c r="L189" s="355" t="s">
        <v>90</v>
      </c>
      <c r="M189" s="2" t="s">
        <v>796</v>
      </c>
      <c r="N189" s="2" t="s">
        <v>1</v>
      </c>
      <c r="O189" s="2" t="s">
        <v>92</v>
      </c>
      <c r="Q189" s="2" t="s">
        <v>53</v>
      </c>
      <c r="V189" s="1"/>
      <c r="W189" s="1"/>
      <c r="X189" s="1"/>
    </row>
    <row r="190" spans="1:24" ht="14.45">
      <c r="A190" s="354" t="s">
        <v>32</v>
      </c>
      <c r="B190" s="354">
        <v>10</v>
      </c>
      <c r="C190" s="354" t="s">
        <v>93</v>
      </c>
      <c r="D190" s="354" t="s">
        <v>19</v>
      </c>
      <c r="E190" s="354" t="s">
        <v>75</v>
      </c>
      <c r="F190" s="354" t="s">
        <v>53</v>
      </c>
      <c r="G190" s="362" t="s">
        <v>1</v>
      </c>
      <c r="H190" s="355" t="s">
        <v>11</v>
      </c>
      <c r="J190" s="355" t="s">
        <v>94</v>
      </c>
      <c r="L190" s="355" t="s">
        <v>95</v>
      </c>
      <c r="M190" s="2" t="s">
        <v>96</v>
      </c>
      <c r="N190" s="2" t="s">
        <v>1</v>
      </c>
      <c r="O190" s="2" t="s">
        <v>97</v>
      </c>
      <c r="Q190" s="2" t="s">
        <v>1</v>
      </c>
      <c r="V190" s="1"/>
      <c r="W190" s="1"/>
      <c r="X190" s="1"/>
    </row>
    <row r="191" spans="1:24" ht="14.45">
      <c r="A191" s="354" t="s">
        <v>32</v>
      </c>
      <c r="B191" s="354">
        <v>11</v>
      </c>
      <c r="C191" s="354" t="s">
        <v>98</v>
      </c>
      <c r="D191" s="354" t="s">
        <v>19</v>
      </c>
      <c r="E191" s="354" t="s">
        <v>75</v>
      </c>
      <c r="F191" s="354" t="s">
        <v>53</v>
      </c>
      <c r="G191" s="362" t="s">
        <v>1</v>
      </c>
      <c r="H191" s="355" t="s">
        <v>11</v>
      </c>
      <c r="J191" s="355" t="s">
        <v>99</v>
      </c>
      <c r="L191" s="355" t="s">
        <v>100</v>
      </c>
      <c r="M191" s="2" t="s">
        <v>101</v>
      </c>
      <c r="N191" s="2" t="s">
        <v>1</v>
      </c>
      <c r="O191" s="2" t="s">
        <v>102</v>
      </c>
      <c r="Q191" s="2" t="s">
        <v>1</v>
      </c>
      <c r="V191" s="1"/>
      <c r="W191" s="1"/>
      <c r="X191" s="1"/>
    </row>
    <row r="192" spans="1:24" ht="14.45" hidden="1">
      <c r="A192" s="354" t="s">
        <v>32</v>
      </c>
      <c r="B192" s="354">
        <v>12</v>
      </c>
      <c r="C192" s="354" t="s">
        <v>103</v>
      </c>
      <c r="D192" s="354" t="s">
        <v>104</v>
      </c>
      <c r="E192" s="354" t="s">
        <v>75</v>
      </c>
      <c r="F192" s="354" t="s">
        <v>53</v>
      </c>
      <c r="G192" s="362" t="s">
        <v>1</v>
      </c>
      <c r="H192" s="355" t="s">
        <v>11</v>
      </c>
      <c r="J192" s="362" t="s">
        <v>105</v>
      </c>
      <c r="L192" s="355" t="s">
        <v>106</v>
      </c>
      <c r="M192" s="304" t="s">
        <v>107</v>
      </c>
      <c r="N192" s="2" t="s">
        <v>1</v>
      </c>
      <c r="O192" s="304" t="s">
        <v>92</v>
      </c>
      <c r="P192" s="2" t="s">
        <v>797</v>
      </c>
      <c r="Q192" s="2" t="s">
        <v>1</v>
      </c>
      <c r="V192" s="1"/>
      <c r="W192" s="1"/>
      <c r="X192" s="1"/>
    </row>
    <row r="193" spans="1:24" ht="14.45">
      <c r="A193" s="354" t="s">
        <v>32</v>
      </c>
      <c r="B193" s="354">
        <v>13</v>
      </c>
      <c r="C193" s="354" t="s">
        <v>108</v>
      </c>
      <c r="D193" s="354" t="s">
        <v>19</v>
      </c>
      <c r="E193" s="354" t="s">
        <v>68</v>
      </c>
      <c r="F193" s="354" t="s">
        <v>1</v>
      </c>
      <c r="G193" s="362" t="s">
        <v>1</v>
      </c>
      <c r="H193" s="355" t="s">
        <v>6</v>
      </c>
      <c r="J193" s="355" t="s">
        <v>109</v>
      </c>
      <c r="K193" s="355" t="s">
        <v>798</v>
      </c>
      <c r="L193" s="355" t="s">
        <v>111</v>
      </c>
      <c r="M193" s="2">
        <v>5770</v>
      </c>
      <c r="N193" s="2" t="s">
        <v>1</v>
      </c>
      <c r="O193" s="2" t="s">
        <v>551</v>
      </c>
      <c r="Q193" s="2" t="s">
        <v>53</v>
      </c>
      <c r="R193" s="2" t="s">
        <v>799</v>
      </c>
      <c r="V193" s="1"/>
      <c r="W193" s="1"/>
      <c r="X193" s="1"/>
    </row>
    <row r="194" spans="1:24" ht="14.45">
      <c r="A194" s="354" t="s">
        <v>32</v>
      </c>
      <c r="B194" s="354">
        <v>14</v>
      </c>
      <c r="C194" s="354" t="s">
        <v>113</v>
      </c>
      <c r="D194" s="354" t="s">
        <v>19</v>
      </c>
      <c r="E194" s="354" t="s">
        <v>68</v>
      </c>
      <c r="F194" s="354" t="s">
        <v>1</v>
      </c>
      <c r="G194" s="362" t="s">
        <v>1</v>
      </c>
      <c r="H194" s="355" t="s">
        <v>6</v>
      </c>
      <c r="J194" s="355" t="s">
        <v>114</v>
      </c>
      <c r="K194" s="355" t="s">
        <v>798</v>
      </c>
      <c r="L194" s="355" t="s">
        <v>115</v>
      </c>
      <c r="M194" s="2">
        <v>5772</v>
      </c>
      <c r="N194" s="2" t="s">
        <v>1</v>
      </c>
      <c r="O194" s="2" t="s">
        <v>551</v>
      </c>
      <c r="Q194" s="2" t="s">
        <v>53</v>
      </c>
      <c r="R194" s="2" t="s">
        <v>799</v>
      </c>
      <c r="V194" s="1"/>
      <c r="W194" s="1"/>
      <c r="X194" s="1"/>
    </row>
    <row r="195" spans="1:24" ht="48">
      <c r="A195" s="354" t="s">
        <v>32</v>
      </c>
      <c r="B195" s="354">
        <v>15</v>
      </c>
      <c r="C195" s="354" t="s">
        <v>118</v>
      </c>
      <c r="D195" s="354" t="s">
        <v>19</v>
      </c>
      <c r="E195" s="354" t="s">
        <v>68</v>
      </c>
      <c r="F195" s="354" t="s">
        <v>1</v>
      </c>
      <c r="G195" s="362" t="s">
        <v>1</v>
      </c>
      <c r="H195" s="355" t="s">
        <v>9</v>
      </c>
      <c r="J195" s="364" t="s">
        <v>119</v>
      </c>
      <c r="K195" s="358" t="s">
        <v>800</v>
      </c>
      <c r="L195" s="355" t="s">
        <v>121</v>
      </c>
      <c r="M195" s="4">
        <v>45870.988194444442</v>
      </c>
      <c r="N195" s="4" t="s">
        <v>1</v>
      </c>
      <c r="O195" s="4" t="s">
        <v>56</v>
      </c>
      <c r="P195" s="4"/>
      <c r="Q195" s="4" t="s">
        <v>53</v>
      </c>
      <c r="R195" s="4"/>
      <c r="V195" s="1"/>
      <c r="W195" s="1"/>
      <c r="X195" s="1"/>
    </row>
    <row r="196" spans="1:24" ht="42.75" customHeight="1">
      <c r="A196" s="354" t="s">
        <v>32</v>
      </c>
      <c r="B196" s="354">
        <v>16</v>
      </c>
      <c r="C196" s="354" t="s">
        <v>122</v>
      </c>
      <c r="D196" s="354" t="s">
        <v>19</v>
      </c>
      <c r="E196" s="354" t="s">
        <v>68</v>
      </c>
      <c r="F196" s="354" t="s">
        <v>1</v>
      </c>
      <c r="G196" s="362" t="s">
        <v>1</v>
      </c>
      <c r="H196" s="355" t="s">
        <v>9</v>
      </c>
      <c r="J196" s="364" t="s">
        <v>123</v>
      </c>
      <c r="K196" s="359" t="s">
        <v>800</v>
      </c>
      <c r="L196" s="355" t="s">
        <v>124</v>
      </c>
      <c r="M196" s="4">
        <v>45870.900694444441</v>
      </c>
      <c r="N196" s="4" t="s">
        <v>1</v>
      </c>
      <c r="O196" s="4" t="s">
        <v>56</v>
      </c>
      <c r="P196" s="4"/>
      <c r="Q196" s="4" t="s">
        <v>1</v>
      </c>
      <c r="R196" s="4"/>
      <c r="V196" s="1"/>
      <c r="W196" s="1"/>
      <c r="X196" s="1"/>
    </row>
    <row r="197" spans="1:24" ht="14.45">
      <c r="A197" s="354" t="s">
        <v>32</v>
      </c>
      <c r="B197" s="354">
        <v>17</v>
      </c>
      <c r="C197" s="354" t="s">
        <v>125</v>
      </c>
      <c r="D197" s="354" t="s">
        <v>19</v>
      </c>
      <c r="E197" s="354" t="s">
        <v>68</v>
      </c>
      <c r="F197" s="354" t="s">
        <v>208</v>
      </c>
      <c r="G197" s="362" t="s">
        <v>1</v>
      </c>
      <c r="H197" s="355" t="s">
        <v>11</v>
      </c>
      <c r="J197" s="355" t="s">
        <v>126</v>
      </c>
      <c r="K197" s="355" t="s">
        <v>801</v>
      </c>
      <c r="L197" s="355" t="s">
        <v>127</v>
      </c>
      <c r="M197" s="2">
        <v>942442</v>
      </c>
      <c r="N197" s="2" t="s">
        <v>1</v>
      </c>
      <c r="O197" s="2" t="s">
        <v>128</v>
      </c>
      <c r="Q197" s="2" t="s">
        <v>53</v>
      </c>
      <c r="V197" s="1"/>
      <c r="W197" s="1"/>
      <c r="X197" s="1"/>
    </row>
    <row r="198" spans="1:24" ht="80.25" customHeight="1">
      <c r="A198" s="354" t="s">
        <v>32</v>
      </c>
      <c r="B198" s="354">
        <v>18</v>
      </c>
      <c r="C198" s="354" t="s">
        <v>129</v>
      </c>
      <c r="D198" s="354" t="s">
        <v>19</v>
      </c>
      <c r="E198" s="354" t="s">
        <v>68</v>
      </c>
      <c r="F198" s="354" t="s">
        <v>1</v>
      </c>
      <c r="G198" s="362" t="s">
        <v>1</v>
      </c>
      <c r="H198" s="355" t="s">
        <v>8</v>
      </c>
      <c r="J198" s="355" t="s">
        <v>130</v>
      </c>
      <c r="K198" s="358" t="s">
        <v>131</v>
      </c>
      <c r="L198" s="355" t="s">
        <v>132</v>
      </c>
      <c r="M198" s="2">
        <v>7.9859999999999998</v>
      </c>
      <c r="N198" s="2" t="s">
        <v>1</v>
      </c>
      <c r="O198" s="2" t="s">
        <v>133</v>
      </c>
      <c r="Q198" s="2" t="s">
        <v>1</v>
      </c>
      <c r="R198" s="2" t="s">
        <v>802</v>
      </c>
      <c r="V198" s="1"/>
      <c r="W198" s="1"/>
      <c r="X198" s="1"/>
    </row>
    <row r="199" spans="1:24" ht="24">
      <c r="A199" s="354" t="s">
        <v>32</v>
      </c>
      <c r="B199" s="354">
        <v>19</v>
      </c>
      <c r="C199" s="354" t="s">
        <v>134</v>
      </c>
      <c r="D199" s="354" t="s">
        <v>19</v>
      </c>
      <c r="E199" s="354" t="s">
        <v>68</v>
      </c>
      <c r="F199" s="354" t="s">
        <v>1</v>
      </c>
      <c r="G199" s="362" t="s">
        <v>1</v>
      </c>
      <c r="H199" s="355" t="s">
        <v>8</v>
      </c>
      <c r="J199" s="355" t="s">
        <v>135</v>
      </c>
      <c r="K199" s="359" t="s">
        <v>136</v>
      </c>
      <c r="L199" s="355" t="s">
        <v>137</v>
      </c>
      <c r="M199" s="2">
        <v>16043.874</v>
      </c>
      <c r="N199" s="2" t="s">
        <v>1</v>
      </c>
      <c r="O199" s="2" t="s">
        <v>138</v>
      </c>
      <c r="Q199" s="2">
        <v>0</v>
      </c>
      <c r="V199" s="1"/>
      <c r="W199" s="1"/>
      <c r="X199" s="1"/>
    </row>
    <row r="200" spans="1:24" ht="14.45">
      <c r="A200" s="354" t="s">
        <v>32</v>
      </c>
      <c r="B200" s="354">
        <v>20</v>
      </c>
      <c r="C200" s="354" t="s">
        <v>150</v>
      </c>
      <c r="D200" s="354" t="s">
        <v>19</v>
      </c>
      <c r="E200" s="354" t="s">
        <v>68</v>
      </c>
      <c r="F200" s="354" t="s">
        <v>1</v>
      </c>
      <c r="G200" s="362" t="s">
        <v>1</v>
      </c>
      <c r="H200" s="355" t="s">
        <v>13</v>
      </c>
      <c r="J200" s="355" t="s">
        <v>151</v>
      </c>
      <c r="K200" s="356" t="s">
        <v>152</v>
      </c>
      <c r="L200" s="355" t="s">
        <v>153</v>
      </c>
      <c r="M200" s="2">
        <v>424</v>
      </c>
      <c r="N200" s="2" t="s">
        <v>1</v>
      </c>
      <c r="O200" s="2" t="s">
        <v>154</v>
      </c>
      <c r="Q200" s="2" t="s">
        <v>1</v>
      </c>
      <c r="V200" s="1"/>
      <c r="W200" s="1"/>
      <c r="X200" s="1"/>
    </row>
    <row r="201" spans="1:24" ht="60">
      <c r="A201" s="354" t="s">
        <v>32</v>
      </c>
      <c r="B201" s="354">
        <v>20</v>
      </c>
      <c r="C201" s="354" t="s">
        <v>155</v>
      </c>
      <c r="D201" s="354" t="s">
        <v>19</v>
      </c>
      <c r="E201" s="354" t="s">
        <v>68</v>
      </c>
      <c r="F201" s="354" t="s">
        <v>1</v>
      </c>
      <c r="G201" s="362" t="s">
        <v>1</v>
      </c>
      <c r="H201" s="355" t="s">
        <v>13</v>
      </c>
      <c r="J201" s="355" t="s">
        <v>156</v>
      </c>
      <c r="K201" s="357" t="s">
        <v>803</v>
      </c>
      <c r="L201" s="355" t="s">
        <v>158</v>
      </c>
      <c r="M201" s="2">
        <v>1598.45</v>
      </c>
      <c r="N201" s="2" t="s">
        <v>1</v>
      </c>
      <c r="O201" s="2" t="s">
        <v>159</v>
      </c>
      <c r="Q201" s="2" t="s">
        <v>1</v>
      </c>
      <c r="V201" s="1"/>
      <c r="W201" s="1"/>
      <c r="X201" s="1"/>
    </row>
    <row r="202" spans="1:24" ht="14.45">
      <c r="A202" s="354" t="s">
        <v>32</v>
      </c>
      <c r="B202" s="354">
        <v>21</v>
      </c>
      <c r="C202" s="354" t="s">
        <v>160</v>
      </c>
      <c r="D202" s="354" t="s">
        <v>19</v>
      </c>
      <c r="E202" s="354" t="s">
        <v>68</v>
      </c>
      <c r="F202" s="354" t="s">
        <v>1</v>
      </c>
      <c r="G202" s="362" t="s">
        <v>1</v>
      </c>
      <c r="H202" s="355" t="s">
        <v>9</v>
      </c>
      <c r="J202" s="355" t="s">
        <v>161</v>
      </c>
      <c r="K202" s="356" t="s">
        <v>162</v>
      </c>
      <c r="L202" s="355" t="s">
        <v>163</v>
      </c>
      <c r="M202" s="2">
        <v>2</v>
      </c>
      <c r="N202" s="2" t="s">
        <v>1</v>
      </c>
      <c r="O202" s="2" t="s">
        <v>164</v>
      </c>
      <c r="Q202" s="2" t="s">
        <v>1</v>
      </c>
      <c r="V202" s="1"/>
      <c r="W202" s="1"/>
      <c r="X202" s="1"/>
    </row>
    <row r="203" spans="1:24" ht="14.45">
      <c r="A203" s="354" t="s">
        <v>32</v>
      </c>
      <c r="B203" s="354">
        <v>22</v>
      </c>
      <c r="C203" s="354" t="s">
        <v>165</v>
      </c>
      <c r="D203" s="354" t="s">
        <v>19</v>
      </c>
      <c r="E203" s="354" t="s">
        <v>68</v>
      </c>
      <c r="F203" s="354" t="s">
        <v>1</v>
      </c>
      <c r="G203" s="362" t="s">
        <v>1</v>
      </c>
      <c r="H203" s="355" t="s">
        <v>9</v>
      </c>
      <c r="J203" s="355" t="s">
        <v>166</v>
      </c>
      <c r="K203" s="356" t="s">
        <v>162</v>
      </c>
      <c r="L203" s="355" t="s">
        <v>167</v>
      </c>
      <c r="M203" s="2">
        <v>6.02</v>
      </c>
      <c r="N203" s="2" t="s">
        <v>1</v>
      </c>
      <c r="O203" s="2" t="s">
        <v>168</v>
      </c>
      <c r="Q203" s="2" t="s">
        <v>1</v>
      </c>
      <c r="V203" s="1"/>
      <c r="W203" s="1"/>
      <c r="X203" s="1"/>
    </row>
    <row r="204" spans="1:24" ht="14.45">
      <c r="A204" s="354" t="s">
        <v>32</v>
      </c>
      <c r="B204" s="354">
        <v>23</v>
      </c>
      <c r="C204" s="354" t="s">
        <v>169</v>
      </c>
      <c r="D204" s="354" t="s">
        <v>19</v>
      </c>
      <c r="E204" s="354" t="s">
        <v>68</v>
      </c>
      <c r="F204" s="354" t="s">
        <v>1</v>
      </c>
      <c r="G204" s="362" t="s">
        <v>1</v>
      </c>
      <c r="H204" s="355" t="s">
        <v>8</v>
      </c>
      <c r="J204" s="355" t="s">
        <v>170</v>
      </c>
      <c r="K204" s="359" t="s">
        <v>171</v>
      </c>
      <c r="L204" s="355" t="s">
        <v>172</v>
      </c>
      <c r="M204" s="2">
        <v>167.70599999999999</v>
      </c>
      <c r="N204" s="2" t="s">
        <v>1</v>
      </c>
      <c r="O204" s="2" t="s">
        <v>133</v>
      </c>
      <c r="Q204" s="2" t="s">
        <v>1</v>
      </c>
      <c r="V204" s="1"/>
      <c r="W204" s="1"/>
      <c r="X204" s="1"/>
    </row>
    <row r="205" spans="1:24" ht="60">
      <c r="A205" s="354" t="s">
        <v>32</v>
      </c>
      <c r="B205" s="354">
        <v>24</v>
      </c>
      <c r="C205" s="354" t="s">
        <v>173</v>
      </c>
      <c r="D205" s="354" t="s">
        <v>19</v>
      </c>
      <c r="E205" s="354" t="s">
        <v>68</v>
      </c>
      <c r="F205" s="354" t="s">
        <v>1</v>
      </c>
      <c r="G205" s="362" t="s">
        <v>1</v>
      </c>
      <c r="H205" s="355" t="s">
        <v>10</v>
      </c>
      <c r="J205" s="355" t="s">
        <v>174</v>
      </c>
      <c r="K205" s="357" t="s">
        <v>175</v>
      </c>
      <c r="L205" s="355" t="s">
        <v>176</v>
      </c>
      <c r="M205" s="2">
        <v>9379.1579999999994</v>
      </c>
      <c r="N205" s="2" t="s">
        <v>1</v>
      </c>
      <c r="O205" s="2" t="s">
        <v>177</v>
      </c>
      <c r="Q205" s="2" t="s">
        <v>1</v>
      </c>
      <c r="V205" s="1"/>
      <c r="W205" s="1"/>
      <c r="X205" s="1"/>
    </row>
    <row r="206" spans="1:24" ht="252">
      <c r="A206" s="354" t="s">
        <v>32</v>
      </c>
      <c r="B206" s="354">
        <v>25</v>
      </c>
      <c r="C206" s="354" t="s">
        <v>178</v>
      </c>
      <c r="D206" s="354" t="s">
        <v>19</v>
      </c>
      <c r="E206" s="354" t="s">
        <v>68</v>
      </c>
      <c r="F206" s="354" t="s">
        <v>1</v>
      </c>
      <c r="G206" s="362" t="s">
        <v>1</v>
      </c>
      <c r="H206" s="355" t="s">
        <v>10</v>
      </c>
      <c r="J206" s="355" t="s">
        <v>180</v>
      </c>
      <c r="K206" s="358" t="s">
        <v>181</v>
      </c>
      <c r="L206" s="355" t="s">
        <v>182</v>
      </c>
      <c r="M206" s="2">
        <v>25423.031999999999</v>
      </c>
      <c r="N206" s="2" t="s">
        <v>1</v>
      </c>
      <c r="O206" s="2" t="s">
        <v>183</v>
      </c>
      <c r="Q206" s="2" t="s">
        <v>1</v>
      </c>
      <c r="V206" s="1"/>
      <c r="W206" s="1"/>
      <c r="X206" s="1"/>
    </row>
    <row r="207" spans="1:24" ht="14.45">
      <c r="A207" s="354" t="s">
        <v>32</v>
      </c>
      <c r="B207" s="354">
        <v>26</v>
      </c>
      <c r="C207" s="354" t="s">
        <v>184</v>
      </c>
      <c r="D207" s="354" t="s">
        <v>19</v>
      </c>
      <c r="E207" s="354" t="s">
        <v>75</v>
      </c>
      <c r="F207" s="354" t="s">
        <v>53</v>
      </c>
      <c r="G207" s="362" t="s">
        <v>1</v>
      </c>
      <c r="H207" s="355" t="s">
        <v>8</v>
      </c>
      <c r="J207" s="355" t="s">
        <v>185</v>
      </c>
      <c r="K207" s="357"/>
      <c r="L207" s="355" t="s">
        <v>186</v>
      </c>
      <c r="M207" s="2">
        <v>0</v>
      </c>
      <c r="N207" s="2" t="s">
        <v>1</v>
      </c>
      <c r="O207" s="2" t="s">
        <v>177</v>
      </c>
      <c r="Q207" s="2" t="s">
        <v>1</v>
      </c>
      <c r="R207" s="2" t="s">
        <v>804</v>
      </c>
      <c r="V207" s="1"/>
      <c r="W207" s="1"/>
      <c r="X207" s="1"/>
    </row>
    <row r="208" spans="1:24" ht="14.45">
      <c r="A208" s="354" t="s">
        <v>32</v>
      </c>
      <c r="B208" s="354">
        <v>27</v>
      </c>
      <c r="C208" s="354" t="s">
        <v>187</v>
      </c>
      <c r="D208" s="354" t="s">
        <v>19</v>
      </c>
      <c r="E208" s="354" t="s">
        <v>68</v>
      </c>
      <c r="F208" s="354" t="s">
        <v>1</v>
      </c>
      <c r="G208" s="362" t="s">
        <v>1</v>
      </c>
      <c r="H208" s="355" t="s">
        <v>8</v>
      </c>
      <c r="J208" s="355" t="s">
        <v>188</v>
      </c>
      <c r="K208" s="357" t="s">
        <v>805</v>
      </c>
      <c r="L208" s="355" t="s">
        <v>190</v>
      </c>
      <c r="M208" s="2">
        <v>3386.0639999999999</v>
      </c>
      <c r="N208" s="2" t="s">
        <v>1</v>
      </c>
      <c r="O208" s="2" t="s">
        <v>177</v>
      </c>
      <c r="Q208" s="2" t="s">
        <v>1</v>
      </c>
      <c r="V208" s="1"/>
      <c r="W208" s="1"/>
      <c r="X208" s="1"/>
    </row>
    <row r="209" spans="1:24" ht="24">
      <c r="A209" s="354" t="s">
        <v>32</v>
      </c>
      <c r="B209" s="354">
        <v>28</v>
      </c>
      <c r="C209" s="354" t="s">
        <v>191</v>
      </c>
      <c r="D209" s="354" t="s">
        <v>19</v>
      </c>
      <c r="E209" s="354" t="s">
        <v>68</v>
      </c>
      <c r="F209" s="354" t="s">
        <v>1</v>
      </c>
      <c r="G209" s="362" t="s">
        <v>1</v>
      </c>
      <c r="H209" s="355" t="s">
        <v>8</v>
      </c>
      <c r="J209" s="355" t="s">
        <v>192</v>
      </c>
      <c r="K209" s="357" t="s">
        <v>806</v>
      </c>
      <c r="L209" s="355" t="s">
        <v>194</v>
      </c>
      <c r="M209" s="2">
        <v>167.70599999999999</v>
      </c>
      <c r="N209" s="2" t="s">
        <v>1</v>
      </c>
      <c r="O209" s="2" t="s">
        <v>195</v>
      </c>
      <c r="Q209" s="2" t="s">
        <v>1</v>
      </c>
      <c r="V209" s="1"/>
      <c r="W209" s="1"/>
      <c r="X209" s="1"/>
    </row>
    <row r="210" spans="1:24" ht="24">
      <c r="A210" s="354" t="s">
        <v>32</v>
      </c>
      <c r="B210" s="354">
        <v>29</v>
      </c>
      <c r="C210" s="354" t="s">
        <v>196</v>
      </c>
      <c r="D210" s="354" t="s">
        <v>19</v>
      </c>
      <c r="E210" s="354" t="s">
        <v>68</v>
      </c>
      <c r="F210" s="354" t="s">
        <v>1</v>
      </c>
      <c r="G210" s="362" t="s">
        <v>1</v>
      </c>
      <c r="H210" s="355" t="s">
        <v>8</v>
      </c>
      <c r="J210" s="355" t="s">
        <v>197</v>
      </c>
      <c r="K210" s="357" t="s">
        <v>807</v>
      </c>
      <c r="L210" s="355" t="s">
        <v>199</v>
      </c>
      <c r="M210" s="2">
        <v>0</v>
      </c>
      <c r="N210" s="2" t="s">
        <v>1</v>
      </c>
      <c r="O210" s="2" t="s">
        <v>195</v>
      </c>
      <c r="Q210" s="2" t="s">
        <v>1</v>
      </c>
      <c r="V210" s="1"/>
      <c r="W210" s="1"/>
      <c r="X210" s="1"/>
    </row>
    <row r="211" spans="1:24" ht="14.45">
      <c r="A211" s="354" t="s">
        <v>32</v>
      </c>
      <c r="B211" s="354">
        <v>30</v>
      </c>
      <c r="C211" s="354" t="s">
        <v>200</v>
      </c>
      <c r="D211" s="354" t="s">
        <v>19</v>
      </c>
      <c r="E211" s="354" t="s">
        <v>68</v>
      </c>
      <c r="F211" s="354" t="s">
        <v>53</v>
      </c>
      <c r="G211" s="362" t="s">
        <v>1</v>
      </c>
      <c r="H211" s="355" t="s">
        <v>232</v>
      </c>
      <c r="J211" s="355" t="s">
        <v>201</v>
      </c>
      <c r="L211" s="355" t="s">
        <v>203</v>
      </c>
      <c r="M211" s="2">
        <v>15.972</v>
      </c>
      <c r="N211" s="2" t="s">
        <v>1</v>
      </c>
      <c r="O211" s="2" t="s">
        <v>204</v>
      </c>
      <c r="Q211" s="2" t="s">
        <v>1</v>
      </c>
      <c r="R211" s="2" t="s">
        <v>804</v>
      </c>
      <c r="V211" s="1"/>
      <c r="W211" s="1"/>
      <c r="X211" s="1"/>
    </row>
    <row r="212" spans="1:24" ht="14.45">
      <c r="A212" s="354" t="s">
        <v>32</v>
      </c>
      <c r="B212" s="354">
        <v>31</v>
      </c>
      <c r="C212" s="354" t="s">
        <v>205</v>
      </c>
      <c r="D212" s="354" t="s">
        <v>19</v>
      </c>
      <c r="E212" s="354" t="s">
        <v>68</v>
      </c>
      <c r="F212" s="354" t="s">
        <v>53</v>
      </c>
      <c r="G212" s="362" t="s">
        <v>1</v>
      </c>
      <c r="H212" s="355" t="s">
        <v>8</v>
      </c>
      <c r="J212" s="355" t="s">
        <v>206</v>
      </c>
      <c r="K212" s="357"/>
      <c r="L212" s="355" t="s">
        <v>207</v>
      </c>
      <c r="M212" s="2">
        <v>0</v>
      </c>
      <c r="N212" s="2" t="s">
        <v>1</v>
      </c>
      <c r="O212" s="2" t="s">
        <v>204</v>
      </c>
      <c r="Q212" s="2" t="s">
        <v>1</v>
      </c>
      <c r="R212" s="2" t="s">
        <v>804</v>
      </c>
      <c r="V212" s="1"/>
      <c r="W212" s="1"/>
      <c r="X212" s="1"/>
    </row>
    <row r="213" spans="1:24" ht="24">
      <c r="A213" s="354" t="s">
        <v>32</v>
      </c>
      <c r="B213" s="354">
        <v>32</v>
      </c>
      <c r="C213" s="354" t="s">
        <v>209</v>
      </c>
      <c r="D213" s="354" t="s">
        <v>19</v>
      </c>
      <c r="E213" s="354" t="s">
        <v>68</v>
      </c>
      <c r="F213" s="354" t="s">
        <v>1</v>
      </c>
      <c r="G213" s="362" t="s">
        <v>1</v>
      </c>
      <c r="H213" s="355" t="s">
        <v>8</v>
      </c>
      <c r="J213" s="355" t="s">
        <v>210</v>
      </c>
      <c r="K213" s="359" t="s">
        <v>211</v>
      </c>
      <c r="L213" s="355" t="s">
        <v>212</v>
      </c>
      <c r="M213" s="2">
        <v>0</v>
      </c>
      <c r="N213" s="2" t="s">
        <v>1</v>
      </c>
      <c r="O213" s="2" t="s">
        <v>204</v>
      </c>
      <c r="Q213" s="2" t="s">
        <v>1</v>
      </c>
      <c r="V213" s="1"/>
      <c r="W213" s="1"/>
      <c r="X213" s="1"/>
    </row>
    <row r="214" spans="1:24" ht="24">
      <c r="A214" s="354" t="s">
        <v>32</v>
      </c>
      <c r="B214" s="354">
        <v>33</v>
      </c>
      <c r="C214" s="354" t="s">
        <v>213</v>
      </c>
      <c r="D214" s="354" t="s">
        <v>19</v>
      </c>
      <c r="E214" s="354" t="s">
        <v>68</v>
      </c>
      <c r="F214" s="354" t="s">
        <v>1</v>
      </c>
      <c r="G214" s="362" t="s">
        <v>1</v>
      </c>
      <c r="H214" s="355" t="s">
        <v>8</v>
      </c>
      <c r="J214" s="355" t="s">
        <v>214</v>
      </c>
      <c r="K214" s="359" t="s">
        <v>215</v>
      </c>
      <c r="L214" s="355" t="s">
        <v>216</v>
      </c>
      <c r="M214" s="2">
        <v>0</v>
      </c>
      <c r="N214" s="2" t="s">
        <v>1</v>
      </c>
      <c r="O214" s="2" t="s">
        <v>217</v>
      </c>
      <c r="Q214" s="2" t="s">
        <v>1</v>
      </c>
      <c r="V214" s="1"/>
      <c r="W214" s="1"/>
      <c r="X214" s="1"/>
    </row>
    <row r="215" spans="1:24" ht="14.45">
      <c r="A215" s="354" t="s">
        <v>32</v>
      </c>
      <c r="B215" s="354">
        <v>34</v>
      </c>
      <c r="C215" s="354" t="s">
        <v>218</v>
      </c>
      <c r="D215" s="354" t="s">
        <v>19</v>
      </c>
      <c r="E215" s="354" t="s">
        <v>52</v>
      </c>
      <c r="F215" s="354" t="s">
        <v>53</v>
      </c>
      <c r="G215" s="362" t="s">
        <v>219</v>
      </c>
      <c r="H215" s="355" t="s">
        <v>8</v>
      </c>
      <c r="J215" s="355" t="s">
        <v>220</v>
      </c>
      <c r="K215" s="357"/>
      <c r="L215" s="355" t="s">
        <v>221</v>
      </c>
      <c r="M215" s="2">
        <v>0</v>
      </c>
      <c r="N215" s="2" t="s">
        <v>1</v>
      </c>
      <c r="O215" s="2" t="s">
        <v>222</v>
      </c>
      <c r="Q215" s="2" t="s">
        <v>1</v>
      </c>
      <c r="V215" s="1"/>
      <c r="W215" s="1"/>
      <c r="X215" s="1"/>
    </row>
    <row r="216" spans="1:24" ht="14.45">
      <c r="A216" s="354" t="s">
        <v>32</v>
      </c>
      <c r="B216" s="354">
        <v>35</v>
      </c>
      <c r="C216" s="354" t="s">
        <v>223</v>
      </c>
      <c r="D216" s="354" t="s">
        <v>19</v>
      </c>
      <c r="E216" s="354" t="s">
        <v>75</v>
      </c>
      <c r="F216" s="354" t="s">
        <v>53</v>
      </c>
      <c r="G216" s="362" t="s">
        <v>1</v>
      </c>
      <c r="H216" s="355" t="s">
        <v>232</v>
      </c>
      <c r="J216" s="355" t="s">
        <v>224</v>
      </c>
      <c r="L216" s="355" t="s">
        <v>226</v>
      </c>
      <c r="M216" s="2">
        <v>69478.2</v>
      </c>
      <c r="N216" s="2" t="s">
        <v>1</v>
      </c>
      <c r="O216" s="2" t="s">
        <v>227</v>
      </c>
      <c r="Q216" s="2" t="s">
        <v>1</v>
      </c>
      <c r="V216" s="1"/>
      <c r="W216" s="1"/>
      <c r="X216" s="1"/>
    </row>
    <row r="217" spans="1:24" ht="14.45">
      <c r="A217" s="354" t="s">
        <v>32</v>
      </c>
      <c r="B217" s="354">
        <v>36</v>
      </c>
      <c r="C217" s="354" t="s">
        <v>228</v>
      </c>
      <c r="D217" s="354" t="s">
        <v>19</v>
      </c>
      <c r="E217" s="354" t="s">
        <v>75</v>
      </c>
      <c r="F217" s="354" t="s">
        <v>1</v>
      </c>
      <c r="G217" s="362" t="s">
        <v>1</v>
      </c>
      <c r="H217" s="355" t="s">
        <v>8</v>
      </c>
      <c r="J217" s="355" t="s">
        <v>229</v>
      </c>
      <c r="K217" s="357" t="s">
        <v>225</v>
      </c>
      <c r="L217" s="355" t="s">
        <v>230</v>
      </c>
      <c r="M217" s="2">
        <v>0</v>
      </c>
      <c r="N217" s="2" t="s">
        <v>1</v>
      </c>
      <c r="O217" s="2" t="s">
        <v>227</v>
      </c>
      <c r="Q217" s="2" t="s">
        <v>1</v>
      </c>
      <c r="V217" s="1"/>
      <c r="W217" s="1"/>
      <c r="X217" s="1"/>
    </row>
    <row r="218" spans="1:24" ht="14.45">
      <c r="A218" s="354" t="s">
        <v>32</v>
      </c>
      <c r="B218" s="354">
        <v>37</v>
      </c>
      <c r="C218" s="354" t="s">
        <v>231</v>
      </c>
      <c r="D218" s="354" t="s">
        <v>19</v>
      </c>
      <c r="E218" s="354" t="s">
        <v>68</v>
      </c>
      <c r="F218" s="354" t="s">
        <v>53</v>
      </c>
      <c r="G218" s="362" t="s">
        <v>1</v>
      </c>
      <c r="H218" s="355" t="s">
        <v>232</v>
      </c>
      <c r="J218" s="355" t="s">
        <v>233</v>
      </c>
      <c r="L218" s="355" t="s">
        <v>234</v>
      </c>
      <c r="M218" s="2">
        <v>1224.52</v>
      </c>
      <c r="N218" s="2" t="s">
        <v>1</v>
      </c>
      <c r="O218" s="2" t="s">
        <v>235</v>
      </c>
      <c r="Q218" s="2" t="s">
        <v>1</v>
      </c>
      <c r="V218" s="1"/>
      <c r="W218" s="1"/>
      <c r="X218" s="1"/>
    </row>
    <row r="219" spans="1:24" ht="14.45">
      <c r="A219" s="354" t="s">
        <v>32</v>
      </c>
      <c r="B219" s="354">
        <v>38</v>
      </c>
      <c r="C219" s="354" t="s">
        <v>236</v>
      </c>
      <c r="D219" s="354" t="s">
        <v>19</v>
      </c>
      <c r="E219" s="354" t="s">
        <v>68</v>
      </c>
      <c r="F219" s="354" t="s">
        <v>53</v>
      </c>
      <c r="G219" s="362" t="s">
        <v>1</v>
      </c>
      <c r="H219" s="355" t="s">
        <v>8</v>
      </c>
      <c r="J219" s="355" t="s">
        <v>237</v>
      </c>
      <c r="K219" s="357"/>
      <c r="L219" s="355" t="s">
        <v>238</v>
      </c>
      <c r="M219" s="2">
        <v>0</v>
      </c>
      <c r="N219" s="2" t="s">
        <v>1</v>
      </c>
      <c r="O219" s="2" t="s">
        <v>235</v>
      </c>
      <c r="Q219" s="2" t="s">
        <v>1</v>
      </c>
      <c r="V219" s="1"/>
      <c r="W219" s="1"/>
      <c r="X219" s="1"/>
    </row>
    <row r="220" spans="1:24" ht="14.45">
      <c r="A220" s="354" t="s">
        <v>32</v>
      </c>
      <c r="B220" s="354">
        <v>39</v>
      </c>
      <c r="C220" s="354" t="s">
        <v>239</v>
      </c>
      <c r="D220" s="354" t="s">
        <v>19</v>
      </c>
      <c r="E220" s="354" t="s">
        <v>68</v>
      </c>
      <c r="F220" s="354" t="s">
        <v>208</v>
      </c>
      <c r="G220" s="362" t="s">
        <v>1</v>
      </c>
      <c r="H220" s="355" t="s">
        <v>8</v>
      </c>
      <c r="J220" s="355" t="s">
        <v>240</v>
      </c>
      <c r="K220" s="357"/>
      <c r="L220" s="355" t="s">
        <v>241</v>
      </c>
      <c r="M220" s="2">
        <v>28790.861000000001</v>
      </c>
      <c r="N220" s="2" t="s">
        <v>1</v>
      </c>
      <c r="O220" s="2" t="s">
        <v>242</v>
      </c>
      <c r="Q220" s="2" t="s">
        <v>1</v>
      </c>
      <c r="V220" s="1"/>
      <c r="W220" s="1"/>
      <c r="X220" s="1"/>
    </row>
    <row r="221" spans="1:24" ht="14.45">
      <c r="A221" s="354" t="s">
        <v>32</v>
      </c>
      <c r="B221" s="354">
        <v>40</v>
      </c>
      <c r="C221" s="354" t="s">
        <v>243</v>
      </c>
      <c r="D221" s="354" t="s">
        <v>19</v>
      </c>
      <c r="E221" s="354" t="s">
        <v>68</v>
      </c>
      <c r="F221" s="354" t="s">
        <v>208</v>
      </c>
      <c r="G221" s="362" t="s">
        <v>1</v>
      </c>
      <c r="H221" s="355" t="s">
        <v>8</v>
      </c>
      <c r="J221" s="355" t="s">
        <v>244</v>
      </c>
      <c r="K221" s="357"/>
      <c r="L221" s="355" t="s">
        <v>245</v>
      </c>
      <c r="M221" s="2">
        <v>30015.381000000001</v>
      </c>
      <c r="N221" s="2" t="s">
        <v>1</v>
      </c>
      <c r="O221" s="2" t="s">
        <v>242</v>
      </c>
      <c r="Q221" s="2" t="s">
        <v>1</v>
      </c>
      <c r="V221" s="1"/>
      <c r="W221" s="1"/>
      <c r="X221" s="1"/>
    </row>
    <row r="222" spans="1:24" ht="14.45" hidden="1">
      <c r="A222" s="354" t="s">
        <v>32</v>
      </c>
      <c r="B222" s="354">
        <v>41</v>
      </c>
      <c r="C222" s="354" t="s">
        <v>246</v>
      </c>
      <c r="D222" s="354" t="s">
        <v>17</v>
      </c>
      <c r="E222" s="354" t="s">
        <v>52</v>
      </c>
      <c r="F222" s="354" t="s">
        <v>1</v>
      </c>
      <c r="G222" s="362" t="s">
        <v>1</v>
      </c>
      <c r="H222" s="355" t="s">
        <v>9</v>
      </c>
      <c r="J222" s="355" t="s">
        <v>247</v>
      </c>
      <c r="K222" s="355" t="s">
        <v>248</v>
      </c>
      <c r="L222" s="355" t="s">
        <v>249</v>
      </c>
      <c r="M222" s="2" t="s">
        <v>250</v>
      </c>
      <c r="N222" s="2" t="s">
        <v>1</v>
      </c>
      <c r="O222" s="2" t="s">
        <v>56</v>
      </c>
      <c r="Q222" s="2" t="s">
        <v>1</v>
      </c>
      <c r="V222" s="1"/>
      <c r="W222" s="1"/>
      <c r="X222" s="1"/>
    </row>
    <row r="223" spans="1:24" ht="14.45">
      <c r="A223" s="354" t="s">
        <v>32</v>
      </c>
      <c r="B223" s="354">
        <v>42</v>
      </c>
      <c r="C223" s="354" t="s">
        <v>412</v>
      </c>
      <c r="D223" s="354" t="s">
        <v>19</v>
      </c>
      <c r="E223" s="354" t="s">
        <v>68</v>
      </c>
      <c r="F223" s="354" t="s">
        <v>1</v>
      </c>
      <c r="G223" s="362" t="s">
        <v>1</v>
      </c>
      <c r="H223" s="355" t="s">
        <v>6</v>
      </c>
      <c r="J223" s="355" t="s">
        <v>413</v>
      </c>
      <c r="K223" s="355" t="s">
        <v>414</v>
      </c>
      <c r="L223" s="355" t="s">
        <v>415</v>
      </c>
      <c r="M223" s="2" t="s">
        <v>416</v>
      </c>
      <c r="N223" s="2" t="s">
        <v>1</v>
      </c>
      <c r="O223" s="2" t="s">
        <v>417</v>
      </c>
      <c r="P223" s="2" t="s">
        <v>418</v>
      </c>
      <c r="Q223" s="2" t="s">
        <v>53</v>
      </c>
      <c r="V223" s="1"/>
      <c r="W223" s="1"/>
      <c r="X223" s="1"/>
    </row>
    <row r="224" spans="1:24" ht="14.45" hidden="1">
      <c r="A224" s="354" t="s">
        <v>32</v>
      </c>
      <c r="B224" s="354">
        <v>43</v>
      </c>
      <c r="C224" s="354" t="s">
        <v>419</v>
      </c>
      <c r="D224" s="354" t="s">
        <v>104</v>
      </c>
      <c r="E224" s="354" t="s">
        <v>68</v>
      </c>
      <c r="F224" s="354" t="s">
        <v>1</v>
      </c>
      <c r="G224" s="362" t="s">
        <v>1</v>
      </c>
      <c r="H224" s="355" t="s">
        <v>6</v>
      </c>
      <c r="J224" s="355" t="s">
        <v>420</v>
      </c>
      <c r="K224" s="355" t="s">
        <v>414</v>
      </c>
      <c r="L224" s="355" t="s">
        <v>421</v>
      </c>
      <c r="M224" s="2" t="s">
        <v>422</v>
      </c>
      <c r="N224" s="2" t="s">
        <v>1</v>
      </c>
      <c r="O224" s="2" t="s">
        <v>423</v>
      </c>
      <c r="P224" s="2" t="s">
        <v>418</v>
      </c>
      <c r="Q224" s="2" t="s">
        <v>53</v>
      </c>
      <c r="V224" s="1"/>
      <c r="W224" s="1"/>
      <c r="X224" s="1"/>
    </row>
    <row r="225" spans="1:24" ht="14.45">
      <c r="A225" s="354" t="s">
        <v>32</v>
      </c>
      <c r="B225" s="354">
        <v>44</v>
      </c>
      <c r="C225" s="354" t="s">
        <v>424</v>
      </c>
      <c r="D225" s="354" t="s">
        <v>19</v>
      </c>
      <c r="E225" s="354" t="s">
        <v>68</v>
      </c>
      <c r="F225" s="354" t="s">
        <v>1</v>
      </c>
      <c r="G225" s="362" t="s">
        <v>1</v>
      </c>
      <c r="H225" s="355" t="s">
        <v>6</v>
      </c>
      <c r="J225" s="355" t="s">
        <v>425</v>
      </c>
      <c r="K225" s="355" t="s">
        <v>414</v>
      </c>
      <c r="L225" s="355" t="s">
        <v>426</v>
      </c>
      <c r="M225" s="2" t="s">
        <v>427</v>
      </c>
      <c r="N225" s="2" t="s">
        <v>1</v>
      </c>
      <c r="O225" s="2" t="s">
        <v>428</v>
      </c>
      <c r="P225" s="2" t="s">
        <v>418</v>
      </c>
      <c r="Q225" s="2" t="s">
        <v>1</v>
      </c>
      <c r="V225" s="1"/>
      <c r="W225" s="1"/>
      <c r="X225" s="1"/>
    </row>
    <row r="226" spans="1:24" ht="14.45">
      <c r="A226" s="354" t="s">
        <v>32</v>
      </c>
      <c r="B226" s="354">
        <v>45</v>
      </c>
      <c r="C226" s="354" t="s">
        <v>429</v>
      </c>
      <c r="D226" s="354" t="s">
        <v>19</v>
      </c>
      <c r="E226" s="354" t="s">
        <v>68</v>
      </c>
      <c r="F226" s="354" t="s">
        <v>1</v>
      </c>
      <c r="G226" s="362" t="s">
        <v>1</v>
      </c>
      <c r="H226" s="355" t="s">
        <v>6</v>
      </c>
      <c r="J226" s="355" t="s">
        <v>430</v>
      </c>
      <c r="K226" s="355" t="s">
        <v>414</v>
      </c>
      <c r="L226" s="355" t="s">
        <v>431</v>
      </c>
      <c r="M226" s="2" t="s">
        <v>432</v>
      </c>
      <c r="N226" s="2" t="s">
        <v>1</v>
      </c>
      <c r="O226" s="2" t="s">
        <v>433</v>
      </c>
      <c r="P226" s="2" t="s">
        <v>418</v>
      </c>
      <c r="Q226" s="2" t="s">
        <v>1</v>
      </c>
      <c r="V226" s="1"/>
      <c r="W226" s="1"/>
      <c r="X226" s="1"/>
    </row>
    <row r="227" spans="1:24" ht="14.45">
      <c r="A227" s="354" t="s">
        <v>32</v>
      </c>
      <c r="B227" s="354">
        <v>46</v>
      </c>
      <c r="C227" s="354" t="s">
        <v>434</v>
      </c>
      <c r="D227" s="354" t="s">
        <v>19</v>
      </c>
      <c r="E227" s="354" t="s">
        <v>68</v>
      </c>
      <c r="F227" s="354" t="s">
        <v>1</v>
      </c>
      <c r="G227" s="362" t="s">
        <v>1</v>
      </c>
      <c r="H227" s="355" t="s">
        <v>6</v>
      </c>
      <c r="J227" s="355" t="s">
        <v>435</v>
      </c>
      <c r="K227" s="355" t="s">
        <v>414</v>
      </c>
      <c r="L227" s="355" t="s">
        <v>436</v>
      </c>
      <c r="M227" s="2" t="s">
        <v>437</v>
      </c>
      <c r="N227" s="2" t="s">
        <v>1</v>
      </c>
      <c r="O227" s="2" t="s">
        <v>438</v>
      </c>
      <c r="P227" s="2" t="s">
        <v>418</v>
      </c>
      <c r="Q227" s="2" t="s">
        <v>1</v>
      </c>
      <c r="V227" s="1"/>
      <c r="W227" s="1"/>
      <c r="X227" s="1"/>
    </row>
    <row r="228" spans="1:24" ht="14.45" hidden="1">
      <c r="A228" s="354" t="s">
        <v>32</v>
      </c>
      <c r="B228" s="354">
        <v>47</v>
      </c>
      <c r="C228" s="354" t="s">
        <v>439</v>
      </c>
      <c r="D228" s="354" t="s">
        <v>104</v>
      </c>
      <c r="E228" s="354" t="s">
        <v>75</v>
      </c>
      <c r="F228" s="354" t="s">
        <v>1</v>
      </c>
      <c r="G228" s="362" t="s">
        <v>1</v>
      </c>
      <c r="H228" s="355" t="s">
        <v>6</v>
      </c>
      <c r="J228" s="355" t="s">
        <v>808</v>
      </c>
      <c r="K228" s="355" t="s">
        <v>414</v>
      </c>
      <c r="M228" s="2" t="s">
        <v>442</v>
      </c>
      <c r="N228" s="2" t="s">
        <v>1</v>
      </c>
      <c r="O228" s="2" t="s">
        <v>443</v>
      </c>
      <c r="Q228" s="2" t="s">
        <v>53</v>
      </c>
      <c r="V228" s="1"/>
      <c r="W228" s="1"/>
      <c r="X228" s="1"/>
    </row>
    <row r="229" spans="1:24" ht="14.45" hidden="1">
      <c r="A229" s="354" t="s">
        <v>32</v>
      </c>
      <c r="B229" s="354">
        <v>48</v>
      </c>
      <c r="C229" s="354" t="s">
        <v>444</v>
      </c>
      <c r="D229" s="354" t="s">
        <v>104</v>
      </c>
      <c r="E229" s="354" t="s">
        <v>68</v>
      </c>
      <c r="F229" s="354" t="s">
        <v>1</v>
      </c>
      <c r="G229" s="362" t="s">
        <v>1</v>
      </c>
      <c r="H229" s="355" t="s">
        <v>6</v>
      </c>
      <c r="J229" s="362" t="s">
        <v>445</v>
      </c>
      <c r="K229" s="355" t="s">
        <v>414</v>
      </c>
      <c r="L229" s="355" t="s">
        <v>446</v>
      </c>
      <c r="M229" s="304" t="s">
        <v>809</v>
      </c>
      <c r="N229" s="304" t="s">
        <v>448</v>
      </c>
      <c r="O229" s="2" t="s">
        <v>810</v>
      </c>
      <c r="R229" s="2" t="s">
        <v>811</v>
      </c>
      <c r="V229" s="1"/>
      <c r="W229" s="1"/>
      <c r="X229" s="1"/>
    </row>
    <row r="230" spans="1:24" ht="14.45" hidden="1">
      <c r="A230" s="354" t="s">
        <v>32</v>
      </c>
      <c r="B230" s="354">
        <v>49</v>
      </c>
      <c r="C230" s="354" t="s">
        <v>450</v>
      </c>
      <c r="D230" s="354" t="s">
        <v>104</v>
      </c>
      <c r="E230" s="354" t="s">
        <v>68</v>
      </c>
      <c r="F230" s="354" t="s">
        <v>1</v>
      </c>
      <c r="G230" s="362" t="s">
        <v>1</v>
      </c>
      <c r="H230" s="355" t="s">
        <v>6</v>
      </c>
      <c r="J230" s="355" t="s">
        <v>451</v>
      </c>
      <c r="K230" s="355" t="s">
        <v>414</v>
      </c>
      <c r="L230" s="355" t="s">
        <v>452</v>
      </c>
      <c r="M230" s="2" t="s">
        <v>809</v>
      </c>
      <c r="N230" s="2" t="s">
        <v>1</v>
      </c>
      <c r="O230" s="2" t="s">
        <v>453</v>
      </c>
      <c r="Q230" s="2" t="s">
        <v>53</v>
      </c>
      <c r="V230" s="1"/>
      <c r="W230" s="1"/>
      <c r="X230" s="1"/>
    </row>
    <row r="231" spans="1:24" ht="96" hidden="1">
      <c r="A231" s="354" t="s">
        <v>32</v>
      </c>
      <c r="B231" s="354">
        <v>50</v>
      </c>
      <c r="C231" s="354" t="s">
        <v>490</v>
      </c>
      <c r="D231" s="354" t="s">
        <v>104</v>
      </c>
      <c r="E231" s="354" t="s">
        <v>68</v>
      </c>
      <c r="F231" s="354" t="s">
        <v>1</v>
      </c>
      <c r="G231" s="362" t="s">
        <v>1</v>
      </c>
      <c r="H231" s="355" t="s">
        <v>6</v>
      </c>
      <c r="J231" s="355" t="s">
        <v>491</v>
      </c>
      <c r="K231" s="357" t="s">
        <v>812</v>
      </c>
      <c r="L231" s="355" t="s">
        <v>493</v>
      </c>
      <c r="M231" s="2" t="s">
        <v>494</v>
      </c>
      <c r="N231" s="2" t="s">
        <v>448</v>
      </c>
      <c r="O231" s="2">
        <v>0</v>
      </c>
      <c r="V231" s="1"/>
      <c r="W231" s="1"/>
      <c r="X231" s="1"/>
    </row>
    <row r="232" spans="1:24" ht="96" hidden="1">
      <c r="A232" s="354" t="s">
        <v>32</v>
      </c>
      <c r="B232" s="354">
        <v>51</v>
      </c>
      <c r="C232" s="354" t="s">
        <v>496</v>
      </c>
      <c r="D232" s="354" t="s">
        <v>104</v>
      </c>
      <c r="E232" s="354" t="s">
        <v>68</v>
      </c>
      <c r="F232" s="354" t="s">
        <v>1</v>
      </c>
      <c r="G232" s="362" t="s">
        <v>1</v>
      </c>
      <c r="H232" s="355" t="s">
        <v>6</v>
      </c>
      <c r="J232" s="355" t="s">
        <v>497</v>
      </c>
      <c r="K232" s="357" t="s">
        <v>812</v>
      </c>
      <c r="L232" s="355" t="s">
        <v>498</v>
      </c>
      <c r="M232" s="2" t="s">
        <v>499</v>
      </c>
      <c r="N232" s="2" t="s">
        <v>448</v>
      </c>
      <c r="O232" s="2">
        <v>0</v>
      </c>
      <c r="V232" s="1"/>
      <c r="W232" s="1"/>
      <c r="X232" s="1"/>
    </row>
    <row r="233" spans="1:24" ht="14.45" hidden="1">
      <c r="A233" s="354" t="s">
        <v>32</v>
      </c>
      <c r="B233" s="354">
        <v>52</v>
      </c>
      <c r="C233" s="354" t="s">
        <v>500</v>
      </c>
      <c r="D233" s="354" t="s">
        <v>17</v>
      </c>
      <c r="E233" s="354" t="s">
        <v>75</v>
      </c>
      <c r="F233" s="354" t="s">
        <v>1</v>
      </c>
      <c r="G233" s="362" t="s">
        <v>1</v>
      </c>
      <c r="H233" s="355" t="s">
        <v>6</v>
      </c>
      <c r="J233" s="355" t="s">
        <v>501</v>
      </c>
      <c r="K233" s="355" t="s">
        <v>502</v>
      </c>
      <c r="L233" s="355" t="s">
        <v>503</v>
      </c>
      <c r="M233" s="2" t="s">
        <v>447</v>
      </c>
      <c r="N233" s="2" t="s">
        <v>1</v>
      </c>
      <c r="O233" s="2" t="s">
        <v>349</v>
      </c>
      <c r="V233" s="1"/>
      <c r="W233" s="1"/>
      <c r="X233" s="1"/>
    </row>
    <row r="234" spans="1:24" ht="14.45" hidden="1">
      <c r="A234" s="354" t="s">
        <v>32</v>
      </c>
      <c r="B234" s="354">
        <v>53</v>
      </c>
      <c r="C234" s="354" t="s">
        <v>505</v>
      </c>
      <c r="D234" s="354" t="s">
        <v>17</v>
      </c>
      <c r="E234" s="354" t="s">
        <v>75</v>
      </c>
      <c r="F234" s="354" t="s">
        <v>1</v>
      </c>
      <c r="G234" s="362" t="s">
        <v>1</v>
      </c>
      <c r="H234" s="355" t="s">
        <v>6</v>
      </c>
      <c r="J234" s="355" t="s">
        <v>506</v>
      </c>
      <c r="K234" s="355" t="s">
        <v>507</v>
      </c>
      <c r="L234" s="355" t="s">
        <v>508</v>
      </c>
      <c r="M234" s="2" t="s">
        <v>447</v>
      </c>
      <c r="N234" s="2" t="s">
        <v>1</v>
      </c>
      <c r="V234" s="1"/>
      <c r="W234" s="1"/>
      <c r="X234" s="1"/>
    </row>
    <row r="235" spans="1:24" ht="14.45" hidden="1">
      <c r="A235" s="354" t="s">
        <v>32</v>
      </c>
      <c r="B235" s="354">
        <v>54</v>
      </c>
      <c r="C235" s="354" t="s">
        <v>509</v>
      </c>
      <c r="D235" s="354" t="s">
        <v>17</v>
      </c>
      <c r="E235" s="354" t="s">
        <v>75</v>
      </c>
      <c r="F235" s="354" t="s">
        <v>1</v>
      </c>
      <c r="G235" s="362" t="s">
        <v>1</v>
      </c>
      <c r="H235" s="355" t="s">
        <v>6</v>
      </c>
      <c r="J235" s="355" t="s">
        <v>510</v>
      </c>
      <c r="K235" s="355" t="s">
        <v>502</v>
      </c>
      <c r="L235" s="355" t="s">
        <v>511</v>
      </c>
      <c r="M235" s="2" t="s">
        <v>512</v>
      </c>
      <c r="N235" s="2" t="s">
        <v>1</v>
      </c>
      <c r="O235" s="2" t="s">
        <v>513</v>
      </c>
      <c r="V235" s="1"/>
      <c r="W235" s="1"/>
      <c r="X235" s="1"/>
    </row>
    <row r="236" spans="1:24" ht="14.45" hidden="1">
      <c r="A236" s="354" t="s">
        <v>32</v>
      </c>
      <c r="B236" s="354">
        <v>55</v>
      </c>
      <c r="C236" s="354" t="s">
        <v>515</v>
      </c>
      <c r="D236" s="354" t="s">
        <v>17</v>
      </c>
      <c r="E236" s="354" t="s">
        <v>75</v>
      </c>
      <c r="F236" s="354" t="s">
        <v>1</v>
      </c>
      <c r="G236" s="362" t="s">
        <v>1</v>
      </c>
      <c r="H236" s="355" t="s">
        <v>6</v>
      </c>
      <c r="J236" s="355" t="s">
        <v>516</v>
      </c>
      <c r="K236" s="355" t="s">
        <v>507</v>
      </c>
      <c r="L236" s="355" t="s">
        <v>517</v>
      </c>
      <c r="M236" s="2" t="s">
        <v>512</v>
      </c>
      <c r="N236" s="2" t="s">
        <v>1</v>
      </c>
      <c r="V236" s="1"/>
      <c r="W236" s="1"/>
      <c r="X236" s="1"/>
    </row>
    <row r="237" spans="1:24" ht="14.45" hidden="1">
      <c r="A237" s="354" t="s">
        <v>32</v>
      </c>
      <c r="B237" s="354">
        <v>56</v>
      </c>
      <c r="C237" s="354" t="s">
        <v>518</v>
      </c>
      <c r="D237" s="354" t="s">
        <v>17</v>
      </c>
      <c r="E237" s="354" t="s">
        <v>75</v>
      </c>
      <c r="F237" s="354" t="s">
        <v>53</v>
      </c>
      <c r="G237" s="362" t="s">
        <v>1</v>
      </c>
      <c r="H237" s="355" t="s">
        <v>6</v>
      </c>
      <c r="J237" s="355" t="s">
        <v>519</v>
      </c>
      <c r="L237" s="355" t="s">
        <v>520</v>
      </c>
      <c r="M237" s="2" t="s">
        <v>512</v>
      </c>
      <c r="N237" s="2" t="s">
        <v>1</v>
      </c>
      <c r="V237" s="1"/>
      <c r="W237" s="1"/>
      <c r="X237" s="1"/>
    </row>
    <row r="238" spans="1:24" ht="14.45" hidden="1">
      <c r="A238" s="354" t="s">
        <v>32</v>
      </c>
      <c r="B238" s="354">
        <v>57</v>
      </c>
      <c r="C238" s="354" t="s">
        <v>521</v>
      </c>
      <c r="D238" s="354" t="s">
        <v>17</v>
      </c>
      <c r="E238" s="354" t="s">
        <v>75</v>
      </c>
      <c r="F238" s="354" t="s">
        <v>53</v>
      </c>
      <c r="G238" s="362" t="s">
        <v>1</v>
      </c>
      <c r="H238" s="355" t="s">
        <v>6</v>
      </c>
      <c r="J238" s="355" t="s">
        <v>522</v>
      </c>
      <c r="L238" s="355" t="s">
        <v>523</v>
      </c>
      <c r="M238" s="2" t="s">
        <v>512</v>
      </c>
      <c r="N238" s="2" t="s">
        <v>1</v>
      </c>
      <c r="V238" s="1"/>
      <c r="W238" s="1"/>
      <c r="X238" s="1"/>
    </row>
    <row r="239" spans="1:24" ht="14.45" hidden="1">
      <c r="A239" s="354" t="s">
        <v>32</v>
      </c>
      <c r="B239" s="354">
        <v>58</v>
      </c>
      <c r="C239" s="354" t="s">
        <v>524</v>
      </c>
      <c r="D239" s="354" t="s">
        <v>17</v>
      </c>
      <c r="E239" s="354" t="s">
        <v>75</v>
      </c>
      <c r="F239" s="354" t="s">
        <v>53</v>
      </c>
      <c r="G239" s="362" t="s">
        <v>1</v>
      </c>
      <c r="H239" s="355" t="s">
        <v>6</v>
      </c>
      <c r="J239" s="355" t="s">
        <v>525</v>
      </c>
      <c r="L239" s="355" t="s">
        <v>526</v>
      </c>
      <c r="M239" s="2" t="s">
        <v>512</v>
      </c>
      <c r="N239" s="2" t="s">
        <v>1</v>
      </c>
      <c r="V239" s="1"/>
      <c r="W239" s="1"/>
      <c r="X239" s="1"/>
    </row>
    <row r="240" spans="1:24" ht="14.45" hidden="1">
      <c r="A240" s="354" t="s">
        <v>32</v>
      </c>
      <c r="B240" s="354">
        <v>59</v>
      </c>
      <c r="C240" s="354" t="s">
        <v>527</v>
      </c>
      <c r="D240" s="354" t="s">
        <v>17</v>
      </c>
      <c r="E240" s="354" t="s">
        <v>75</v>
      </c>
      <c r="F240" s="354" t="s">
        <v>53</v>
      </c>
      <c r="G240" s="362" t="s">
        <v>1</v>
      </c>
      <c r="H240" s="355" t="s">
        <v>6</v>
      </c>
      <c r="J240" s="355" t="s">
        <v>528</v>
      </c>
      <c r="L240" s="355" t="s">
        <v>529</v>
      </c>
      <c r="M240" s="2" t="s">
        <v>512</v>
      </c>
      <c r="N240" s="2" t="s">
        <v>1</v>
      </c>
      <c r="V240" s="1"/>
      <c r="W240" s="1"/>
      <c r="X240" s="1"/>
    </row>
    <row r="241" spans="1:24" ht="14.45" hidden="1">
      <c r="A241" s="354" t="s">
        <v>32</v>
      </c>
      <c r="B241" s="354">
        <v>60</v>
      </c>
      <c r="C241" s="354" t="s">
        <v>530</v>
      </c>
      <c r="D241" s="354" t="s">
        <v>17</v>
      </c>
      <c r="E241" s="354" t="s">
        <v>75</v>
      </c>
      <c r="F241" s="354" t="s">
        <v>53</v>
      </c>
      <c r="G241" s="362" t="s">
        <v>1</v>
      </c>
      <c r="H241" s="355" t="s">
        <v>6</v>
      </c>
      <c r="J241" s="355" t="s">
        <v>531</v>
      </c>
      <c r="L241" s="355" t="s">
        <v>532</v>
      </c>
      <c r="M241" s="2" t="s">
        <v>512</v>
      </c>
      <c r="N241" s="2" t="s">
        <v>1</v>
      </c>
      <c r="V241" s="1"/>
      <c r="W241" s="1"/>
      <c r="X241" s="1"/>
    </row>
    <row r="242" spans="1:24" ht="14.45" hidden="1">
      <c r="A242" s="354" t="s">
        <v>32</v>
      </c>
      <c r="B242" s="354">
        <v>61</v>
      </c>
      <c r="C242" s="354" t="s">
        <v>533</v>
      </c>
      <c r="D242" s="354" t="s">
        <v>17</v>
      </c>
      <c r="E242" s="354" t="s">
        <v>75</v>
      </c>
      <c r="F242" s="354" t="s">
        <v>53</v>
      </c>
      <c r="G242" s="362" t="s">
        <v>1</v>
      </c>
      <c r="H242" s="355" t="s">
        <v>6</v>
      </c>
      <c r="J242" s="355" t="s">
        <v>534</v>
      </c>
      <c r="L242" s="355" t="s">
        <v>535</v>
      </c>
      <c r="M242" s="2" t="s">
        <v>512</v>
      </c>
      <c r="N242" s="2" t="s">
        <v>1</v>
      </c>
      <c r="V242" s="1"/>
      <c r="W242" s="1"/>
      <c r="X242" s="1"/>
    </row>
    <row r="243" spans="1:24" ht="14.45" hidden="1">
      <c r="A243" s="354" t="s">
        <v>32</v>
      </c>
      <c r="B243" s="354">
        <v>62</v>
      </c>
      <c r="C243" s="354" t="s">
        <v>536</v>
      </c>
      <c r="D243" s="354" t="s">
        <v>17</v>
      </c>
      <c r="E243" s="354" t="s">
        <v>75</v>
      </c>
      <c r="F243" s="354" t="s">
        <v>53</v>
      </c>
      <c r="G243" s="362" t="s">
        <v>1</v>
      </c>
      <c r="H243" s="355" t="s">
        <v>6</v>
      </c>
      <c r="J243" s="355" t="s">
        <v>537</v>
      </c>
      <c r="L243" s="355" t="s">
        <v>538</v>
      </c>
      <c r="M243" s="2" t="s">
        <v>512</v>
      </c>
      <c r="N243" s="2" t="s">
        <v>1</v>
      </c>
      <c r="V243" s="1"/>
      <c r="W243" s="1"/>
      <c r="X243" s="1"/>
    </row>
    <row r="244" spans="1:24" ht="14.45" hidden="1">
      <c r="A244" s="354" t="s">
        <v>32</v>
      </c>
      <c r="B244" s="354">
        <v>63</v>
      </c>
      <c r="C244" s="354" t="s">
        <v>539</v>
      </c>
      <c r="D244" s="354" t="s">
        <v>17</v>
      </c>
      <c r="E244" s="354" t="s">
        <v>75</v>
      </c>
      <c r="F244" s="354" t="s">
        <v>53</v>
      </c>
      <c r="G244" s="362" t="s">
        <v>1</v>
      </c>
      <c r="H244" s="355" t="s">
        <v>6</v>
      </c>
      <c r="J244" s="355" t="s">
        <v>540</v>
      </c>
      <c r="L244" s="355" t="s">
        <v>541</v>
      </c>
      <c r="M244" s="2" t="s">
        <v>512</v>
      </c>
      <c r="N244" s="2" t="s">
        <v>1</v>
      </c>
      <c r="V244" s="1"/>
      <c r="W244" s="1"/>
      <c r="X244" s="1"/>
    </row>
    <row r="245" spans="1:24" ht="14.45" hidden="1">
      <c r="A245" s="354" t="s">
        <v>32</v>
      </c>
      <c r="B245" s="354">
        <v>64</v>
      </c>
      <c r="C245" s="354" t="s">
        <v>542</v>
      </c>
      <c r="D245" s="354" t="s">
        <v>17</v>
      </c>
      <c r="E245" s="354" t="s">
        <v>75</v>
      </c>
      <c r="F245" s="354" t="s">
        <v>1</v>
      </c>
      <c r="G245" s="362" t="s">
        <v>1</v>
      </c>
      <c r="H245" s="355" t="s">
        <v>6</v>
      </c>
      <c r="J245" s="355" t="s">
        <v>543</v>
      </c>
      <c r="K245" s="355" t="s">
        <v>502</v>
      </c>
      <c r="L245" s="355" t="s">
        <v>544</v>
      </c>
      <c r="M245" s="2" t="s">
        <v>512</v>
      </c>
      <c r="N245" s="2" t="s">
        <v>1</v>
      </c>
      <c r="V245" s="1"/>
      <c r="W245" s="1"/>
      <c r="X245" s="1"/>
    </row>
    <row r="246" spans="1:24" ht="14.45" hidden="1">
      <c r="A246" s="354" t="s">
        <v>32</v>
      </c>
      <c r="B246" s="354">
        <v>65</v>
      </c>
      <c r="C246" s="354" t="s">
        <v>545</v>
      </c>
      <c r="D246" s="354" t="s">
        <v>17</v>
      </c>
      <c r="E246" s="354" t="s">
        <v>75</v>
      </c>
      <c r="F246" s="354" t="s">
        <v>1</v>
      </c>
      <c r="G246" s="362" t="s">
        <v>1</v>
      </c>
      <c r="H246" s="355" t="s">
        <v>6</v>
      </c>
      <c r="J246" s="355" t="s">
        <v>546</v>
      </c>
      <c r="K246" s="355" t="s">
        <v>507</v>
      </c>
      <c r="L246" s="355" t="s">
        <v>547</v>
      </c>
      <c r="M246" s="2" t="s">
        <v>512</v>
      </c>
      <c r="N246" s="2" t="s">
        <v>1</v>
      </c>
      <c r="V246" s="1"/>
      <c r="W246" s="1"/>
      <c r="X246" s="1"/>
    </row>
    <row r="247" spans="1:24" ht="14.45" hidden="1">
      <c r="A247" s="354" t="s">
        <v>32</v>
      </c>
      <c r="B247" s="354">
        <v>68</v>
      </c>
      <c r="C247" s="354" t="s">
        <v>548</v>
      </c>
      <c r="D247" s="354" t="s">
        <v>17</v>
      </c>
      <c r="E247" s="354" t="s">
        <v>75</v>
      </c>
      <c r="F247" s="354" t="s">
        <v>1</v>
      </c>
      <c r="G247" s="362" t="s">
        <v>1</v>
      </c>
      <c r="H247" s="355" t="s">
        <v>6</v>
      </c>
      <c r="J247" s="355" t="s">
        <v>549</v>
      </c>
      <c r="K247" s="355" t="s">
        <v>502</v>
      </c>
      <c r="L247" s="355" t="s">
        <v>550</v>
      </c>
      <c r="M247" s="2" t="s">
        <v>442</v>
      </c>
      <c r="N247" s="2" t="s">
        <v>1</v>
      </c>
      <c r="O247" s="2" t="s">
        <v>551</v>
      </c>
      <c r="Q247" s="2" t="s">
        <v>1</v>
      </c>
      <c r="V247" s="1"/>
      <c r="W247" s="1"/>
      <c r="X247" s="1"/>
    </row>
    <row r="248" spans="1:24" ht="14.45" hidden="1">
      <c r="A248" s="354" t="s">
        <v>32</v>
      </c>
      <c r="B248" s="354">
        <v>69</v>
      </c>
      <c r="C248" s="354" t="s">
        <v>552</v>
      </c>
      <c r="D248" s="354" t="s">
        <v>17</v>
      </c>
      <c r="E248" s="354" t="s">
        <v>75</v>
      </c>
      <c r="F248" s="354" t="s">
        <v>1</v>
      </c>
      <c r="G248" s="362" t="s">
        <v>1</v>
      </c>
      <c r="H248" s="355" t="s">
        <v>6</v>
      </c>
      <c r="J248" s="355" t="s">
        <v>553</v>
      </c>
      <c r="K248" s="355" t="s">
        <v>507</v>
      </c>
      <c r="L248" s="355" t="s">
        <v>554</v>
      </c>
      <c r="M248" s="2" t="s">
        <v>442</v>
      </c>
      <c r="N248" s="2" t="s">
        <v>1</v>
      </c>
      <c r="O248" s="2" t="s">
        <v>551</v>
      </c>
      <c r="Q248" s="2" t="s">
        <v>1</v>
      </c>
      <c r="V248" s="1"/>
      <c r="W248" s="1"/>
      <c r="X248" s="1"/>
    </row>
    <row r="249" spans="1:24" ht="14.45" hidden="1">
      <c r="A249" s="354" t="s">
        <v>32</v>
      </c>
      <c r="B249" s="354">
        <v>70</v>
      </c>
      <c r="C249" s="354" t="s">
        <v>555</v>
      </c>
      <c r="D249" s="354" t="s">
        <v>17</v>
      </c>
      <c r="E249" s="354" t="s">
        <v>75</v>
      </c>
      <c r="F249" s="354" t="s">
        <v>53</v>
      </c>
      <c r="G249" s="362" t="s">
        <v>1</v>
      </c>
      <c r="H249" s="355" t="s">
        <v>6</v>
      </c>
      <c r="J249" s="355" t="s">
        <v>556</v>
      </c>
      <c r="L249" s="355" t="s">
        <v>557</v>
      </c>
      <c r="M249" s="2" t="s">
        <v>558</v>
      </c>
      <c r="N249" s="2" t="s">
        <v>57</v>
      </c>
      <c r="O249" s="2" t="s">
        <v>813</v>
      </c>
      <c r="V249" s="1"/>
      <c r="W249" s="1"/>
      <c r="X249" s="1"/>
    </row>
    <row r="250" spans="1:24" ht="14.45" hidden="1">
      <c r="A250" s="354" t="s">
        <v>32</v>
      </c>
      <c r="B250" s="354">
        <v>71</v>
      </c>
      <c r="C250" s="354" t="s">
        <v>560</v>
      </c>
      <c r="D250" s="354" t="s">
        <v>17</v>
      </c>
      <c r="E250" s="354" t="s">
        <v>75</v>
      </c>
      <c r="F250" s="354" t="s">
        <v>53</v>
      </c>
      <c r="G250" s="362" t="s">
        <v>1</v>
      </c>
      <c r="H250" s="355" t="s">
        <v>6</v>
      </c>
      <c r="J250" s="355" t="s">
        <v>561</v>
      </c>
      <c r="L250" s="355" t="s">
        <v>562</v>
      </c>
      <c r="M250" s="2" t="s">
        <v>563</v>
      </c>
      <c r="N250" s="2" t="s">
        <v>57</v>
      </c>
      <c r="V250" s="1"/>
      <c r="W250" s="1"/>
      <c r="X250" s="1"/>
    </row>
    <row r="251" spans="1:24" ht="14.45" hidden="1">
      <c r="A251" s="354" t="s">
        <v>32</v>
      </c>
      <c r="B251" s="354">
        <v>74</v>
      </c>
      <c r="C251" s="354" t="s">
        <v>580</v>
      </c>
      <c r="D251" s="354" t="s">
        <v>17</v>
      </c>
      <c r="E251" s="354" t="s">
        <v>68</v>
      </c>
      <c r="F251" s="354" t="s">
        <v>1</v>
      </c>
      <c r="G251" s="362" t="s">
        <v>1</v>
      </c>
      <c r="H251" s="355" t="s">
        <v>11</v>
      </c>
      <c r="J251" s="355" t="s">
        <v>581</v>
      </c>
      <c r="K251" s="355" t="s">
        <v>582</v>
      </c>
      <c r="L251" s="355" t="s">
        <v>583</v>
      </c>
      <c r="M251" s="2" t="s">
        <v>584</v>
      </c>
      <c r="N251" s="2" t="s">
        <v>57</v>
      </c>
      <c r="V251" s="1"/>
      <c r="W251" s="1"/>
      <c r="X251" s="1"/>
    </row>
    <row r="252" spans="1:24" ht="24">
      <c r="A252" s="354" t="s">
        <v>32</v>
      </c>
      <c r="B252" s="354">
        <v>75</v>
      </c>
      <c r="C252" s="354" t="s">
        <v>621</v>
      </c>
      <c r="D252" s="354" t="s">
        <v>19</v>
      </c>
      <c r="E252" s="354" t="s">
        <v>75</v>
      </c>
      <c r="F252" s="354" t="s">
        <v>1</v>
      </c>
      <c r="G252" s="362" t="s">
        <v>1</v>
      </c>
      <c r="H252" s="355" t="s">
        <v>4</v>
      </c>
      <c r="J252" s="355" t="s">
        <v>622</v>
      </c>
      <c r="K252" s="357" t="s">
        <v>623</v>
      </c>
      <c r="L252" s="355" t="s">
        <v>624</v>
      </c>
      <c r="M252" s="2">
        <v>2</v>
      </c>
      <c r="N252" s="2" t="s">
        <v>1</v>
      </c>
      <c r="O252" s="2" t="s">
        <v>625</v>
      </c>
      <c r="Q252" s="2" t="s">
        <v>1</v>
      </c>
      <c r="V252" s="1"/>
      <c r="W252" s="1"/>
      <c r="X252" s="1"/>
    </row>
    <row r="253" spans="1:24" ht="14.45">
      <c r="A253" s="354" t="s">
        <v>32</v>
      </c>
      <c r="B253" s="354">
        <v>76</v>
      </c>
      <c r="C253" s="354" t="s">
        <v>626</v>
      </c>
      <c r="D253" s="354" t="s">
        <v>19</v>
      </c>
      <c r="E253" s="354" t="s">
        <v>75</v>
      </c>
      <c r="F253" s="354" t="s">
        <v>53</v>
      </c>
      <c r="G253" s="362" t="s">
        <v>1</v>
      </c>
      <c r="H253" s="355" t="s">
        <v>4</v>
      </c>
      <c r="J253" s="355" t="s">
        <v>627</v>
      </c>
      <c r="K253" s="357"/>
      <c r="L253" s="355" t="s">
        <v>628</v>
      </c>
      <c r="M253" s="2">
        <v>0</v>
      </c>
      <c r="N253" s="2" t="s">
        <v>1</v>
      </c>
      <c r="O253" s="2" t="s">
        <v>625</v>
      </c>
      <c r="Q253" s="2" t="s">
        <v>1</v>
      </c>
      <c r="R253" s="2" t="s">
        <v>802</v>
      </c>
      <c r="V253" s="1"/>
      <c r="W253" s="1"/>
      <c r="X253" s="1"/>
    </row>
    <row r="254" spans="1:24" ht="14.45">
      <c r="A254" s="354" t="s">
        <v>32</v>
      </c>
      <c r="B254" s="354">
        <v>77</v>
      </c>
      <c r="C254" s="354" t="s">
        <v>675</v>
      </c>
      <c r="D254" s="354" t="s">
        <v>19</v>
      </c>
      <c r="E254" s="354" t="s">
        <v>68</v>
      </c>
      <c r="F254" s="354" t="s">
        <v>53</v>
      </c>
      <c r="G254" s="362" t="s">
        <v>1</v>
      </c>
      <c r="H254" s="355" t="s">
        <v>4</v>
      </c>
      <c r="J254" s="355" t="s">
        <v>676</v>
      </c>
      <c r="K254" s="357"/>
      <c r="L254" s="355" t="s">
        <v>677</v>
      </c>
      <c r="M254" s="2">
        <v>4994</v>
      </c>
      <c r="N254" s="2" t="s">
        <v>1</v>
      </c>
      <c r="O254" s="2" t="s">
        <v>678</v>
      </c>
      <c r="Q254" s="2" t="s">
        <v>53</v>
      </c>
      <c r="V254" s="1"/>
      <c r="W254" s="1"/>
      <c r="X254" s="1"/>
    </row>
    <row r="255" spans="1:24" ht="14.45">
      <c r="A255" s="354" t="s">
        <v>32</v>
      </c>
      <c r="B255" s="354">
        <v>78</v>
      </c>
      <c r="C255" s="354" t="s">
        <v>679</v>
      </c>
      <c r="D255" s="354" t="s">
        <v>19</v>
      </c>
      <c r="E255" s="354" t="s">
        <v>52</v>
      </c>
      <c r="F255" s="354" t="s">
        <v>53</v>
      </c>
      <c r="G255" s="362" t="s">
        <v>1</v>
      </c>
      <c r="H255" s="362" t="s">
        <v>680</v>
      </c>
      <c r="I255" s="362"/>
      <c r="J255" s="362" t="s">
        <v>681</v>
      </c>
      <c r="L255" s="355" t="s">
        <v>514</v>
      </c>
      <c r="M255" s="304" t="s">
        <v>682</v>
      </c>
      <c r="N255" s="2" t="s">
        <v>53</v>
      </c>
      <c r="O255" s="2" t="s">
        <v>683</v>
      </c>
      <c r="Q255" s="2" t="s">
        <v>684</v>
      </c>
      <c r="V255" s="1"/>
      <c r="W255" s="1"/>
      <c r="X255" s="1"/>
    </row>
    <row r="256" spans="1:24" ht="14.45" hidden="1">
      <c r="A256" s="354" t="s">
        <v>32</v>
      </c>
      <c r="B256" s="354">
        <v>79</v>
      </c>
      <c r="C256" s="354" t="s">
        <v>732</v>
      </c>
      <c r="D256" s="354" t="s">
        <v>17</v>
      </c>
      <c r="E256" s="354" t="s">
        <v>68</v>
      </c>
      <c r="F256" s="354" t="s">
        <v>1</v>
      </c>
      <c r="G256" s="362" t="s">
        <v>1</v>
      </c>
      <c r="H256" s="355" t="s">
        <v>11</v>
      </c>
      <c r="J256" s="355" t="s">
        <v>733</v>
      </c>
      <c r="K256" s="355" t="s">
        <v>582</v>
      </c>
      <c r="L256" s="355" t="s">
        <v>734</v>
      </c>
      <c r="M256" s="2" t="s">
        <v>584</v>
      </c>
      <c r="N256" s="2" t="s">
        <v>57</v>
      </c>
      <c r="O256" s="2">
        <v>0</v>
      </c>
      <c r="R256" s="2" t="s">
        <v>814</v>
      </c>
      <c r="V256" s="1"/>
      <c r="W256" s="1"/>
      <c r="X256" s="1"/>
    </row>
    <row r="257" spans="1:24" ht="80.25" customHeight="1">
      <c r="A257" s="354" t="s">
        <v>32</v>
      </c>
      <c r="B257" s="354">
        <v>80</v>
      </c>
      <c r="C257" s="354" t="s">
        <v>735</v>
      </c>
      <c r="D257" s="354" t="s">
        <v>19</v>
      </c>
      <c r="E257" s="354" t="s">
        <v>68</v>
      </c>
      <c r="F257" s="354" t="s">
        <v>1</v>
      </c>
      <c r="G257" s="362" t="s">
        <v>1</v>
      </c>
      <c r="H257" s="355" t="s">
        <v>7</v>
      </c>
      <c r="J257" s="355" t="s">
        <v>736</v>
      </c>
      <c r="K257" s="359" t="s">
        <v>815</v>
      </c>
      <c r="L257" s="355" t="s">
        <v>738</v>
      </c>
      <c r="M257" s="2">
        <v>8700</v>
      </c>
      <c r="N257" s="2" t="s">
        <v>1</v>
      </c>
      <c r="O257" s="2" t="s">
        <v>739</v>
      </c>
      <c r="Q257" s="2" t="s">
        <v>1</v>
      </c>
      <c r="R257" s="2" t="s">
        <v>804</v>
      </c>
      <c r="V257" s="1"/>
      <c r="W257" s="1"/>
      <c r="X257" s="1"/>
    </row>
    <row r="258" spans="1:24" ht="14.45">
      <c r="A258" s="354" t="s">
        <v>32</v>
      </c>
      <c r="B258" s="354">
        <v>81</v>
      </c>
      <c r="C258" s="354" t="s">
        <v>740</v>
      </c>
      <c r="D258" s="354" t="s">
        <v>19</v>
      </c>
      <c r="E258" s="354" t="s">
        <v>52</v>
      </c>
      <c r="F258" s="354" t="s">
        <v>53</v>
      </c>
      <c r="G258" s="362" t="s">
        <v>1</v>
      </c>
      <c r="H258" s="355" t="s">
        <v>11</v>
      </c>
      <c r="J258" s="355" t="s">
        <v>741</v>
      </c>
      <c r="L258" s="355" t="s">
        <v>742</v>
      </c>
      <c r="M258" s="2">
        <v>8</v>
      </c>
      <c r="N258" s="2" t="s">
        <v>1</v>
      </c>
      <c r="O258" s="2" t="s">
        <v>743</v>
      </c>
      <c r="Q258" s="2" t="s">
        <v>1</v>
      </c>
      <c r="V258" s="1"/>
      <c r="W258" s="1"/>
      <c r="X258" s="1"/>
    </row>
    <row r="259" spans="1:24" ht="14.45" hidden="1">
      <c r="A259" s="354" t="s">
        <v>32</v>
      </c>
      <c r="B259" s="354">
        <v>82</v>
      </c>
      <c r="C259" s="354" t="s">
        <v>744</v>
      </c>
      <c r="D259" s="354" t="s">
        <v>104</v>
      </c>
      <c r="E259" s="354" t="s">
        <v>75</v>
      </c>
      <c r="F259" s="354" t="s">
        <v>53</v>
      </c>
      <c r="G259" s="362" t="s">
        <v>1</v>
      </c>
      <c r="H259" s="355" t="s">
        <v>11</v>
      </c>
      <c r="J259" s="355" t="s">
        <v>745</v>
      </c>
      <c r="L259" s="355" t="s">
        <v>746</v>
      </c>
      <c r="M259" s="2" t="s">
        <v>747</v>
      </c>
      <c r="N259" s="2" t="s">
        <v>448</v>
      </c>
      <c r="O259" s="2" t="s">
        <v>748</v>
      </c>
      <c r="R259" s="2" t="s">
        <v>816</v>
      </c>
      <c r="V259" s="1"/>
      <c r="W259" s="1"/>
      <c r="X259" s="1"/>
    </row>
    <row r="260" spans="1:24" ht="14.45" hidden="1">
      <c r="A260" s="354" t="s">
        <v>32</v>
      </c>
      <c r="B260" s="354">
        <v>83</v>
      </c>
      <c r="C260" s="354" t="s">
        <v>749</v>
      </c>
      <c r="D260" s="354" t="s">
        <v>104</v>
      </c>
      <c r="E260" s="354" t="s">
        <v>75</v>
      </c>
      <c r="F260" s="354" t="s">
        <v>53</v>
      </c>
      <c r="G260" s="362" t="s">
        <v>1</v>
      </c>
      <c r="H260" s="355" t="s">
        <v>11</v>
      </c>
      <c r="J260" s="355" t="s">
        <v>750</v>
      </c>
      <c r="L260" s="355" t="s">
        <v>751</v>
      </c>
      <c r="M260" s="2" t="s">
        <v>752</v>
      </c>
      <c r="N260" s="2" t="s">
        <v>448</v>
      </c>
      <c r="R260" s="2" t="s">
        <v>817</v>
      </c>
      <c r="V260" s="1"/>
      <c r="W260" s="1"/>
      <c r="X260" s="1"/>
    </row>
    <row r="261" spans="1:24" ht="14.45" hidden="1">
      <c r="A261" s="354" t="s">
        <v>32</v>
      </c>
      <c r="B261" s="354">
        <v>84</v>
      </c>
      <c r="C261" s="354" t="s">
        <v>753</v>
      </c>
      <c r="D261" s="354" t="s">
        <v>104</v>
      </c>
      <c r="E261" s="354" t="s">
        <v>75</v>
      </c>
      <c r="F261" s="354" t="s">
        <v>53</v>
      </c>
      <c r="G261" s="362" t="s">
        <v>1</v>
      </c>
      <c r="H261" s="355" t="s">
        <v>11</v>
      </c>
      <c r="J261" s="355" t="s">
        <v>754</v>
      </c>
      <c r="L261" s="355" t="s">
        <v>755</v>
      </c>
      <c r="M261" s="2" t="s">
        <v>107</v>
      </c>
      <c r="N261" s="2" t="s">
        <v>448</v>
      </c>
      <c r="R261" s="2" t="s">
        <v>818</v>
      </c>
      <c r="V261" s="1"/>
      <c r="W261" s="1"/>
      <c r="X261" s="1"/>
    </row>
    <row r="262" spans="1:24" ht="14.45" hidden="1">
      <c r="A262" s="354" t="s">
        <v>32</v>
      </c>
      <c r="B262" s="354">
        <v>85</v>
      </c>
      <c r="C262" s="354" t="s">
        <v>771</v>
      </c>
      <c r="D262" s="354" t="s">
        <v>17</v>
      </c>
      <c r="E262" s="354" t="s">
        <v>68</v>
      </c>
      <c r="F262" s="354" t="s">
        <v>53</v>
      </c>
      <c r="G262" s="362" t="s">
        <v>1</v>
      </c>
      <c r="H262" s="355" t="s">
        <v>11</v>
      </c>
      <c r="J262" s="355" t="s">
        <v>772</v>
      </c>
      <c r="L262" s="355" t="s">
        <v>774</v>
      </c>
      <c r="M262" s="2" t="s">
        <v>584</v>
      </c>
      <c r="N262" s="2" t="s">
        <v>57</v>
      </c>
      <c r="O262" s="2" t="s">
        <v>349</v>
      </c>
      <c r="V262" s="1"/>
      <c r="W262" s="1"/>
      <c r="X262" s="1"/>
    </row>
    <row r="263" spans="1:24" ht="36">
      <c r="A263" s="354" t="s">
        <v>32</v>
      </c>
      <c r="B263" s="354">
        <v>86</v>
      </c>
      <c r="C263" s="354" t="s">
        <v>819</v>
      </c>
      <c r="D263" s="354" t="s">
        <v>19</v>
      </c>
      <c r="E263" s="354" t="s">
        <v>68</v>
      </c>
      <c r="F263" s="354" t="s">
        <v>1</v>
      </c>
      <c r="G263" s="362" t="s">
        <v>1</v>
      </c>
      <c r="H263" s="355" t="s">
        <v>4</v>
      </c>
      <c r="J263" s="355" t="s">
        <v>820</v>
      </c>
      <c r="K263" s="357" t="s">
        <v>821</v>
      </c>
      <c r="L263" s="355" t="s">
        <v>822</v>
      </c>
      <c r="M263" s="2">
        <v>21</v>
      </c>
      <c r="N263" s="2" t="s">
        <v>1</v>
      </c>
      <c r="V263" s="1"/>
      <c r="W263" s="1"/>
      <c r="X263" s="1"/>
    </row>
    <row r="264" spans="1:24" ht="36">
      <c r="A264" s="354" t="s">
        <v>32</v>
      </c>
      <c r="B264" s="354">
        <v>87</v>
      </c>
      <c r="C264" s="354" t="s">
        <v>823</v>
      </c>
      <c r="D264" s="354" t="s">
        <v>19</v>
      </c>
      <c r="E264" s="354" t="s">
        <v>68</v>
      </c>
      <c r="F264" s="354" t="s">
        <v>1</v>
      </c>
      <c r="G264" s="362" t="s">
        <v>1</v>
      </c>
      <c r="H264" s="355" t="s">
        <v>4</v>
      </c>
      <c r="J264" s="355" t="s">
        <v>824</v>
      </c>
      <c r="K264" s="357" t="s">
        <v>825</v>
      </c>
      <c r="L264" s="355" t="s">
        <v>826</v>
      </c>
      <c r="M264" s="2">
        <v>21</v>
      </c>
      <c r="N264" s="2" t="s">
        <v>1</v>
      </c>
      <c r="V264" s="1"/>
      <c r="W264" s="1"/>
      <c r="X264" s="1"/>
    </row>
    <row r="265" spans="1:24" ht="24">
      <c r="A265" s="354" t="s">
        <v>32</v>
      </c>
      <c r="B265" s="354">
        <v>88</v>
      </c>
      <c r="C265" s="354" t="s">
        <v>827</v>
      </c>
      <c r="D265" s="354" t="s">
        <v>19</v>
      </c>
      <c r="E265" s="354" t="s">
        <v>68</v>
      </c>
      <c r="F265" s="354" t="s">
        <v>1</v>
      </c>
      <c r="G265" s="362" t="s">
        <v>1</v>
      </c>
      <c r="H265" s="355" t="s">
        <v>4</v>
      </c>
      <c r="J265" s="355" t="s">
        <v>828</v>
      </c>
      <c r="K265" s="357" t="s">
        <v>623</v>
      </c>
      <c r="L265" s="355" t="s">
        <v>829</v>
      </c>
      <c r="M265" s="2">
        <v>2</v>
      </c>
      <c r="N265" s="2" t="s">
        <v>1</v>
      </c>
      <c r="V265" s="1"/>
      <c r="W265" s="1"/>
      <c r="X265" s="1"/>
    </row>
    <row r="266" spans="1:24" ht="14.45" hidden="1">
      <c r="A266" s="354" t="s">
        <v>32</v>
      </c>
      <c r="B266" s="354">
        <v>89</v>
      </c>
      <c r="C266" s="354" t="s">
        <v>830</v>
      </c>
      <c r="D266" s="354" t="s">
        <v>104</v>
      </c>
      <c r="E266" s="354" t="s">
        <v>68</v>
      </c>
      <c r="F266" s="354" t="s">
        <v>53</v>
      </c>
      <c r="G266" s="362" t="s">
        <v>1</v>
      </c>
      <c r="H266" s="355" t="s">
        <v>10</v>
      </c>
      <c r="J266" s="355" t="s">
        <v>831</v>
      </c>
      <c r="K266" s="355" t="s">
        <v>832</v>
      </c>
      <c r="L266" s="355" t="s">
        <v>833</v>
      </c>
      <c r="M266" s="2" t="s">
        <v>834</v>
      </c>
      <c r="N266" s="2" t="s">
        <v>57</v>
      </c>
      <c r="V266" s="1"/>
      <c r="W266" s="1"/>
      <c r="X266" s="1"/>
    </row>
    <row r="267" spans="1:24" ht="14.45" hidden="1">
      <c r="A267" s="354" t="s">
        <v>32</v>
      </c>
      <c r="B267" s="354">
        <v>90</v>
      </c>
      <c r="C267" s="354" t="s">
        <v>835</v>
      </c>
      <c r="D267" s="354" t="s">
        <v>104</v>
      </c>
      <c r="E267" s="354" t="s">
        <v>68</v>
      </c>
      <c r="F267" s="354" t="s">
        <v>53</v>
      </c>
      <c r="G267" s="362" t="s">
        <v>1</v>
      </c>
      <c r="H267" s="355" t="s">
        <v>13</v>
      </c>
      <c r="J267" s="355" t="s">
        <v>836</v>
      </c>
      <c r="K267" s="355" t="s">
        <v>832</v>
      </c>
      <c r="L267" s="355" t="s">
        <v>837</v>
      </c>
      <c r="M267" s="2" t="s">
        <v>838</v>
      </c>
      <c r="N267" s="2" t="s">
        <v>57</v>
      </c>
      <c r="V267" s="1"/>
      <c r="W267" s="1"/>
      <c r="X267" s="1"/>
    </row>
    <row r="268" spans="1:24" ht="14.45" hidden="1">
      <c r="A268" s="354" t="s">
        <v>32</v>
      </c>
      <c r="B268" s="354">
        <v>91</v>
      </c>
      <c r="C268" s="354" t="s">
        <v>839</v>
      </c>
      <c r="D268" s="354" t="s">
        <v>104</v>
      </c>
      <c r="E268" s="354" t="s">
        <v>68</v>
      </c>
      <c r="F268" s="354" t="s">
        <v>53</v>
      </c>
      <c r="G268" s="362" t="s">
        <v>1</v>
      </c>
      <c r="H268" s="355" t="s">
        <v>232</v>
      </c>
      <c r="J268" s="355" t="s">
        <v>840</v>
      </c>
      <c r="L268" s="355" t="s">
        <v>841</v>
      </c>
      <c r="M268" s="2" t="s">
        <v>842</v>
      </c>
      <c r="N268" s="2" t="s">
        <v>57</v>
      </c>
      <c r="V268" s="1"/>
      <c r="W268" s="1"/>
      <c r="X268" s="1"/>
    </row>
    <row r="269" spans="1:24" ht="24" hidden="1">
      <c r="A269" s="354" t="s">
        <v>32</v>
      </c>
      <c r="B269" s="354">
        <v>92</v>
      </c>
      <c r="C269" s="354" t="s">
        <v>843</v>
      </c>
      <c r="D269" s="354" t="s">
        <v>104</v>
      </c>
      <c r="E269" s="354" t="s">
        <v>68</v>
      </c>
      <c r="F269" s="354" t="s">
        <v>1</v>
      </c>
      <c r="G269" s="362" t="s">
        <v>1</v>
      </c>
      <c r="H269" s="355" t="s">
        <v>8</v>
      </c>
      <c r="J269" s="355" t="s">
        <v>844</v>
      </c>
      <c r="K269" s="359" t="s">
        <v>845</v>
      </c>
      <c r="L269" s="355" t="s">
        <v>846</v>
      </c>
      <c r="M269" s="2" t="s">
        <v>847</v>
      </c>
      <c r="N269" s="2" t="s">
        <v>57</v>
      </c>
      <c r="V269" s="1"/>
      <c r="W269" s="1"/>
      <c r="X269" s="1"/>
    </row>
    <row r="270" spans="1:24" ht="24" hidden="1">
      <c r="A270" s="354" t="s">
        <v>32</v>
      </c>
      <c r="B270" s="354">
        <v>93</v>
      </c>
      <c r="C270" s="354" t="s">
        <v>848</v>
      </c>
      <c r="D270" s="354" t="s">
        <v>104</v>
      </c>
      <c r="E270" s="354" t="s">
        <v>68</v>
      </c>
      <c r="F270" s="354" t="s">
        <v>1</v>
      </c>
      <c r="G270" s="362" t="s">
        <v>1</v>
      </c>
      <c r="H270" s="355" t="s">
        <v>8</v>
      </c>
      <c r="J270" s="355" t="s">
        <v>849</v>
      </c>
      <c r="K270" s="359" t="s">
        <v>850</v>
      </c>
      <c r="L270" s="355" t="s">
        <v>851</v>
      </c>
      <c r="M270" s="2" t="s">
        <v>852</v>
      </c>
      <c r="N270" s="2" t="s">
        <v>57</v>
      </c>
      <c r="V270" s="1"/>
      <c r="W270" s="1"/>
      <c r="X270" s="1"/>
    </row>
    <row r="271" spans="1:24" ht="14.45">
      <c r="A271" s="354" t="s">
        <v>32</v>
      </c>
      <c r="B271" s="354">
        <v>95</v>
      </c>
      <c r="C271" s="354" t="s">
        <v>853</v>
      </c>
      <c r="D271" s="354" t="s">
        <v>19</v>
      </c>
      <c r="E271" s="354" t="s">
        <v>75</v>
      </c>
      <c r="F271" s="354" t="s">
        <v>1</v>
      </c>
      <c r="G271" s="355" t="s">
        <v>1</v>
      </c>
      <c r="H271" s="355" t="s">
        <v>5</v>
      </c>
      <c r="J271" s="355" t="s">
        <v>854</v>
      </c>
      <c r="K271" s="355" t="s">
        <v>189</v>
      </c>
      <c r="L271" s="355" t="s">
        <v>855</v>
      </c>
      <c r="M271" s="2">
        <v>3</v>
      </c>
      <c r="N271" s="2" t="s">
        <v>856</v>
      </c>
      <c r="V271" s="1"/>
      <c r="W271" s="1"/>
      <c r="X271" s="1"/>
    </row>
    <row r="272" spans="1:24" ht="14.45">
      <c r="A272" s="354" t="s">
        <v>32</v>
      </c>
      <c r="B272" s="354">
        <v>96</v>
      </c>
      <c r="C272" s="354" t="s">
        <v>857</v>
      </c>
      <c r="D272" s="354" t="s">
        <v>19</v>
      </c>
      <c r="E272" s="354" t="s">
        <v>75</v>
      </c>
      <c r="F272" s="354" t="s">
        <v>1</v>
      </c>
      <c r="G272" s="355" t="s">
        <v>1</v>
      </c>
      <c r="H272" s="355" t="s">
        <v>5</v>
      </c>
      <c r="J272" s="355" t="s">
        <v>858</v>
      </c>
      <c r="K272" s="355" t="s">
        <v>189</v>
      </c>
      <c r="L272" s="355" t="s">
        <v>859</v>
      </c>
      <c r="M272" s="2">
        <v>2</v>
      </c>
      <c r="N272" s="2" t="s">
        <v>856</v>
      </c>
      <c r="V272" s="1"/>
      <c r="W272" s="1"/>
      <c r="X272" s="1"/>
    </row>
    <row r="273" spans="1:24" ht="14.45" hidden="1">
      <c r="A273" s="354" t="s">
        <v>32</v>
      </c>
      <c r="B273" s="354">
        <v>97</v>
      </c>
      <c r="C273" s="354" t="s">
        <v>860</v>
      </c>
      <c r="D273" s="354" t="s">
        <v>17</v>
      </c>
      <c r="E273" s="354" t="s">
        <v>75</v>
      </c>
      <c r="F273" s="354" t="s">
        <v>53</v>
      </c>
      <c r="G273" s="355" t="s">
        <v>1</v>
      </c>
      <c r="H273" s="355" t="s">
        <v>5</v>
      </c>
      <c r="J273" s="355" t="s">
        <v>861</v>
      </c>
      <c r="L273" s="355" t="s">
        <v>862</v>
      </c>
      <c r="M273" s="2">
        <v>1</v>
      </c>
      <c r="N273" s="2" t="s">
        <v>863</v>
      </c>
      <c r="V273" s="1"/>
      <c r="W273" s="1"/>
      <c r="X273" s="1"/>
    </row>
    <row r="274" spans="1:24" ht="14.45">
      <c r="A274" s="354" t="s">
        <v>32</v>
      </c>
      <c r="B274" s="354">
        <v>98</v>
      </c>
      <c r="C274" s="354" t="s">
        <v>864</v>
      </c>
      <c r="D274" s="354" t="s">
        <v>19</v>
      </c>
      <c r="E274" s="354" t="s">
        <v>68</v>
      </c>
      <c r="F274" s="354" t="s">
        <v>1</v>
      </c>
      <c r="G274" s="355" t="s">
        <v>1</v>
      </c>
      <c r="H274" s="355" t="s">
        <v>5</v>
      </c>
      <c r="J274" s="355" t="s">
        <v>820</v>
      </c>
      <c r="K274" s="355" t="s">
        <v>865</v>
      </c>
      <c r="L274" s="355" t="s">
        <v>822</v>
      </c>
      <c r="M274" s="2">
        <v>100</v>
      </c>
      <c r="N274" s="2" t="s">
        <v>856</v>
      </c>
      <c r="V274" s="1"/>
      <c r="W274" s="1"/>
      <c r="X274" s="1"/>
    </row>
    <row r="275" spans="1:24" ht="14.45">
      <c r="A275" s="354" t="s">
        <v>32</v>
      </c>
      <c r="B275" s="354">
        <v>99</v>
      </c>
      <c r="C275" s="354" t="s">
        <v>866</v>
      </c>
      <c r="D275" s="354" t="s">
        <v>19</v>
      </c>
      <c r="E275" s="354" t="s">
        <v>68</v>
      </c>
      <c r="F275" s="354" t="s">
        <v>53</v>
      </c>
      <c r="G275" s="355" t="s">
        <v>1</v>
      </c>
      <c r="H275" s="355" t="s">
        <v>5</v>
      </c>
      <c r="J275" s="355" t="s">
        <v>824</v>
      </c>
      <c r="L275" s="355" t="s">
        <v>826</v>
      </c>
      <c r="M275" s="2">
        <v>60</v>
      </c>
      <c r="N275" s="2" t="s">
        <v>856</v>
      </c>
      <c r="V275" s="1"/>
      <c r="W275" s="1"/>
      <c r="X275" s="1"/>
    </row>
    <row r="276" spans="1:24" ht="14.45" hidden="1">
      <c r="A276" s="354" t="s">
        <v>32</v>
      </c>
      <c r="B276" s="354">
        <v>100</v>
      </c>
      <c r="C276" s="354" t="s">
        <v>867</v>
      </c>
      <c r="D276" s="354" t="s">
        <v>17</v>
      </c>
      <c r="E276" s="354" t="s">
        <v>68</v>
      </c>
      <c r="F276" s="354" t="s">
        <v>53</v>
      </c>
      <c r="G276" s="355" t="s">
        <v>1</v>
      </c>
      <c r="H276" s="355" t="s">
        <v>5</v>
      </c>
      <c r="J276" s="355" t="s">
        <v>868</v>
      </c>
      <c r="L276" s="355" t="s">
        <v>869</v>
      </c>
      <c r="M276" s="2">
        <v>40</v>
      </c>
      <c r="N276" s="2" t="s">
        <v>870</v>
      </c>
      <c r="V276" s="1"/>
      <c r="W276" s="1"/>
      <c r="X276" s="1"/>
    </row>
    <row r="277" spans="1:24" ht="14.45" hidden="1">
      <c r="A277" s="354" t="s">
        <v>32</v>
      </c>
      <c r="B277" s="354">
        <v>101</v>
      </c>
      <c r="C277" s="354" t="s">
        <v>794</v>
      </c>
      <c r="D277" s="354" t="s">
        <v>17</v>
      </c>
      <c r="E277" s="354" t="s">
        <v>68</v>
      </c>
      <c r="F277" s="354" t="s">
        <v>1</v>
      </c>
      <c r="G277" s="355" t="s">
        <v>1</v>
      </c>
      <c r="H277" s="355" t="s">
        <v>5</v>
      </c>
      <c r="J277" s="355" t="s">
        <v>778</v>
      </c>
      <c r="K277" s="355" t="s">
        <v>779</v>
      </c>
      <c r="L277" s="355" t="s">
        <v>780</v>
      </c>
      <c r="M277" s="2" t="s">
        <v>781</v>
      </c>
      <c r="N277" s="280" t="s">
        <v>795</v>
      </c>
    </row>
    <row r="278" spans="1:24" ht="14.45" hidden="1">
      <c r="A278" s="354" t="s">
        <v>32</v>
      </c>
      <c r="B278" s="354">
        <v>102</v>
      </c>
      <c r="D278" s="354" t="s">
        <v>17</v>
      </c>
      <c r="E278" s="354" t="s">
        <v>75</v>
      </c>
      <c r="F278" s="354" t="s">
        <v>53</v>
      </c>
      <c r="G278" s="355" t="s">
        <v>53</v>
      </c>
      <c r="H278" s="355" t="s">
        <v>11</v>
      </c>
      <c r="J278" s="355" t="s">
        <v>871</v>
      </c>
      <c r="L278" s="355" t="s">
        <v>872</v>
      </c>
    </row>
    <row r="279" spans="1:24" ht="48" hidden="1">
      <c r="A279" s="354" t="s">
        <v>32</v>
      </c>
      <c r="B279" s="354">
        <v>103</v>
      </c>
      <c r="D279" s="354" t="s">
        <v>17</v>
      </c>
      <c r="E279" s="354" t="s">
        <v>75</v>
      </c>
      <c r="F279" s="354" t="s">
        <v>1</v>
      </c>
      <c r="G279" s="355" t="s">
        <v>1</v>
      </c>
      <c r="H279" s="355" t="s">
        <v>4</v>
      </c>
      <c r="J279" s="355" t="s">
        <v>873</v>
      </c>
      <c r="K279" s="357" t="s">
        <v>874</v>
      </c>
      <c r="L279" s="355" t="s">
        <v>872</v>
      </c>
      <c r="M279" s="2">
        <v>1</v>
      </c>
      <c r="N279" s="2" t="s">
        <v>53</v>
      </c>
      <c r="P279" s="2" t="s">
        <v>875</v>
      </c>
    </row>
  </sheetData>
  <autoFilter ref="A1:U279" xr:uid="{CC481618-66AA-4BEF-A5F1-F680A87F5116}">
    <filterColumn colId="3">
      <filters>
        <filter val="TrnLvlSmry"/>
      </filters>
    </filterColumn>
  </autoFilter>
  <mergeCells count="1">
    <mergeCell ref="P176:P180"/>
  </mergeCells>
  <pageMargins left="0.7" right="0.7" top="0.75" bottom="0.75" header="0.3" footer="0.3"/>
  <headerFooter>
    <oddFooter>&amp;L_x000D_&amp;1#&amp;"Aptos"&amp;8&amp;K000000 Classified as CPKC Confidential</oddFooter>
  </headerFooter>
  <customProperties>
    <customPr name="EpmWorksheetKeyString_GUID" r:id="rId1"/>
  </customPropertie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314C2-385E-4DA0-A34C-347304967F40}">
  <dimension ref="A1:AN44"/>
  <sheetViews>
    <sheetView workbookViewId="0"/>
  </sheetViews>
  <sheetFormatPr defaultRowHeight="14.45"/>
  <cols>
    <col min="1" max="1" width="8.7109375" style="7"/>
    <col min="2" max="2" width="9.42578125" style="7" customWidth="1"/>
    <col min="3" max="3" width="21.42578125" customWidth="1"/>
    <col min="4" max="4" width="26" bestFit="1" customWidth="1"/>
    <col min="5" max="5" width="9.85546875" bestFit="1" customWidth="1"/>
    <col min="8" max="8" width="12.42578125" bestFit="1" customWidth="1"/>
    <col min="9" max="9" width="12.42578125" customWidth="1"/>
    <col min="11" max="11" width="14.140625" customWidth="1"/>
    <col min="16" max="16" width="10.28515625" customWidth="1"/>
    <col min="17" max="40" width="8.7109375" style="7"/>
  </cols>
  <sheetData>
    <row r="1" spans="2:17" s="7" customFormat="1">
      <c r="B1" s="7" t="s">
        <v>876</v>
      </c>
    </row>
    <row r="2" spans="2:17" s="7" customFormat="1"/>
    <row r="3" spans="2:17" ht="29.1">
      <c r="B3" s="365" t="s">
        <v>877</v>
      </c>
      <c r="C3" s="365" t="s">
        <v>878</v>
      </c>
      <c r="D3" s="365" t="s">
        <v>879</v>
      </c>
      <c r="E3" s="365" t="s">
        <v>880</v>
      </c>
      <c r="F3" s="365" t="s">
        <v>881</v>
      </c>
      <c r="G3" s="365" t="s">
        <v>882</v>
      </c>
      <c r="H3" s="365" t="s">
        <v>883</v>
      </c>
      <c r="I3" s="365" t="s">
        <v>884</v>
      </c>
      <c r="J3" s="365" t="s">
        <v>885</v>
      </c>
      <c r="K3" s="365" t="s">
        <v>886</v>
      </c>
      <c r="L3" s="365" t="s">
        <v>887</v>
      </c>
      <c r="M3" s="365" t="s">
        <v>888</v>
      </c>
      <c r="N3" s="365" t="s">
        <v>889</v>
      </c>
      <c r="O3" s="365" t="s">
        <v>890</v>
      </c>
      <c r="P3" s="365" t="s">
        <v>891</v>
      </c>
      <c r="Q3" s="365" t="s">
        <v>892</v>
      </c>
    </row>
    <row r="4" spans="2:17" ht="15" customHeight="1">
      <c r="B4" s="344" t="s">
        <v>893</v>
      </c>
      <c r="C4" s="344" t="s">
        <v>894</v>
      </c>
      <c r="D4" s="344"/>
      <c r="E4" s="347" t="s">
        <v>895</v>
      </c>
      <c r="F4" s="347">
        <v>9700</v>
      </c>
      <c r="G4" s="347"/>
      <c r="H4" s="347"/>
      <c r="I4" s="347"/>
      <c r="J4" s="347"/>
      <c r="K4" s="347"/>
      <c r="L4" s="368" t="s">
        <v>219</v>
      </c>
      <c r="M4" s="368" t="s">
        <v>896</v>
      </c>
      <c r="N4" s="347" t="s">
        <v>1</v>
      </c>
      <c r="O4" s="347" t="s">
        <v>897</v>
      </c>
      <c r="P4" s="347" t="s">
        <v>1</v>
      </c>
      <c r="Q4" s="347" t="s">
        <v>897</v>
      </c>
    </row>
    <row r="5" spans="2:17" ht="15" customHeight="1">
      <c r="B5" s="345" t="s">
        <v>893</v>
      </c>
      <c r="C5" s="345" t="s">
        <v>898</v>
      </c>
      <c r="D5" s="345" t="str">
        <f>C4&amp;"-"&amp;C5</f>
        <v>VANCOUVER-DUNLEVY</v>
      </c>
      <c r="E5" s="348" t="s">
        <v>895</v>
      </c>
      <c r="F5" s="348">
        <v>9768</v>
      </c>
      <c r="G5" s="349">
        <v>0.4</v>
      </c>
      <c r="H5" s="366">
        <v>-0.02</v>
      </c>
      <c r="I5" s="366" t="s">
        <v>896</v>
      </c>
      <c r="J5" s="367">
        <f>G5/H5</f>
        <v>-20</v>
      </c>
      <c r="K5" s="367" t="s">
        <v>896</v>
      </c>
      <c r="L5" s="348" t="s">
        <v>1</v>
      </c>
      <c r="M5" s="348" t="s">
        <v>897</v>
      </c>
      <c r="N5" s="369" t="s">
        <v>219</v>
      </c>
      <c r="O5" s="369" t="s">
        <v>896</v>
      </c>
      <c r="P5" s="348" t="s">
        <v>1</v>
      </c>
      <c r="Q5" s="348" t="s">
        <v>897</v>
      </c>
    </row>
    <row r="6" spans="2:17" ht="15" customHeight="1">
      <c r="B6" s="345" t="s">
        <v>893</v>
      </c>
      <c r="C6" s="345" t="s">
        <v>899</v>
      </c>
      <c r="D6" s="345" t="str">
        <f>C5&amp;"-"&amp;C6</f>
        <v>DUNLEVY-HEATLEY</v>
      </c>
      <c r="E6" s="348" t="s">
        <v>895</v>
      </c>
      <c r="F6" s="348">
        <v>9769</v>
      </c>
      <c r="G6" s="349">
        <v>0.5</v>
      </c>
      <c r="H6" s="349">
        <v>0.04</v>
      </c>
      <c r="I6" s="349" t="s">
        <v>897</v>
      </c>
      <c r="J6" s="350">
        <f>G6/H6</f>
        <v>12.5</v>
      </c>
      <c r="K6" s="350" t="s">
        <v>897</v>
      </c>
      <c r="L6" s="348" t="s">
        <v>1</v>
      </c>
      <c r="M6" s="348" t="s">
        <v>897</v>
      </c>
      <c r="N6" s="369" t="s">
        <v>219</v>
      </c>
      <c r="O6" s="369" t="s">
        <v>896</v>
      </c>
      <c r="P6" s="348" t="s">
        <v>1</v>
      </c>
      <c r="Q6" s="348" t="s">
        <v>897</v>
      </c>
    </row>
    <row r="7" spans="2:17" ht="15" customHeight="1">
      <c r="B7" s="345" t="s">
        <v>893</v>
      </c>
      <c r="C7" s="345" t="s">
        <v>900</v>
      </c>
      <c r="D7" s="345" t="str">
        <f>C6&amp;"-"&amp;C7</f>
        <v>HEATLEY-WILLISTON</v>
      </c>
      <c r="E7" s="348" t="s">
        <v>895</v>
      </c>
      <c r="F7" s="348">
        <v>9774</v>
      </c>
      <c r="G7" s="349">
        <v>0.9</v>
      </c>
      <c r="H7" s="349">
        <v>0.05</v>
      </c>
      <c r="I7" s="349" t="s">
        <v>897</v>
      </c>
      <c r="J7" s="350">
        <f>G7/H7</f>
        <v>18</v>
      </c>
      <c r="K7" s="350" t="s">
        <v>897</v>
      </c>
      <c r="L7" s="348" t="s">
        <v>1</v>
      </c>
      <c r="M7" s="348" t="s">
        <v>897</v>
      </c>
      <c r="N7" s="369" t="s">
        <v>219</v>
      </c>
      <c r="O7" s="369" t="s">
        <v>896</v>
      </c>
      <c r="P7" s="348" t="s">
        <v>1</v>
      </c>
      <c r="Q7" s="348" t="s">
        <v>897</v>
      </c>
    </row>
    <row r="8" spans="2:17" ht="15" customHeight="1">
      <c r="B8" s="345" t="s">
        <v>893</v>
      </c>
      <c r="C8" s="345" t="s">
        <v>901</v>
      </c>
      <c r="D8" s="345" t="str">
        <f>C7&amp;"-"&amp;C8</f>
        <v>WILLISTON-RENFREW</v>
      </c>
      <c r="E8" s="348" t="s">
        <v>895</v>
      </c>
      <c r="F8" s="348">
        <v>9781</v>
      </c>
      <c r="G8" s="349">
        <v>1</v>
      </c>
      <c r="H8" s="349">
        <v>0.02</v>
      </c>
      <c r="I8" s="349" t="s">
        <v>897</v>
      </c>
      <c r="J8" s="350">
        <f>G8/H8</f>
        <v>50</v>
      </c>
      <c r="K8" s="350" t="s">
        <v>897</v>
      </c>
      <c r="L8" s="348" t="s">
        <v>1</v>
      </c>
      <c r="M8" s="348" t="s">
        <v>897</v>
      </c>
      <c r="N8" s="369" t="s">
        <v>219</v>
      </c>
      <c r="O8" s="369" t="s">
        <v>896</v>
      </c>
      <c r="P8" s="348" t="s">
        <v>1</v>
      </c>
      <c r="Q8" s="348" t="s">
        <v>897</v>
      </c>
    </row>
    <row r="9" spans="2:17" ht="15" customHeight="1">
      <c r="B9" s="345" t="s">
        <v>893</v>
      </c>
      <c r="C9" s="345" t="s">
        <v>902</v>
      </c>
      <c r="D9" s="345" t="str">
        <f>C8&amp;"-"&amp;C9</f>
        <v>RENFREW-SECOND NARROWS</v>
      </c>
      <c r="E9" s="348" t="s">
        <v>895</v>
      </c>
      <c r="F9" s="348">
        <v>9705</v>
      </c>
      <c r="G9" s="349">
        <v>0.7</v>
      </c>
      <c r="H9" s="349">
        <v>0.02</v>
      </c>
      <c r="I9" s="349" t="s">
        <v>897</v>
      </c>
      <c r="J9" s="350">
        <f>G9/H9</f>
        <v>35</v>
      </c>
      <c r="K9" s="350" t="s">
        <v>897</v>
      </c>
      <c r="L9" s="348" t="s">
        <v>1</v>
      </c>
      <c r="M9" s="348" t="s">
        <v>897</v>
      </c>
      <c r="N9" s="369" t="s">
        <v>219</v>
      </c>
      <c r="O9" s="369" t="s">
        <v>896</v>
      </c>
      <c r="P9" s="348" t="s">
        <v>1</v>
      </c>
      <c r="Q9" s="348" t="s">
        <v>897</v>
      </c>
    </row>
    <row r="10" spans="2:17" ht="15" customHeight="1">
      <c r="B10" s="345" t="s">
        <v>893</v>
      </c>
      <c r="C10" s="345" t="s">
        <v>903</v>
      </c>
      <c r="D10" s="345" t="str">
        <f>C9&amp;"-"&amp;C10</f>
        <v>SECOND NARROWS-BARNET</v>
      </c>
      <c r="E10" s="348" t="s">
        <v>895</v>
      </c>
      <c r="F10" s="348">
        <v>9695</v>
      </c>
      <c r="G10" s="349">
        <v>0.4</v>
      </c>
      <c r="H10" s="349">
        <v>0.02</v>
      </c>
      <c r="I10" s="349" t="s">
        <v>897</v>
      </c>
      <c r="J10" s="350">
        <f>G10/H10</f>
        <v>20</v>
      </c>
      <c r="K10" s="350" t="s">
        <v>897</v>
      </c>
      <c r="L10" s="348" t="s">
        <v>1</v>
      </c>
      <c r="M10" s="348" t="s">
        <v>897</v>
      </c>
      <c r="N10" s="369" t="s">
        <v>219</v>
      </c>
      <c r="O10" s="369" t="s">
        <v>896</v>
      </c>
      <c r="P10" s="348" t="s">
        <v>1</v>
      </c>
      <c r="Q10" s="348" t="s">
        <v>897</v>
      </c>
    </row>
    <row r="11" spans="2:17" ht="15" customHeight="1">
      <c r="B11" s="345" t="s">
        <v>893</v>
      </c>
      <c r="C11" s="345" t="s">
        <v>904</v>
      </c>
      <c r="D11" s="345" t="str">
        <f>C10&amp;"-"&amp;C11</f>
        <v>BARNET-CASSIN</v>
      </c>
      <c r="E11" s="348" t="s">
        <v>895</v>
      </c>
      <c r="F11" s="348">
        <v>9657</v>
      </c>
      <c r="G11" s="349">
        <v>0.9</v>
      </c>
      <c r="H11" s="349">
        <v>0.01</v>
      </c>
      <c r="I11" s="349" t="s">
        <v>897</v>
      </c>
      <c r="J11" s="367">
        <f>G11/H11</f>
        <v>90</v>
      </c>
      <c r="K11" s="367" t="s">
        <v>896</v>
      </c>
      <c r="L11" s="348" t="s">
        <v>1</v>
      </c>
      <c r="M11" s="348" t="s">
        <v>897</v>
      </c>
      <c r="N11" s="369" t="s">
        <v>219</v>
      </c>
      <c r="O11" s="369" t="s">
        <v>896</v>
      </c>
      <c r="P11" s="348" t="s">
        <v>1</v>
      </c>
      <c r="Q11" s="348" t="s">
        <v>897</v>
      </c>
    </row>
    <row r="12" spans="2:17" ht="15" customHeight="1">
      <c r="B12" s="345" t="s">
        <v>893</v>
      </c>
      <c r="C12" s="345" t="s">
        <v>905</v>
      </c>
      <c r="D12" s="345" t="str">
        <f>C11&amp;"-"&amp;C12</f>
        <v>CASSIN-PORT MOODY</v>
      </c>
      <c r="E12" s="348" t="s">
        <v>895</v>
      </c>
      <c r="F12" s="348">
        <v>9693</v>
      </c>
      <c r="G12" s="349">
        <v>0.1</v>
      </c>
      <c r="H12" s="349">
        <v>0.02</v>
      </c>
      <c r="I12" s="349" t="s">
        <v>897</v>
      </c>
      <c r="J12" s="350">
        <f>G12/H12</f>
        <v>5</v>
      </c>
      <c r="K12" s="350" t="s">
        <v>897</v>
      </c>
      <c r="L12" s="369" t="s">
        <v>219</v>
      </c>
      <c r="M12" s="369" t="s">
        <v>896</v>
      </c>
      <c r="N12" s="369" t="s">
        <v>219</v>
      </c>
      <c r="O12" s="369" t="s">
        <v>896</v>
      </c>
      <c r="P12" s="369" t="s">
        <v>219</v>
      </c>
      <c r="Q12" s="369" t="s">
        <v>896</v>
      </c>
    </row>
    <row r="13" spans="2:17" ht="15" customHeight="1">
      <c r="B13" s="345" t="s">
        <v>893</v>
      </c>
      <c r="C13" s="345" t="s">
        <v>906</v>
      </c>
      <c r="D13" s="345" t="str">
        <f>C12&amp;"-"&amp;C13</f>
        <v>PORT MOODY-SETO</v>
      </c>
      <c r="E13" s="348" t="s">
        <v>895</v>
      </c>
      <c r="F13" s="348">
        <v>9687</v>
      </c>
      <c r="G13" s="349">
        <v>0.2</v>
      </c>
      <c r="H13" s="349">
        <v>0.02</v>
      </c>
      <c r="I13" s="349" t="s">
        <v>897</v>
      </c>
      <c r="J13" s="350">
        <f>G13/H13</f>
        <v>10</v>
      </c>
      <c r="K13" s="350" t="s">
        <v>897</v>
      </c>
      <c r="L13" s="348" t="s">
        <v>1</v>
      </c>
      <c r="M13" s="348" t="s">
        <v>897</v>
      </c>
      <c r="N13" s="369" t="s">
        <v>219</v>
      </c>
      <c r="O13" s="369" t="s">
        <v>896</v>
      </c>
      <c r="P13" s="348" t="s">
        <v>1</v>
      </c>
      <c r="Q13" s="348" t="s">
        <v>897</v>
      </c>
    </row>
    <row r="14" spans="2:17" ht="15" customHeight="1">
      <c r="B14" s="345" t="s">
        <v>893</v>
      </c>
      <c r="C14" s="345" t="s">
        <v>907</v>
      </c>
      <c r="D14" s="345" t="str">
        <f>C13&amp;"-"&amp;C14</f>
        <v>SETO-WESTWOOD</v>
      </c>
      <c r="E14" s="348" t="s">
        <v>895</v>
      </c>
      <c r="F14" s="348">
        <v>9766</v>
      </c>
      <c r="G14" s="349">
        <v>0.9</v>
      </c>
      <c r="H14" s="349">
        <v>0.02</v>
      </c>
      <c r="I14" s="349" t="s">
        <v>897</v>
      </c>
      <c r="J14" s="350">
        <f>G14/H14</f>
        <v>45</v>
      </c>
      <c r="K14" s="350" t="s">
        <v>897</v>
      </c>
      <c r="L14" s="348" t="s">
        <v>1</v>
      </c>
      <c r="M14" s="348" t="s">
        <v>897</v>
      </c>
      <c r="N14" s="369" t="s">
        <v>219</v>
      </c>
      <c r="O14" s="369" t="s">
        <v>896</v>
      </c>
      <c r="P14" s="348" t="s">
        <v>1</v>
      </c>
      <c r="Q14" s="348" t="s">
        <v>897</v>
      </c>
    </row>
    <row r="15" spans="2:17" ht="15" customHeight="1">
      <c r="B15" s="345" t="s">
        <v>893</v>
      </c>
      <c r="C15" s="345" t="s">
        <v>908</v>
      </c>
      <c r="D15" s="345" t="str">
        <f>C14&amp;"-"&amp;C15</f>
        <v>WESTWOOD-MACAULAY</v>
      </c>
      <c r="E15" s="348" t="s">
        <v>895</v>
      </c>
      <c r="F15" s="348">
        <v>9688</v>
      </c>
      <c r="G15" s="349">
        <v>0.2</v>
      </c>
      <c r="H15" s="349">
        <v>0.02</v>
      </c>
      <c r="I15" s="349" t="s">
        <v>897</v>
      </c>
      <c r="J15" s="350">
        <f>G15/H15</f>
        <v>10</v>
      </c>
      <c r="K15" s="350" t="s">
        <v>897</v>
      </c>
      <c r="L15" s="348" t="s">
        <v>1</v>
      </c>
      <c r="M15" s="348" t="s">
        <v>897</v>
      </c>
      <c r="N15" s="369" t="s">
        <v>219</v>
      </c>
      <c r="O15" s="369" t="s">
        <v>896</v>
      </c>
      <c r="P15" s="348" t="s">
        <v>1</v>
      </c>
      <c r="Q15" s="348" t="s">
        <v>897</v>
      </c>
    </row>
    <row r="16" spans="2:17" ht="15" customHeight="1">
      <c r="B16" s="344" t="s">
        <v>893</v>
      </c>
      <c r="C16" s="344" t="s">
        <v>909</v>
      </c>
      <c r="D16" s="344" t="str">
        <f>C15&amp;"-"&amp;C16</f>
        <v>MACAULAY-COQUITLAM</v>
      </c>
      <c r="E16" s="347" t="s">
        <v>895</v>
      </c>
      <c r="F16" s="347">
        <v>9684</v>
      </c>
      <c r="G16" s="351">
        <v>0.7</v>
      </c>
      <c r="H16" s="351">
        <v>0.02</v>
      </c>
      <c r="I16" s="351" t="s">
        <v>897</v>
      </c>
      <c r="J16" s="352">
        <f>G16/H16</f>
        <v>35</v>
      </c>
      <c r="K16" s="352" t="s">
        <v>897</v>
      </c>
      <c r="L16" s="368" t="s">
        <v>219</v>
      </c>
      <c r="M16" s="368" t="s">
        <v>896</v>
      </c>
      <c r="N16" s="347" t="s">
        <v>1</v>
      </c>
      <c r="O16" s="347" t="s">
        <v>897</v>
      </c>
      <c r="P16" s="347" t="s">
        <v>1</v>
      </c>
      <c r="Q16" s="347" t="s">
        <v>897</v>
      </c>
    </row>
    <row r="17" spans="3:16" s="7" customFormat="1"/>
    <row r="18" spans="3:16">
      <c r="C18" s="262" t="s">
        <v>910</v>
      </c>
      <c r="D18" s="7"/>
      <c r="E18" s="7"/>
      <c r="F18" s="7"/>
      <c r="G18" s="7"/>
      <c r="H18" s="7"/>
      <c r="I18" s="7"/>
      <c r="J18" s="7"/>
      <c r="K18" s="7"/>
      <c r="L18" s="7"/>
      <c r="M18" s="7"/>
      <c r="N18" s="7"/>
      <c r="O18" s="7"/>
      <c r="P18" s="7"/>
    </row>
    <row r="19" spans="3:16">
      <c r="C19" s="343" t="s">
        <v>911</v>
      </c>
      <c r="D19" s="7"/>
      <c r="E19" s="7"/>
      <c r="F19" s="7"/>
      <c r="G19" s="7"/>
      <c r="H19" s="7"/>
      <c r="I19" s="7"/>
      <c r="J19" s="7"/>
      <c r="K19" s="7"/>
      <c r="L19" s="7"/>
      <c r="M19" s="7"/>
      <c r="N19" s="7"/>
      <c r="O19" s="7"/>
      <c r="P19" s="7"/>
    </row>
    <row r="20" spans="3:16" s="7" customFormat="1"/>
    <row r="21" spans="3:16" s="7" customFormat="1"/>
    <row r="22" spans="3:16" s="7" customFormat="1"/>
    <row r="23" spans="3:16" s="7" customFormat="1"/>
    <row r="24" spans="3:16" s="7" customFormat="1"/>
    <row r="25" spans="3:16" s="7" customFormat="1"/>
    <row r="26" spans="3:16" s="7" customFormat="1"/>
    <row r="27" spans="3:16" s="7" customFormat="1"/>
    <row r="28" spans="3:16" s="7" customFormat="1"/>
    <row r="29" spans="3:16" s="7" customFormat="1"/>
    <row r="30" spans="3:16" s="7" customFormat="1"/>
    <row r="31" spans="3:16" s="7" customFormat="1"/>
    <row r="32" spans="3:16" s="7" customFormat="1"/>
    <row r="33" s="7" customFormat="1"/>
    <row r="34" s="7" customFormat="1"/>
    <row r="35" s="7" customFormat="1"/>
    <row r="36" s="7" customFormat="1"/>
    <row r="37" s="7" customFormat="1"/>
    <row r="38" s="7" customFormat="1"/>
    <row r="39" s="7" customFormat="1"/>
    <row r="40" s="7" customFormat="1"/>
    <row r="41" s="7" customFormat="1"/>
    <row r="42" s="7" customFormat="1"/>
    <row r="43" s="7" customFormat="1"/>
    <row r="44" s="7" customForma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86DC-7EA0-4CD9-A495-27B3F9BEA751}">
  <dimension ref="A1:CT287"/>
  <sheetViews>
    <sheetView tabSelected="1" workbookViewId="0">
      <pane xSplit="2" ySplit="1" topLeftCell="BT6" activePane="bottomRight" state="frozen"/>
      <selection pane="bottomRight" activeCell="F6" sqref="F6"/>
      <selection pane="bottomLeft" activeCell="A2" sqref="A2"/>
      <selection pane="topRight" activeCell="C1" sqref="C1"/>
    </sheetView>
  </sheetViews>
  <sheetFormatPr defaultRowHeight="15" customHeight="1"/>
  <cols>
    <col min="1" max="1" width="14.85546875" style="375" customWidth="1"/>
    <col min="2" max="2" width="14.5703125" style="375" customWidth="1"/>
    <col min="3" max="3" width="9" style="375" customWidth="1"/>
    <col min="4" max="4" width="6.140625" style="375" bestFit="1" customWidth="1"/>
    <col min="5" max="5" width="15.140625" style="375" bestFit="1" customWidth="1"/>
    <col min="6" max="6" width="8.85546875" style="375" bestFit="1" customWidth="1"/>
    <col min="7" max="7" width="138.140625" style="375" customWidth="1"/>
    <col min="8" max="11" width="1.42578125" style="375" customWidth="1"/>
    <col min="12" max="12" width="109.28515625" style="375" customWidth="1"/>
    <col min="13" max="22" width="1.42578125" style="375" customWidth="1"/>
    <col min="23" max="24" width="8.7109375" style="387"/>
    <col min="25" max="25" width="8.85546875" style="387" bestFit="1" customWidth="1"/>
    <col min="26" max="29" width="8.7109375" style="387"/>
    <col min="30" max="30" width="35" style="387" customWidth="1"/>
    <col min="31" max="31" width="15.140625" style="387" bestFit="1" customWidth="1"/>
    <col min="32" max="32" width="8.85546875" style="387" bestFit="1" customWidth="1"/>
    <col min="33" max="39" width="8.7109375" style="387"/>
    <col min="40" max="42" width="19.42578125" style="387" customWidth="1"/>
    <col min="43" max="43" width="15.28515625" style="387" customWidth="1"/>
    <col min="44" max="46" width="8.7109375" style="387"/>
    <col min="47" max="47" width="15.140625" style="387" bestFit="1" customWidth="1"/>
    <col min="48" max="48" width="8.85546875" style="387" bestFit="1" customWidth="1"/>
    <col min="49" max="91" width="8.7109375" style="387"/>
    <col min="92" max="92" width="8.7109375" style="387" bestFit="1" customWidth="1"/>
    <col min="93" max="95" width="8.7109375" style="387"/>
  </cols>
  <sheetData>
    <row r="1" spans="1:98" ht="15" customHeight="1">
      <c r="A1" s="372" t="s">
        <v>912</v>
      </c>
      <c r="B1" s="373" t="s">
        <v>913</v>
      </c>
      <c r="C1" s="374" t="s">
        <v>914</v>
      </c>
      <c r="D1" s="374" t="s">
        <v>915</v>
      </c>
      <c r="E1" s="374" t="s">
        <v>916</v>
      </c>
      <c r="F1" s="374" t="s">
        <v>917</v>
      </c>
      <c r="G1" s="400" t="s">
        <v>918</v>
      </c>
      <c r="H1" s="400"/>
      <c r="I1" s="400"/>
      <c r="J1" s="400"/>
      <c r="K1" s="400"/>
      <c r="L1" s="400"/>
      <c r="M1" s="400"/>
      <c r="N1" s="400"/>
      <c r="O1" s="400"/>
      <c r="P1" s="400"/>
      <c r="Q1" s="400"/>
      <c r="R1" s="400"/>
      <c r="S1" s="400"/>
      <c r="T1" s="400"/>
      <c r="U1" s="400"/>
      <c r="V1" s="400"/>
      <c r="W1" s="381" t="s">
        <v>917</v>
      </c>
      <c r="X1" s="381" t="s">
        <v>919</v>
      </c>
      <c r="Y1" s="381" t="s">
        <v>920</v>
      </c>
      <c r="Z1" s="381" t="s">
        <v>921</v>
      </c>
      <c r="AA1" s="381" t="s">
        <v>922</v>
      </c>
      <c r="AB1" s="381" t="s">
        <v>915</v>
      </c>
      <c r="AC1" s="381" t="s">
        <v>923</v>
      </c>
      <c r="AD1" s="381" t="s">
        <v>924</v>
      </c>
      <c r="AE1" s="381" t="s">
        <v>925</v>
      </c>
      <c r="AF1" s="381" t="s">
        <v>926</v>
      </c>
      <c r="AG1" s="381" t="s">
        <v>927</v>
      </c>
      <c r="AH1" s="381" t="s">
        <v>928</v>
      </c>
      <c r="AI1" s="381" t="s">
        <v>929</v>
      </c>
      <c r="AJ1" s="381" t="s">
        <v>930</v>
      </c>
      <c r="AK1" s="381" t="s">
        <v>913</v>
      </c>
      <c r="AL1" s="381" t="s">
        <v>931</v>
      </c>
      <c r="AM1" s="381" t="s">
        <v>932</v>
      </c>
      <c r="AN1" s="381" t="s">
        <v>933</v>
      </c>
      <c r="AO1" s="381" t="s">
        <v>934</v>
      </c>
      <c r="AP1" s="381" t="s">
        <v>935</v>
      </c>
      <c r="AQ1" s="381" t="s">
        <v>936</v>
      </c>
      <c r="AR1" s="381" t="s">
        <v>937</v>
      </c>
      <c r="AS1" s="381" t="s">
        <v>938</v>
      </c>
      <c r="AT1" s="381" t="s">
        <v>939</v>
      </c>
      <c r="AU1" s="381" t="s">
        <v>940</v>
      </c>
      <c r="AV1" s="381" t="s">
        <v>941</v>
      </c>
      <c r="AW1" s="381" t="s">
        <v>942</v>
      </c>
      <c r="AX1" s="381" t="s">
        <v>918</v>
      </c>
      <c r="AY1" s="381" t="s">
        <v>943</v>
      </c>
      <c r="AZ1" s="381" t="s">
        <v>943</v>
      </c>
      <c r="BA1" s="381" t="s">
        <v>943</v>
      </c>
      <c r="BB1" s="381" t="s">
        <v>943</v>
      </c>
      <c r="BC1" s="381" t="s">
        <v>943</v>
      </c>
      <c r="BD1" s="381" t="s">
        <v>944</v>
      </c>
      <c r="BE1" s="381" t="s">
        <v>945</v>
      </c>
      <c r="BF1" s="381" t="s">
        <v>946</v>
      </c>
      <c r="BG1" s="381" t="s">
        <v>947</v>
      </c>
      <c r="BH1" s="381" t="s">
        <v>948</v>
      </c>
      <c r="BI1" s="381" t="s">
        <v>949</v>
      </c>
      <c r="BJ1" s="381" t="s">
        <v>950</v>
      </c>
      <c r="BK1" s="381" t="s">
        <v>951</v>
      </c>
      <c r="BL1" s="381" t="s">
        <v>952</v>
      </c>
      <c r="BM1" s="381" t="s">
        <v>953</v>
      </c>
      <c r="BN1" s="381" t="s">
        <v>954</v>
      </c>
      <c r="BO1" s="381" t="s">
        <v>954</v>
      </c>
      <c r="BP1" s="381" t="s">
        <v>955</v>
      </c>
      <c r="BQ1" s="381" t="s">
        <v>956</v>
      </c>
      <c r="BR1" s="381" t="s">
        <v>957</v>
      </c>
      <c r="BS1" s="381" t="s">
        <v>958</v>
      </c>
      <c r="BT1" s="381" t="s">
        <v>959</v>
      </c>
      <c r="BU1" s="381" t="s">
        <v>960</v>
      </c>
      <c r="BV1" s="381" t="s">
        <v>961</v>
      </c>
      <c r="BW1" s="381" t="s">
        <v>962</v>
      </c>
      <c r="BX1" s="381" t="s">
        <v>963</v>
      </c>
      <c r="BY1" s="381" t="s">
        <v>964</v>
      </c>
      <c r="BZ1" s="381" t="s">
        <v>965</v>
      </c>
      <c r="CA1" s="381" t="s">
        <v>966</v>
      </c>
      <c r="CB1" s="381" t="s">
        <v>967</v>
      </c>
      <c r="CC1" s="381" t="s">
        <v>968</v>
      </c>
      <c r="CD1" s="381" t="s">
        <v>969</v>
      </c>
      <c r="CE1" s="381" t="s">
        <v>970</v>
      </c>
      <c r="CF1" s="381" t="s">
        <v>971</v>
      </c>
      <c r="CG1" s="381" t="s">
        <v>972</v>
      </c>
      <c r="CH1" s="381" t="s">
        <v>973</v>
      </c>
      <c r="CI1" s="381" t="s">
        <v>974</v>
      </c>
      <c r="CJ1" s="381" t="s">
        <v>975</v>
      </c>
      <c r="CK1" s="381" t="s">
        <v>975</v>
      </c>
      <c r="CL1" s="381" t="s">
        <v>975</v>
      </c>
      <c r="CM1" s="381" t="s">
        <v>975</v>
      </c>
      <c r="CN1" s="381" t="s">
        <v>975</v>
      </c>
      <c r="CO1" s="381" t="s">
        <v>975</v>
      </c>
      <c r="CP1" s="381" t="s">
        <v>975</v>
      </c>
      <c r="CQ1" s="381" t="s">
        <v>975</v>
      </c>
      <c r="CR1" t="s">
        <v>975</v>
      </c>
      <c r="CS1" t="s">
        <v>975</v>
      </c>
      <c r="CT1" t="s">
        <v>975</v>
      </c>
    </row>
    <row r="2" spans="1:98" ht="15" customHeight="1">
      <c r="A2" s="375" t="str">
        <f>VLOOKUP(AK2,members!$A:$C,3,FALSE)</f>
        <v>MDM</v>
      </c>
      <c r="B2" s="376" t="str">
        <f>VLOOKUP(AK2,members!$A:$C,2,FALSE)</f>
        <v>Nikhil</v>
      </c>
      <c r="C2" s="376" t="str">
        <f>X2</f>
        <v>RPD-82</v>
      </c>
      <c r="D2" s="376" t="str">
        <f>AB2</f>
        <v>To Do</v>
      </c>
      <c r="E2" s="377">
        <f>AU2</f>
        <v>46002</v>
      </c>
      <c r="F2" s="376" t="str">
        <f>W2</f>
        <v>DIM equipment mapping document provision to QE team (VishnuB)</v>
      </c>
      <c r="G2" s="376" t="str">
        <f>AX2</f>
        <v>[~seh0018] to provide mapping documents to [~bor0475]  [~sid0070]  and [~sel0052] </v>
      </c>
      <c r="H2" s="376"/>
      <c r="I2" s="376"/>
      <c r="J2" s="376"/>
      <c r="K2" s="376"/>
      <c r="L2" s="376"/>
      <c r="M2" s="376"/>
      <c r="N2" s="376"/>
      <c r="O2" s="376"/>
      <c r="P2" s="376"/>
      <c r="Q2" s="376"/>
      <c r="R2" s="376"/>
      <c r="S2" s="376"/>
      <c r="T2" s="376"/>
      <c r="U2" s="376"/>
      <c r="V2" s="376"/>
      <c r="W2" s="381" t="s">
        <v>976</v>
      </c>
      <c r="X2" s="381" t="s">
        <v>977</v>
      </c>
      <c r="Y2" s="381">
        <v>190493</v>
      </c>
      <c r="Z2" s="381">
        <v>186078</v>
      </c>
      <c r="AA2" s="381" t="s">
        <v>978</v>
      </c>
      <c r="AB2" s="381" t="s">
        <v>979</v>
      </c>
      <c r="AC2" s="381" t="s">
        <v>980</v>
      </c>
      <c r="AD2" s="381" t="s">
        <v>981</v>
      </c>
      <c r="AE2" s="381" t="s">
        <v>982</v>
      </c>
      <c r="AF2" s="381" t="s">
        <v>983</v>
      </c>
      <c r="AG2" s="381"/>
      <c r="AH2" s="381"/>
      <c r="AI2" s="381" t="s">
        <v>984</v>
      </c>
      <c r="AJ2" s="381"/>
      <c r="AK2" s="381" t="s">
        <v>985</v>
      </c>
      <c r="AL2" s="381" t="s">
        <v>986</v>
      </c>
      <c r="AM2" s="381" t="s">
        <v>986</v>
      </c>
      <c r="AN2" s="382">
        <v>46001.479861111111</v>
      </c>
      <c r="AO2" s="382">
        <v>46001.479861111111</v>
      </c>
      <c r="AP2" s="382">
        <v>46002.459027777775</v>
      </c>
      <c r="AQ2" s="381"/>
      <c r="AR2" s="381"/>
      <c r="AS2" s="381"/>
      <c r="AT2" s="381"/>
      <c r="AU2" s="382">
        <v>46002</v>
      </c>
      <c r="AV2" s="381">
        <v>0</v>
      </c>
      <c r="AW2" s="381" t="s">
        <v>987</v>
      </c>
      <c r="AX2" s="381" t="s">
        <v>988</v>
      </c>
      <c r="AY2" s="381" t="s">
        <v>986</v>
      </c>
      <c r="AZ2" s="381"/>
      <c r="BA2" s="381"/>
      <c r="BB2" s="381"/>
      <c r="BC2" s="381"/>
      <c r="BD2" s="381"/>
      <c r="BE2" s="381"/>
      <c r="BF2" s="381"/>
      <c r="BG2" s="381"/>
      <c r="BH2" s="381"/>
      <c r="BI2" s="381"/>
      <c r="BJ2" s="381"/>
      <c r="BK2" s="381"/>
      <c r="BL2" s="381"/>
      <c r="BM2" s="381"/>
      <c r="BN2" s="381"/>
      <c r="BO2" s="381"/>
      <c r="BP2" s="381"/>
      <c r="BQ2" s="381"/>
      <c r="BR2" s="381"/>
      <c r="BS2" s="381"/>
      <c r="BT2" s="381"/>
      <c r="BU2" s="381"/>
      <c r="BV2" s="381"/>
      <c r="BW2" s="381"/>
      <c r="BX2" s="381"/>
      <c r="BY2" s="381"/>
      <c r="BZ2" s="381"/>
      <c r="CA2" s="381"/>
      <c r="CB2" s="381" t="s">
        <v>989</v>
      </c>
      <c r="CC2" s="381"/>
      <c r="CD2" s="381"/>
      <c r="CE2" s="381"/>
      <c r="CF2" s="381"/>
      <c r="CG2" s="381"/>
      <c r="CH2" s="381"/>
      <c r="CI2" s="381"/>
      <c r="CJ2" s="381"/>
      <c r="CK2" s="381"/>
      <c r="CL2" s="381"/>
      <c r="CM2" s="381"/>
      <c r="CN2" s="381"/>
      <c r="CO2" s="381"/>
      <c r="CP2" s="381"/>
      <c r="CQ2" s="381"/>
    </row>
    <row r="3" spans="1:98" ht="15" customHeight="1">
      <c r="A3" s="375" t="str">
        <f>VLOOKUP(AK3,members!$A:$C,3,FALSE)</f>
        <v>ETL</v>
      </c>
      <c r="B3" s="376" t="str">
        <f>VLOOKUP(AK3,members!$A:$C,2,FALSE)</f>
        <v>Naveen</v>
      </c>
      <c r="C3" s="376" t="str">
        <f>X3</f>
        <v>RPD-79</v>
      </c>
      <c r="D3" s="376" t="str">
        <f>AB3</f>
        <v>In Progress</v>
      </c>
      <c r="E3" s="378">
        <f>AU3</f>
        <v>46000</v>
      </c>
      <c r="F3" s="376" t="str">
        <f>W3</f>
        <v>Data Ingestion based on Squadron's analysis</v>
      </c>
      <c r="G3" s="376" t="str">
        <f>AX3</f>
        <v>[~knxn12]  to complete by working with Squadron for data ingestion.</v>
      </c>
      <c r="H3" s="376"/>
      <c r="I3" s="376"/>
      <c r="J3" s="376"/>
      <c r="K3" s="376"/>
      <c r="L3" s="376"/>
      <c r="M3" s="376"/>
      <c r="N3" s="376"/>
      <c r="O3" s="376"/>
      <c r="P3" s="376"/>
      <c r="Q3" s="376"/>
      <c r="R3" s="376"/>
      <c r="S3" s="376"/>
      <c r="T3" s="376"/>
      <c r="U3" s="376"/>
      <c r="V3" s="376"/>
      <c r="W3" s="381" t="s">
        <v>990</v>
      </c>
      <c r="X3" s="381" t="s">
        <v>991</v>
      </c>
      <c r="Y3" s="381">
        <v>190165</v>
      </c>
      <c r="Z3" s="381"/>
      <c r="AA3" s="381" t="s">
        <v>992</v>
      </c>
      <c r="AB3" s="381" t="s">
        <v>993</v>
      </c>
      <c r="AC3" s="381" t="s">
        <v>980</v>
      </c>
      <c r="AD3" s="381" t="s">
        <v>981</v>
      </c>
      <c r="AE3" s="381" t="s">
        <v>982</v>
      </c>
      <c r="AF3" s="381" t="s">
        <v>983</v>
      </c>
      <c r="AG3" s="381"/>
      <c r="AH3" s="381"/>
      <c r="AI3" s="381" t="s">
        <v>984</v>
      </c>
      <c r="AJ3" s="381"/>
      <c r="AK3" s="381" t="s">
        <v>994</v>
      </c>
      <c r="AL3" s="381" t="s">
        <v>986</v>
      </c>
      <c r="AM3" s="381" t="s">
        <v>986</v>
      </c>
      <c r="AN3" s="382">
        <v>45999.478472222225</v>
      </c>
      <c r="AO3" s="382">
        <v>46001.475694444445</v>
      </c>
      <c r="AP3" s="382">
        <v>46001.474999999999</v>
      </c>
      <c r="AQ3" s="381"/>
      <c r="AR3" s="381"/>
      <c r="AS3" s="381"/>
      <c r="AT3" s="381"/>
      <c r="AU3" s="382">
        <v>46000</v>
      </c>
      <c r="AV3" s="381">
        <v>0</v>
      </c>
      <c r="AW3" s="381" t="s">
        <v>987</v>
      </c>
      <c r="AX3" s="381" t="s">
        <v>995</v>
      </c>
      <c r="AY3" s="381" t="s">
        <v>986</v>
      </c>
      <c r="AZ3" s="381"/>
      <c r="BA3" s="381"/>
      <c r="BB3" s="381"/>
      <c r="BC3" s="381"/>
      <c r="BD3" s="381"/>
      <c r="BE3" s="381"/>
      <c r="BF3" s="381"/>
      <c r="BG3" s="381"/>
      <c r="BH3" s="381"/>
      <c r="BI3" s="381"/>
      <c r="BJ3" s="381"/>
      <c r="BK3" s="381"/>
      <c r="BL3" s="381"/>
      <c r="BM3" s="381"/>
      <c r="BN3" s="381"/>
      <c r="BO3" s="381"/>
      <c r="BP3" s="381"/>
      <c r="BQ3" s="381"/>
      <c r="BR3" s="381"/>
      <c r="BS3" s="381"/>
      <c r="BT3" s="381"/>
      <c r="BU3" s="381"/>
      <c r="BV3" s="381"/>
      <c r="BW3" s="381"/>
      <c r="BX3" s="381"/>
      <c r="BY3" s="381"/>
      <c r="BZ3" s="381"/>
      <c r="CA3" s="381"/>
      <c r="CB3" s="381" t="s">
        <v>996</v>
      </c>
      <c r="CC3" s="381"/>
      <c r="CD3" s="381"/>
      <c r="CE3" s="381"/>
      <c r="CF3" s="381"/>
      <c r="CG3" s="381"/>
      <c r="CH3" s="381"/>
      <c r="CI3" s="381"/>
      <c r="CJ3" s="381" t="s">
        <v>997</v>
      </c>
      <c r="CK3" s="381" t="s">
        <v>998</v>
      </c>
      <c r="CL3" s="381"/>
      <c r="CM3" s="381"/>
      <c r="CN3" s="381"/>
      <c r="CO3" s="381"/>
      <c r="CP3" s="381"/>
      <c r="CQ3" s="381"/>
    </row>
    <row r="4" spans="1:98" ht="15" customHeight="1">
      <c r="A4" s="375" t="str">
        <f>VLOOKUP(AK4,members!$A:$C,3,FALSE)</f>
        <v>BDA</v>
      </c>
      <c r="B4" s="376" t="str">
        <f>VLOOKUP(AK4,members!$A:$C,2,FALSE)</f>
        <v>VPS</v>
      </c>
      <c r="C4" s="376" t="str">
        <f>X4</f>
        <v>RPD-69</v>
      </c>
      <c r="D4" s="376" t="str">
        <f>AB4</f>
        <v>In Progress</v>
      </c>
      <c r="E4" s="378">
        <f>AU4</f>
        <v>45996</v>
      </c>
      <c r="F4" s="376" t="str">
        <f>W4</f>
        <v>ER Diagram for Gold Layer fields</v>
      </c>
      <c r="G4" s="376" t="str">
        <f>AX4</f>
        <v>Data model needed</v>
      </c>
      <c r="H4" s="376"/>
      <c r="I4" s="376"/>
      <c r="J4" s="376"/>
      <c r="K4" s="376"/>
      <c r="L4" s="376"/>
      <c r="M4" s="376"/>
      <c r="N4" s="376"/>
      <c r="O4" s="376"/>
      <c r="P4" s="376"/>
      <c r="Q4" s="376"/>
      <c r="R4" s="376"/>
      <c r="S4" s="376"/>
      <c r="T4" s="376"/>
      <c r="U4" s="376"/>
      <c r="V4" s="376"/>
      <c r="W4" s="381" t="s">
        <v>999</v>
      </c>
      <c r="X4" s="381" t="s">
        <v>1000</v>
      </c>
      <c r="Y4" s="381">
        <v>189315</v>
      </c>
      <c r="Z4" s="381"/>
      <c r="AA4" s="381" t="s">
        <v>992</v>
      </c>
      <c r="AB4" s="381" t="s">
        <v>993</v>
      </c>
      <c r="AC4" s="381" t="s">
        <v>980</v>
      </c>
      <c r="AD4" s="381" t="s">
        <v>981</v>
      </c>
      <c r="AE4" s="381" t="s">
        <v>982</v>
      </c>
      <c r="AF4" s="381" t="s">
        <v>983</v>
      </c>
      <c r="AG4" s="381"/>
      <c r="AH4" s="381"/>
      <c r="AI4" s="381" t="s">
        <v>984</v>
      </c>
      <c r="AJ4" s="381"/>
      <c r="AK4" s="381" t="s">
        <v>1001</v>
      </c>
      <c r="AL4" s="381" t="s">
        <v>1001</v>
      </c>
      <c r="AM4" s="381" t="s">
        <v>1001</v>
      </c>
      <c r="AN4" s="382">
        <v>45993.477083333331</v>
      </c>
      <c r="AO4" s="382">
        <v>46002.438194444447</v>
      </c>
      <c r="AP4" s="382">
        <v>46001.46875</v>
      </c>
      <c r="AQ4" s="381"/>
      <c r="AR4" s="381"/>
      <c r="AS4" s="381"/>
      <c r="AT4" s="381"/>
      <c r="AU4" s="382">
        <v>45996</v>
      </c>
      <c r="AV4" s="381">
        <v>0</v>
      </c>
      <c r="AW4" s="381"/>
      <c r="AX4" s="381" t="s">
        <v>1002</v>
      </c>
      <c r="AY4" s="381" t="s">
        <v>1001</v>
      </c>
      <c r="AZ4" s="381" t="s">
        <v>986</v>
      </c>
      <c r="BA4" s="381"/>
      <c r="BB4" s="381"/>
      <c r="BC4" s="381"/>
      <c r="BD4" s="381"/>
      <c r="BE4" s="381"/>
      <c r="BF4" s="381"/>
      <c r="BG4" s="381"/>
      <c r="BH4" s="381"/>
      <c r="BI4" s="381"/>
      <c r="BJ4" s="381"/>
      <c r="BK4" s="381"/>
      <c r="BL4" s="381"/>
      <c r="BM4" s="381"/>
      <c r="BN4" s="381"/>
      <c r="BO4" s="381"/>
      <c r="BP4" s="381"/>
      <c r="BQ4" s="381"/>
      <c r="BR4" s="381"/>
      <c r="BS4" s="381"/>
      <c r="BT4" s="381"/>
      <c r="BU4" s="381"/>
      <c r="BV4" s="381"/>
      <c r="BW4" s="381"/>
      <c r="BX4" s="381"/>
      <c r="BY4" s="381"/>
      <c r="BZ4" s="381"/>
      <c r="CA4" s="381"/>
      <c r="CB4" s="381" t="s">
        <v>1003</v>
      </c>
      <c r="CC4" s="381"/>
      <c r="CD4" s="381"/>
      <c r="CE4" s="381"/>
      <c r="CF4" s="381"/>
      <c r="CG4" s="381"/>
      <c r="CH4" s="381"/>
      <c r="CI4" s="381"/>
      <c r="CJ4" s="381" t="s">
        <v>1004</v>
      </c>
      <c r="CK4" s="381" t="s">
        <v>1005</v>
      </c>
      <c r="CL4" s="381"/>
      <c r="CM4" s="381"/>
      <c r="CN4" s="381"/>
      <c r="CO4" s="381"/>
      <c r="CP4" s="381"/>
      <c r="CQ4" s="381"/>
    </row>
    <row r="5" spans="1:98" ht="15" customHeight="1">
      <c r="A5" s="375" t="str">
        <f>VLOOKUP(AK5,members!$A:$C,3,FALSE)</f>
        <v>ETL</v>
      </c>
      <c r="B5" s="376" t="str">
        <f>VLOOKUP(AK5,members!$A:$C,2,FALSE)</f>
        <v>Naveen</v>
      </c>
      <c r="C5" s="376" t="str">
        <f>X5</f>
        <v>RPD-73</v>
      </c>
      <c r="D5" s="376" t="str">
        <f>AB5</f>
        <v>In Progress</v>
      </c>
      <c r="E5" s="378">
        <f>AU5</f>
        <v>46003</v>
      </c>
      <c r="F5" s="376" t="str">
        <f>W5</f>
        <v>MDM set up - Snowflake account and its representative needed</v>
      </c>
      <c r="G5" s="376" t="str">
        <f>AX5</f>
        <v>[~seh0018] requires an answer from Squadron to identify whom in Squadron covered / worked out to set up connection (this is about dimension table such as dim equipment, dim location, dim commodity, and dim customers)_x000D_
_x000D_
 _x000D_
_x000D_
[~knxn12]  / [~seh0018]  / [~tha0073]  / [~dan0243]  to discuss 12/5</v>
      </c>
      <c r="H5" s="376"/>
      <c r="I5" s="376"/>
      <c r="J5" s="376"/>
      <c r="K5" s="376"/>
      <c r="L5" s="376"/>
      <c r="M5" s="376"/>
      <c r="N5" s="376"/>
      <c r="O5" s="376"/>
      <c r="P5" s="376"/>
      <c r="Q5" s="376"/>
      <c r="R5" s="376"/>
      <c r="S5" s="376"/>
      <c r="T5" s="376"/>
      <c r="U5" s="376"/>
      <c r="V5" s="376"/>
      <c r="W5" s="381" t="s">
        <v>1006</v>
      </c>
      <c r="X5" s="381" t="s">
        <v>1007</v>
      </c>
      <c r="Y5" s="381">
        <v>190021</v>
      </c>
      <c r="Z5" s="381">
        <v>186070</v>
      </c>
      <c r="AA5" s="381" t="s">
        <v>978</v>
      </c>
      <c r="AB5" s="381" t="s">
        <v>993</v>
      </c>
      <c r="AC5" s="381" t="s">
        <v>980</v>
      </c>
      <c r="AD5" s="381" t="s">
        <v>981</v>
      </c>
      <c r="AE5" s="381" t="s">
        <v>982</v>
      </c>
      <c r="AF5" s="381" t="s">
        <v>983</v>
      </c>
      <c r="AG5" s="381"/>
      <c r="AH5" s="381"/>
      <c r="AI5" s="381" t="s">
        <v>984</v>
      </c>
      <c r="AJ5" s="381"/>
      <c r="AK5" s="381" t="s">
        <v>994</v>
      </c>
      <c r="AL5" s="381" t="s">
        <v>986</v>
      </c>
      <c r="AM5" s="381" t="s">
        <v>986</v>
      </c>
      <c r="AN5" s="382">
        <v>45996.463194444441</v>
      </c>
      <c r="AO5" s="382">
        <v>46001.467361111114</v>
      </c>
      <c r="AP5" s="382">
        <v>46001.467361111114</v>
      </c>
      <c r="AQ5" s="381"/>
      <c r="AR5" s="381"/>
      <c r="AS5" s="381"/>
      <c r="AT5" s="381"/>
      <c r="AU5" s="382">
        <v>46003</v>
      </c>
      <c r="AV5" s="381">
        <v>0</v>
      </c>
      <c r="AW5" s="381" t="s">
        <v>987</v>
      </c>
      <c r="AX5" s="381" t="s">
        <v>1008</v>
      </c>
      <c r="AY5" s="381" t="s">
        <v>1009</v>
      </c>
      <c r="AZ5" s="381" t="s">
        <v>986</v>
      </c>
      <c r="BA5" s="381"/>
      <c r="BB5" s="381"/>
      <c r="BC5" s="381"/>
      <c r="BD5" s="381"/>
      <c r="BE5" s="381"/>
      <c r="BF5" s="381"/>
      <c r="BG5" s="381"/>
      <c r="BH5" s="381"/>
      <c r="BI5" s="381"/>
      <c r="BJ5" s="381"/>
      <c r="BK5" s="381"/>
      <c r="BL5" s="381"/>
      <c r="BM5" s="381"/>
      <c r="BN5" s="381"/>
      <c r="BO5" s="381"/>
      <c r="BP5" s="381"/>
      <c r="BQ5" s="381"/>
      <c r="BR5" s="381"/>
      <c r="BS5" s="381"/>
      <c r="BT5" s="381"/>
      <c r="BU5" s="381"/>
      <c r="BV5" s="381"/>
      <c r="BW5" s="381"/>
      <c r="BX5" s="381"/>
      <c r="BY5" s="381"/>
      <c r="BZ5" s="381"/>
      <c r="CA5" s="381"/>
      <c r="CB5" s="381" t="s">
        <v>1010</v>
      </c>
      <c r="CC5" s="381"/>
      <c r="CD5" s="381"/>
      <c r="CE5" s="381"/>
      <c r="CF5" s="381"/>
      <c r="CG5" s="381"/>
      <c r="CH5" s="381"/>
      <c r="CI5" s="381"/>
      <c r="CJ5" s="381" t="s">
        <v>1011</v>
      </c>
      <c r="CK5" s="381" t="s">
        <v>1012</v>
      </c>
      <c r="CL5" s="381"/>
      <c r="CM5" s="381"/>
      <c r="CN5" s="381"/>
      <c r="CO5" s="381"/>
      <c r="CP5" s="381"/>
      <c r="CQ5" s="381"/>
    </row>
    <row r="6" spans="1:98" ht="15" customHeight="1">
      <c r="A6" s="375" t="str">
        <f>VLOOKUP(AK6,members!$A:$C,3,FALSE)</f>
        <v>Squadron</v>
      </c>
      <c r="B6" s="376" t="str">
        <f>VLOOKUP(AK6,members!$A:$C,2,FALSE)</f>
        <v>Harshil Patel</v>
      </c>
      <c r="C6" s="376" t="str">
        <f>X6</f>
        <v>RPD-65</v>
      </c>
      <c r="D6" s="376" t="str">
        <f>AB6</f>
        <v>In Progress</v>
      </c>
      <c r="E6" s="378">
        <f>AU6</f>
        <v>46002</v>
      </c>
      <c r="F6" s="376" t="str">
        <f>W6</f>
        <v>SnowFlake ETL Plan - Bronze to Silver solution to provide - document / email needed</v>
      </c>
      <c r="G6" s="376" t="str">
        <f>AX6</f>
        <v>Document that_x000D_
_x000D_
includes methodologies out of below example options._x000D_
_x000D_
include data models for Silver Layers_x000D_
_x000D_
 _x000D_
_x000D_
1) DBT_x000D_
_x000D_
2) Store Procedures_x000D_
_x000D_
3) Snow Park</v>
      </c>
      <c r="H6" s="376"/>
      <c r="I6" s="376"/>
      <c r="J6" s="376"/>
      <c r="K6" s="376"/>
      <c r="L6" s="376"/>
      <c r="M6" s="376"/>
      <c r="N6" s="376"/>
      <c r="O6" s="376"/>
      <c r="P6" s="376"/>
      <c r="Q6" s="376"/>
      <c r="R6" s="376"/>
      <c r="S6" s="376"/>
      <c r="T6" s="376"/>
      <c r="U6" s="376"/>
      <c r="V6" s="376"/>
      <c r="W6" s="381" t="s">
        <v>1013</v>
      </c>
      <c r="X6" s="381" t="s">
        <v>1014</v>
      </c>
      <c r="Y6" s="381">
        <v>189013</v>
      </c>
      <c r="Z6" s="381"/>
      <c r="AA6" s="381" t="s">
        <v>992</v>
      </c>
      <c r="AB6" s="381" t="s">
        <v>993</v>
      </c>
      <c r="AC6" s="381" t="s">
        <v>980</v>
      </c>
      <c r="AD6" s="381" t="s">
        <v>981</v>
      </c>
      <c r="AE6" s="381" t="s">
        <v>982</v>
      </c>
      <c r="AF6" s="381" t="s">
        <v>983</v>
      </c>
      <c r="AG6" s="381"/>
      <c r="AH6" s="381"/>
      <c r="AI6" s="381" t="s">
        <v>984</v>
      </c>
      <c r="AJ6" s="381"/>
      <c r="AK6" s="381" t="s">
        <v>1015</v>
      </c>
      <c r="AL6" s="381" t="s">
        <v>986</v>
      </c>
      <c r="AM6" s="381" t="s">
        <v>986</v>
      </c>
      <c r="AN6" s="382">
        <v>45988.469444444447</v>
      </c>
      <c r="AO6" s="382">
        <v>46001.465277777781</v>
      </c>
      <c r="AP6" s="382">
        <v>46001.465277777781</v>
      </c>
      <c r="AQ6" s="381"/>
      <c r="AR6" s="381"/>
      <c r="AS6" s="381"/>
      <c r="AT6" s="381"/>
      <c r="AU6" s="382">
        <v>46002</v>
      </c>
      <c r="AV6" s="381">
        <v>0</v>
      </c>
      <c r="AW6" s="381" t="s">
        <v>987</v>
      </c>
      <c r="AX6" s="381" t="s">
        <v>1016</v>
      </c>
      <c r="AY6" s="381" t="s">
        <v>1001</v>
      </c>
      <c r="AZ6" s="381" t="s">
        <v>1009</v>
      </c>
      <c r="BA6" s="381" t="s">
        <v>986</v>
      </c>
      <c r="BB6" s="381"/>
      <c r="BC6" s="381"/>
      <c r="BD6" s="381"/>
      <c r="BE6" s="381"/>
      <c r="BF6" s="381"/>
      <c r="BG6" s="381"/>
      <c r="BH6" s="381"/>
      <c r="BI6" s="381"/>
      <c r="BJ6" s="381"/>
      <c r="BK6" s="381"/>
      <c r="BL6" s="381"/>
      <c r="BM6" s="381"/>
      <c r="BN6" s="381" t="s">
        <v>1017</v>
      </c>
      <c r="BO6" s="381"/>
      <c r="BP6" s="381"/>
      <c r="BQ6" s="381"/>
      <c r="BR6" s="381"/>
      <c r="BS6" s="381"/>
      <c r="BT6" s="381"/>
      <c r="BU6" s="381"/>
      <c r="BV6" s="381"/>
      <c r="BW6" s="381"/>
      <c r="BX6" s="381"/>
      <c r="BY6" s="381"/>
      <c r="BZ6" s="381"/>
      <c r="CA6" s="381"/>
      <c r="CB6" s="381" t="s">
        <v>1018</v>
      </c>
      <c r="CC6" s="381"/>
      <c r="CD6" s="381"/>
      <c r="CE6" s="381"/>
      <c r="CF6" s="381"/>
      <c r="CG6" s="381"/>
      <c r="CH6" s="381"/>
      <c r="CI6" s="381"/>
      <c r="CJ6" s="381" t="s">
        <v>1019</v>
      </c>
      <c r="CK6" s="381" t="s">
        <v>1020</v>
      </c>
      <c r="CL6" s="381" t="s">
        <v>1021</v>
      </c>
      <c r="CM6" s="381" t="s">
        <v>1022</v>
      </c>
      <c r="CN6" s="381" t="s">
        <v>1023</v>
      </c>
      <c r="CO6" s="381"/>
      <c r="CP6" s="381"/>
      <c r="CQ6" s="381"/>
    </row>
    <row r="7" spans="1:98" ht="15" customHeight="1">
      <c r="A7" s="375" t="str">
        <f>VLOOKUP(AK7,members!$A:$C,3,FALSE)</f>
        <v>ETL</v>
      </c>
      <c r="B7" s="376" t="str">
        <f>VLOOKUP(AK7,members!$A:$C,2,FALSE)</f>
        <v>Naveen</v>
      </c>
      <c r="C7" s="376" t="str">
        <f>X7</f>
        <v>RPD-81</v>
      </c>
      <c r="D7" s="376" t="str">
        <f>AB7</f>
        <v>To Do</v>
      </c>
      <c r="E7" s="378">
        <f>AU7</f>
        <v>46001</v>
      </c>
      <c r="F7" s="376" t="str">
        <f>W7</f>
        <v>Data injection job to start from source to bronze</v>
      </c>
      <c r="G7" s="376">
        <f>AX7</f>
        <v>0</v>
      </c>
      <c r="H7" s="376"/>
      <c r="I7" s="376"/>
      <c r="J7" s="376"/>
      <c r="K7" s="376"/>
      <c r="L7" s="376"/>
      <c r="M7" s="376"/>
      <c r="N7" s="376"/>
      <c r="O7" s="376"/>
      <c r="P7" s="376"/>
      <c r="Q7" s="376"/>
      <c r="R7" s="376"/>
      <c r="S7" s="376"/>
      <c r="T7" s="376"/>
      <c r="U7" s="376"/>
      <c r="V7" s="376"/>
      <c r="W7" s="381" t="s">
        <v>1024</v>
      </c>
      <c r="X7" s="381" t="s">
        <v>1025</v>
      </c>
      <c r="Y7" s="381">
        <v>190352</v>
      </c>
      <c r="Z7" s="381"/>
      <c r="AA7" s="381" t="s">
        <v>992</v>
      </c>
      <c r="AB7" s="381" t="s">
        <v>979</v>
      </c>
      <c r="AC7" s="381" t="s">
        <v>980</v>
      </c>
      <c r="AD7" s="381" t="s">
        <v>981</v>
      </c>
      <c r="AE7" s="381" t="s">
        <v>982</v>
      </c>
      <c r="AF7" s="381" t="s">
        <v>983</v>
      </c>
      <c r="AG7" s="381"/>
      <c r="AH7" s="381"/>
      <c r="AI7" s="381" t="s">
        <v>984</v>
      </c>
      <c r="AJ7" s="381"/>
      <c r="AK7" s="381" t="s">
        <v>994</v>
      </c>
      <c r="AL7" s="381" t="s">
        <v>986</v>
      </c>
      <c r="AM7" s="381" t="s">
        <v>986</v>
      </c>
      <c r="AN7" s="382">
        <v>46000.477083333331</v>
      </c>
      <c r="AO7" s="382">
        <v>46000.477083333331</v>
      </c>
      <c r="AP7" s="382">
        <v>46001.459027777775</v>
      </c>
      <c r="AQ7" s="381"/>
      <c r="AR7" s="381"/>
      <c r="AS7" s="381"/>
      <c r="AT7" s="381"/>
      <c r="AU7" s="382">
        <v>46001</v>
      </c>
      <c r="AV7" s="381">
        <v>0</v>
      </c>
      <c r="AW7" s="381" t="s">
        <v>987</v>
      </c>
      <c r="AX7" s="381"/>
      <c r="AY7" s="381" t="s">
        <v>986</v>
      </c>
      <c r="AZ7" s="381"/>
      <c r="BA7" s="381"/>
      <c r="BB7" s="381"/>
      <c r="BC7" s="381"/>
      <c r="BD7" s="381"/>
      <c r="BE7" s="381"/>
      <c r="BF7" s="381"/>
      <c r="BG7" s="381"/>
      <c r="BH7" s="381"/>
      <c r="BI7" s="381"/>
      <c r="BJ7" s="381"/>
      <c r="BK7" s="381"/>
      <c r="BL7" s="381"/>
      <c r="BM7" s="381"/>
      <c r="BN7" s="381"/>
      <c r="BO7" s="381"/>
      <c r="BP7" s="381"/>
      <c r="BQ7" s="381"/>
      <c r="BR7" s="381"/>
      <c r="BS7" s="381"/>
      <c r="BT7" s="381"/>
      <c r="BU7" s="381"/>
      <c r="BV7" s="381"/>
      <c r="BW7" s="381"/>
      <c r="BX7" s="381"/>
      <c r="BY7" s="381"/>
      <c r="BZ7" s="381"/>
      <c r="CA7" s="381"/>
      <c r="CB7" s="381" t="s">
        <v>1026</v>
      </c>
      <c r="CC7" s="381"/>
      <c r="CD7" s="381"/>
      <c r="CE7" s="381"/>
      <c r="CF7" s="381"/>
      <c r="CG7" s="381"/>
      <c r="CH7" s="381"/>
      <c r="CI7" s="381"/>
      <c r="CJ7" s="381"/>
      <c r="CK7" s="381"/>
      <c r="CL7" s="381"/>
      <c r="CM7" s="381"/>
      <c r="CN7" s="381"/>
      <c r="CO7" s="381"/>
      <c r="CP7" s="381"/>
      <c r="CQ7" s="381"/>
    </row>
    <row r="8" spans="1:98" ht="15" customHeight="1">
      <c r="A8" s="375" t="str">
        <f>VLOOKUP(AK8,members!$A:$C,3,FALSE)</f>
        <v>ETL</v>
      </c>
      <c r="B8" s="376" t="str">
        <f>VLOOKUP(AK8,members!$A:$C,2,FALSE)</f>
        <v>Jatinder</v>
      </c>
      <c r="C8" s="376" t="str">
        <f>X8</f>
        <v>RPD-29</v>
      </c>
      <c r="D8" s="376" t="str">
        <f>AB8</f>
        <v>In Progress</v>
      </c>
      <c r="E8" s="378">
        <f>AU8</f>
        <v>46052</v>
      </c>
      <c r="F8" s="376" t="str">
        <f>W8</f>
        <v>Identifying solutions to bring track/mileage info for Regulatory Tonnage Proj.</v>
      </c>
      <c r="G8" s="376" t="str">
        <f>AX8</f>
        <v>in the past, during the development of reg tonnage with FTI, csv file was created in order to provide detailed mapping of mileages and types of track information in CPKC network._x000D_
_x000D_
[~sin0404] to interview key stakeholders (Karthik / Jincy) to obtain source file._x000D_
_x000D_
 _x000D_
_x000D_
Track level reporting is mainly sourcing legacy BMR data as per [~sau0093] so track information from business team are not fully incorporated in CPKC's data set.</v>
      </c>
      <c r="H8" s="376"/>
      <c r="I8" s="376"/>
      <c r="J8" s="376"/>
      <c r="K8" s="376"/>
      <c r="L8" s="376"/>
      <c r="M8" s="376"/>
      <c r="N8" s="376"/>
      <c r="O8" s="376"/>
      <c r="P8" s="376"/>
      <c r="Q8" s="376"/>
      <c r="R8" s="376"/>
      <c r="S8" s="376"/>
      <c r="T8" s="376"/>
      <c r="U8" s="376"/>
      <c r="V8" s="376"/>
      <c r="W8" s="381" t="s">
        <v>1027</v>
      </c>
      <c r="X8" s="381" t="s">
        <v>1028</v>
      </c>
      <c r="Y8" s="381">
        <v>186287</v>
      </c>
      <c r="Z8" s="381"/>
      <c r="AA8" s="381" t="s">
        <v>992</v>
      </c>
      <c r="AB8" s="381" t="s">
        <v>993</v>
      </c>
      <c r="AC8" s="381" t="s">
        <v>980</v>
      </c>
      <c r="AD8" s="381" t="s">
        <v>981</v>
      </c>
      <c r="AE8" s="381" t="s">
        <v>982</v>
      </c>
      <c r="AF8" s="381" t="s">
        <v>983</v>
      </c>
      <c r="AG8" s="381"/>
      <c r="AH8" s="381"/>
      <c r="AI8" s="381" t="s">
        <v>984</v>
      </c>
      <c r="AJ8" s="381"/>
      <c r="AK8" s="381" t="s">
        <v>1029</v>
      </c>
      <c r="AL8" s="381" t="s">
        <v>986</v>
      </c>
      <c r="AM8" s="381" t="s">
        <v>986</v>
      </c>
      <c r="AN8" s="382">
        <v>45954.481944444444</v>
      </c>
      <c r="AO8" s="382">
        <v>46001.041666666664</v>
      </c>
      <c r="AP8" s="382">
        <v>46001.458333333336</v>
      </c>
      <c r="AQ8" s="381"/>
      <c r="AR8" s="381"/>
      <c r="AS8" s="381"/>
      <c r="AT8" s="381"/>
      <c r="AU8" s="382">
        <v>46052</v>
      </c>
      <c r="AV8" s="381">
        <v>0</v>
      </c>
      <c r="AW8" s="381" t="s">
        <v>987</v>
      </c>
      <c r="AX8" s="381" t="s">
        <v>1030</v>
      </c>
      <c r="AY8" s="381" t="s">
        <v>1001</v>
      </c>
      <c r="AZ8" s="381" t="s">
        <v>986</v>
      </c>
      <c r="BA8" s="381"/>
      <c r="BB8" s="381"/>
      <c r="BC8" s="381"/>
      <c r="BD8" s="381"/>
      <c r="BE8" s="381"/>
      <c r="BF8" s="381"/>
      <c r="BG8" s="381"/>
      <c r="BH8" s="381"/>
      <c r="BI8" s="381"/>
      <c r="BJ8" s="381"/>
      <c r="BK8" s="381"/>
      <c r="BL8" s="381"/>
      <c r="BM8" s="381"/>
      <c r="BN8" s="381"/>
      <c r="BO8" s="381"/>
      <c r="BP8" s="381"/>
      <c r="BQ8" s="381"/>
      <c r="BR8" s="381"/>
      <c r="BS8" s="381"/>
      <c r="BT8" s="381"/>
      <c r="BU8" s="381"/>
      <c r="BV8" s="381"/>
      <c r="BW8" s="381"/>
      <c r="BX8" s="381"/>
      <c r="BY8" s="381"/>
      <c r="BZ8" s="381"/>
      <c r="CA8" s="381"/>
      <c r="CB8" s="381" t="s">
        <v>1031</v>
      </c>
      <c r="CC8" s="381"/>
      <c r="CD8" s="381"/>
      <c r="CE8" s="381"/>
      <c r="CF8" s="381"/>
      <c r="CG8" s="381"/>
      <c r="CH8" s="381"/>
      <c r="CI8" s="381"/>
      <c r="CJ8" s="381" t="s">
        <v>1032</v>
      </c>
      <c r="CK8" s="381"/>
      <c r="CL8" s="381"/>
      <c r="CM8" s="381"/>
      <c r="CN8" s="381"/>
      <c r="CO8" s="381"/>
      <c r="CP8" s="381"/>
      <c r="CQ8" s="381"/>
    </row>
    <row r="9" spans="1:98" ht="15" customHeight="1">
      <c r="A9" s="375" t="str">
        <f>VLOOKUP(AK9,members!$A:$C,3,FALSE)</f>
        <v>BDA</v>
      </c>
      <c r="B9" s="376" t="str">
        <f>VLOOKUP(AK9,members!$A:$C,2,FALSE)</f>
        <v>Sangtae</v>
      </c>
      <c r="C9" s="376" t="str">
        <f>X9</f>
        <v>RPD-50</v>
      </c>
      <c r="D9" s="376" t="str">
        <f>AB9</f>
        <v>In Progress</v>
      </c>
      <c r="E9" s="378">
        <f>AU9</f>
        <v>46010</v>
      </c>
      <c r="F9" s="376" t="str">
        <f>W9</f>
        <v>Product Design review from Squadron</v>
      </c>
      <c r="G9" s="376">
        <f>AX9</f>
        <v>0</v>
      </c>
      <c r="H9" s="376"/>
      <c r="I9" s="376"/>
      <c r="J9" s="376"/>
      <c r="K9" s="376"/>
      <c r="L9" s="376"/>
      <c r="M9" s="376"/>
      <c r="N9" s="376"/>
      <c r="O9" s="376"/>
      <c r="P9" s="376"/>
      <c r="Q9" s="376"/>
      <c r="R9" s="376"/>
      <c r="S9" s="376"/>
      <c r="T9" s="376"/>
      <c r="U9" s="376"/>
      <c r="V9" s="376"/>
      <c r="W9" s="381" t="s">
        <v>1033</v>
      </c>
      <c r="X9" s="381" t="s">
        <v>1034</v>
      </c>
      <c r="Y9" s="381">
        <v>188011</v>
      </c>
      <c r="Z9" s="381"/>
      <c r="AA9" s="381" t="s">
        <v>992</v>
      </c>
      <c r="AB9" s="381" t="s">
        <v>993</v>
      </c>
      <c r="AC9" s="381" t="s">
        <v>980</v>
      </c>
      <c r="AD9" s="381" t="s">
        <v>981</v>
      </c>
      <c r="AE9" s="381" t="s">
        <v>982</v>
      </c>
      <c r="AF9" s="381" t="s">
        <v>983</v>
      </c>
      <c r="AG9" s="381"/>
      <c r="AH9" s="381"/>
      <c r="AI9" s="381" t="s">
        <v>984</v>
      </c>
      <c r="AJ9" s="381"/>
      <c r="AK9" s="381" t="s">
        <v>986</v>
      </c>
      <c r="AL9" s="381" t="s">
        <v>1035</v>
      </c>
      <c r="AM9" s="381" t="s">
        <v>1035</v>
      </c>
      <c r="AN9" s="382">
        <v>45974.464583333334</v>
      </c>
      <c r="AO9" s="382">
        <v>46001.040972222225</v>
      </c>
      <c r="AP9" s="382">
        <v>46001.040972222225</v>
      </c>
      <c r="AQ9" s="381"/>
      <c r="AR9" s="381"/>
      <c r="AS9" s="381"/>
      <c r="AT9" s="381"/>
      <c r="AU9" s="382">
        <v>46010</v>
      </c>
      <c r="AV9" s="381">
        <v>0</v>
      </c>
      <c r="AW9" s="381"/>
      <c r="AX9" s="381"/>
      <c r="AY9" s="381" t="s">
        <v>1035</v>
      </c>
      <c r="AZ9" s="381" t="s">
        <v>1001</v>
      </c>
      <c r="BA9" s="381"/>
      <c r="BB9" s="381"/>
      <c r="BC9" s="381"/>
      <c r="BD9" s="381"/>
      <c r="BE9" s="381"/>
      <c r="BF9" s="381"/>
      <c r="BG9" s="381"/>
      <c r="BH9" s="381"/>
      <c r="BI9" s="381"/>
      <c r="BJ9" s="381"/>
      <c r="BK9" s="381"/>
      <c r="BL9" s="381"/>
      <c r="BM9" s="381"/>
      <c r="BN9" s="381"/>
      <c r="BO9" s="381"/>
      <c r="BP9" s="381"/>
      <c r="BQ9" s="381"/>
      <c r="BR9" s="381"/>
      <c r="BS9" s="381"/>
      <c r="BT9" s="381"/>
      <c r="BU9" s="381"/>
      <c r="BV9" s="381"/>
      <c r="BW9" s="381"/>
      <c r="BX9" s="381"/>
      <c r="BY9" s="381"/>
      <c r="BZ9" s="381"/>
      <c r="CA9" s="381"/>
      <c r="CB9" s="381" t="s">
        <v>1036</v>
      </c>
      <c r="CC9" s="381"/>
      <c r="CD9" s="381"/>
      <c r="CE9" s="381"/>
      <c r="CF9" s="381"/>
      <c r="CG9" s="381"/>
      <c r="CH9" s="381"/>
      <c r="CI9" s="381"/>
      <c r="CJ9" s="381" t="s">
        <v>1037</v>
      </c>
      <c r="CK9" s="381"/>
      <c r="CL9" s="381"/>
      <c r="CM9" s="381"/>
      <c r="CN9" s="381"/>
      <c r="CO9" s="381"/>
      <c r="CP9" s="381"/>
      <c r="CQ9" s="381"/>
    </row>
    <row r="10" spans="1:98" ht="15" customHeight="1">
      <c r="A10" s="375" t="str">
        <f>VLOOKUP(AK10,members!$A:$C,3,FALSE)</f>
        <v>Architect</v>
      </c>
      <c r="B10" s="376" t="str">
        <f>VLOOKUP(AK10,members!$A:$C,2,FALSE)</f>
        <v>Karthik</v>
      </c>
      <c r="C10" s="376" t="str">
        <f>X10</f>
        <v>RPD-67</v>
      </c>
      <c r="D10" s="376" t="str">
        <f>AB10</f>
        <v>To Do</v>
      </c>
      <c r="E10" s="378">
        <f>AU10</f>
        <v>45992</v>
      </c>
      <c r="F10" s="376" t="str">
        <f>W10</f>
        <v>CSN review for direction (regarding issues)</v>
      </c>
      <c r="G10" s="376" t="str">
        <f>AX10</f>
        <v>plan to navigate our options regarding_x000D_
_x000D_
duplicates_x000D_
_x000D_
changes in CSN during single trip</v>
      </c>
      <c r="H10" s="376"/>
      <c r="I10" s="376"/>
      <c r="J10" s="376"/>
      <c r="K10" s="376"/>
      <c r="L10" s="376"/>
      <c r="M10" s="376"/>
      <c r="N10" s="376"/>
      <c r="O10" s="376"/>
      <c r="P10" s="376"/>
      <c r="Q10" s="376"/>
      <c r="R10" s="376"/>
      <c r="S10" s="376"/>
      <c r="T10" s="376"/>
      <c r="U10" s="376"/>
      <c r="V10" s="376"/>
      <c r="W10" s="381" t="s">
        <v>1038</v>
      </c>
      <c r="X10" s="381" t="s">
        <v>1039</v>
      </c>
      <c r="Y10" s="381">
        <v>189059</v>
      </c>
      <c r="Z10" s="381"/>
      <c r="AA10" s="381" t="s">
        <v>992</v>
      </c>
      <c r="AB10" s="381" t="s">
        <v>979</v>
      </c>
      <c r="AC10" s="381" t="s">
        <v>980</v>
      </c>
      <c r="AD10" s="381" t="s">
        <v>981</v>
      </c>
      <c r="AE10" s="381" t="s">
        <v>982</v>
      </c>
      <c r="AF10" s="381" t="s">
        <v>983</v>
      </c>
      <c r="AG10" s="381"/>
      <c r="AH10" s="381"/>
      <c r="AI10" s="381" t="s">
        <v>984</v>
      </c>
      <c r="AJ10" s="381"/>
      <c r="AK10" s="381" t="s">
        <v>1040</v>
      </c>
      <c r="AL10" s="381" t="s">
        <v>986</v>
      </c>
      <c r="AM10" s="381" t="s">
        <v>986</v>
      </c>
      <c r="AN10" s="382">
        <v>45989.472916666666</v>
      </c>
      <c r="AO10" s="382">
        <v>45989.472916666666</v>
      </c>
      <c r="AP10" s="382">
        <v>46001.022222222222</v>
      </c>
      <c r="AQ10" s="381"/>
      <c r="AR10" s="381"/>
      <c r="AS10" s="381"/>
      <c r="AT10" s="381"/>
      <c r="AU10" s="382">
        <v>45992</v>
      </c>
      <c r="AV10" s="381">
        <v>0</v>
      </c>
      <c r="AW10" s="381" t="s">
        <v>987</v>
      </c>
      <c r="AX10" s="381" t="s">
        <v>1041</v>
      </c>
      <c r="AY10" s="381" t="s">
        <v>986</v>
      </c>
      <c r="AZ10" s="381"/>
      <c r="BA10" s="381"/>
      <c r="BB10" s="381"/>
      <c r="BC10" s="381"/>
      <c r="BD10" s="381"/>
      <c r="BE10" s="381"/>
      <c r="BF10" s="381"/>
      <c r="BG10" s="381"/>
      <c r="BH10" s="381"/>
      <c r="BI10" s="381"/>
      <c r="BJ10" s="381"/>
      <c r="BK10" s="381"/>
      <c r="BL10" s="381"/>
      <c r="BM10" s="381"/>
      <c r="BN10" s="381"/>
      <c r="BO10" s="381"/>
      <c r="BP10" s="381"/>
      <c r="BQ10" s="381"/>
      <c r="BR10" s="381"/>
      <c r="BS10" s="381"/>
      <c r="BT10" s="381"/>
      <c r="BU10" s="381"/>
      <c r="BV10" s="381"/>
      <c r="BW10" s="381"/>
      <c r="BX10" s="381"/>
      <c r="BY10" s="381"/>
      <c r="BZ10" s="381"/>
      <c r="CA10" s="381"/>
      <c r="CB10" s="381" t="s">
        <v>1042</v>
      </c>
      <c r="CC10" s="381"/>
      <c r="CD10" s="381"/>
      <c r="CE10" s="381"/>
      <c r="CF10" s="381"/>
      <c r="CG10" s="381"/>
      <c r="CH10" s="381"/>
      <c r="CI10" s="381"/>
      <c r="CJ10" s="381"/>
      <c r="CK10" s="381"/>
      <c r="CL10" s="381"/>
      <c r="CM10" s="381"/>
      <c r="CN10" s="381"/>
      <c r="CO10" s="381"/>
      <c r="CP10" s="381"/>
      <c r="CQ10" s="381"/>
    </row>
    <row r="11" spans="1:98" ht="15" customHeight="1">
      <c r="A11" s="375" t="str">
        <f>VLOOKUP(AK11,members!$A:$C,3,FALSE)</f>
        <v>QE</v>
      </c>
      <c r="B11" s="376" t="str">
        <f>VLOOKUP(AK11,members!$A:$C,2,FALSE)</f>
        <v>Manooj</v>
      </c>
      <c r="C11" s="376" t="str">
        <f>X11</f>
        <v>RPD-42</v>
      </c>
      <c r="D11" s="376" t="str">
        <f>AB11</f>
        <v>In Progress</v>
      </c>
      <c r="E11" s="378">
        <f>AU11</f>
        <v>45971</v>
      </c>
      <c r="F11" s="376" t="str">
        <f>W11</f>
        <v>UAT related ideas gathering / high level scenarios</v>
      </c>
      <c r="G11" s="376" t="str">
        <f>AX11</f>
        <v>[~sel0052]  [~sid0070]  will contact/introduce QA team to start getting involved. (test strategy sharing may be starting point)_x000D_
_x000D_
[~woo0234]  will set up 40-45 mins call with [~ste0370] 's team and QA team by 2nd week of November.</v>
      </c>
      <c r="H11" s="376"/>
      <c r="I11" s="376"/>
      <c r="J11" s="376"/>
      <c r="K11" s="376"/>
      <c r="L11" s="376"/>
      <c r="M11" s="376"/>
      <c r="N11" s="376"/>
      <c r="O11" s="376"/>
      <c r="P11" s="376"/>
      <c r="Q11" s="376"/>
      <c r="R11" s="376"/>
      <c r="S11" s="376"/>
      <c r="T11" s="376"/>
      <c r="U11" s="376"/>
      <c r="V11" s="376"/>
      <c r="W11" s="381" t="s">
        <v>1043</v>
      </c>
      <c r="X11" s="381" t="s">
        <v>1044</v>
      </c>
      <c r="Y11" s="381">
        <v>187294</v>
      </c>
      <c r="Z11" s="381">
        <v>186087</v>
      </c>
      <c r="AA11" s="381" t="s">
        <v>978</v>
      </c>
      <c r="AB11" s="381" t="s">
        <v>993</v>
      </c>
      <c r="AC11" s="381" t="s">
        <v>980</v>
      </c>
      <c r="AD11" s="381" t="s">
        <v>981</v>
      </c>
      <c r="AE11" s="381" t="s">
        <v>982</v>
      </c>
      <c r="AF11" s="381" t="s">
        <v>983</v>
      </c>
      <c r="AG11" s="381"/>
      <c r="AH11" s="381"/>
      <c r="AI11" s="381" t="s">
        <v>984</v>
      </c>
      <c r="AJ11" s="381"/>
      <c r="AK11" s="381" t="s">
        <v>1045</v>
      </c>
      <c r="AL11" s="381" t="s">
        <v>986</v>
      </c>
      <c r="AM11" s="381" t="s">
        <v>986</v>
      </c>
      <c r="AN11" s="382">
        <v>45966.484722222223</v>
      </c>
      <c r="AO11" s="382">
        <v>45993.480555555558</v>
      </c>
      <c r="AP11" s="382">
        <v>46001.022222222222</v>
      </c>
      <c r="AQ11" s="381"/>
      <c r="AR11" s="381"/>
      <c r="AS11" s="381"/>
      <c r="AT11" s="381"/>
      <c r="AU11" s="382">
        <v>45971</v>
      </c>
      <c r="AV11" s="381">
        <v>0</v>
      </c>
      <c r="AW11" s="381" t="s">
        <v>987</v>
      </c>
      <c r="AX11" s="381" t="s">
        <v>1046</v>
      </c>
      <c r="AY11" s="381" t="s">
        <v>1035</v>
      </c>
      <c r="AZ11" s="381" t="s">
        <v>1001</v>
      </c>
      <c r="BA11" s="381" t="s">
        <v>986</v>
      </c>
      <c r="BB11" s="381"/>
      <c r="BC11" s="381"/>
      <c r="BD11" s="381"/>
      <c r="BE11" s="381"/>
      <c r="BF11" s="381"/>
      <c r="BG11" s="381"/>
      <c r="BH11" s="381"/>
      <c r="BI11" s="381"/>
      <c r="BJ11" s="381"/>
      <c r="BK11" s="381"/>
      <c r="BL11" s="381"/>
      <c r="BM11" s="381"/>
      <c r="BN11" s="381"/>
      <c r="BO11" s="381"/>
      <c r="BP11" s="381"/>
      <c r="BQ11" s="381"/>
      <c r="BR11" s="381"/>
      <c r="BS11" s="381"/>
      <c r="BT11" s="381"/>
      <c r="BU11" s="381"/>
      <c r="BV11" s="381"/>
      <c r="BW11" s="381"/>
      <c r="BX11" s="381"/>
      <c r="BY11" s="381"/>
      <c r="BZ11" s="381"/>
      <c r="CA11" s="381"/>
      <c r="CB11" s="381" t="s">
        <v>1047</v>
      </c>
      <c r="CC11" s="381"/>
      <c r="CD11" s="381"/>
      <c r="CE11" s="381"/>
      <c r="CF11" s="381"/>
      <c r="CG11" s="381"/>
      <c r="CH11" s="381"/>
      <c r="CI11" s="381"/>
      <c r="CJ11" s="381" t="s">
        <v>1048</v>
      </c>
      <c r="CK11" s="381" t="s">
        <v>1049</v>
      </c>
      <c r="CL11" s="381" t="s">
        <v>1050</v>
      </c>
      <c r="CM11" s="381"/>
      <c r="CN11" s="381"/>
      <c r="CO11" s="381"/>
      <c r="CP11" s="381"/>
      <c r="CQ11" s="381"/>
    </row>
    <row r="12" spans="1:98" ht="15" customHeight="1">
      <c r="A12" s="375" t="str">
        <f>VLOOKUP(AK12,members!$A:$C,3,FALSE)</f>
        <v>ETL</v>
      </c>
      <c r="B12" s="376" t="str">
        <f>VLOOKUP(AK12,members!$A:$C,2,FALSE)</f>
        <v>Naveen</v>
      </c>
      <c r="C12" s="376" t="str">
        <f>X12</f>
        <v>RPD-55</v>
      </c>
      <c r="D12" s="376" t="str">
        <f>AB12</f>
        <v>In Progress</v>
      </c>
      <c r="E12" s="378">
        <f>AU12</f>
        <v>45981</v>
      </c>
      <c r="F12" s="376" t="str">
        <f>W12</f>
        <v>Service Account SET UP request</v>
      </c>
      <c r="G12" s="376" t="str">
        <f>AX12</f>
        <v>ACC/DEV/PROD_x000D_
 * MDW ( A8087)_x000D_
 * EDW (ORAA414)_x000D_
 * SADB (ORAA430)_x000D_
 * Snowflake_x000D_
 * Azure_x000D_
 * AWS_x000D_
_x000D_
 </v>
      </c>
      <c r="H12" s="376"/>
      <c r="I12" s="376"/>
      <c r="J12" s="376"/>
      <c r="K12" s="376"/>
      <c r="L12" s="376"/>
      <c r="M12" s="376"/>
      <c r="N12" s="376"/>
      <c r="O12" s="376"/>
      <c r="P12" s="376"/>
      <c r="Q12" s="376"/>
      <c r="R12" s="376"/>
      <c r="S12" s="376"/>
      <c r="T12" s="376"/>
      <c r="U12" s="376"/>
      <c r="V12" s="376"/>
      <c r="W12" s="381" t="s">
        <v>1051</v>
      </c>
      <c r="X12" s="381" t="s">
        <v>1052</v>
      </c>
      <c r="Y12" s="381">
        <v>188639</v>
      </c>
      <c r="Z12" s="381">
        <v>188628</v>
      </c>
      <c r="AA12" s="381" t="s">
        <v>978</v>
      </c>
      <c r="AB12" s="381" t="s">
        <v>993</v>
      </c>
      <c r="AC12" s="381" t="s">
        <v>980</v>
      </c>
      <c r="AD12" s="381" t="s">
        <v>981</v>
      </c>
      <c r="AE12" s="381" t="s">
        <v>982</v>
      </c>
      <c r="AF12" s="381" t="s">
        <v>983</v>
      </c>
      <c r="AG12" s="381"/>
      <c r="AH12" s="381"/>
      <c r="AI12" s="381" t="s">
        <v>984</v>
      </c>
      <c r="AJ12" s="381"/>
      <c r="AK12" s="381" t="s">
        <v>994</v>
      </c>
      <c r="AL12" s="381" t="s">
        <v>986</v>
      </c>
      <c r="AM12" s="381" t="s">
        <v>986</v>
      </c>
      <c r="AN12" s="382">
        <v>45981.481944444444</v>
      </c>
      <c r="AO12" s="382">
        <v>45986.470833333333</v>
      </c>
      <c r="AP12" s="382">
        <v>46001.022222222222</v>
      </c>
      <c r="AQ12" s="381"/>
      <c r="AR12" s="381"/>
      <c r="AS12" s="381"/>
      <c r="AT12" s="381"/>
      <c r="AU12" s="382">
        <v>45981</v>
      </c>
      <c r="AV12" s="381">
        <v>0</v>
      </c>
      <c r="AW12" s="381" t="s">
        <v>987</v>
      </c>
      <c r="AX12" s="381" t="s">
        <v>1053</v>
      </c>
      <c r="AY12" s="381" t="s">
        <v>986</v>
      </c>
      <c r="AZ12" s="381"/>
      <c r="BA12" s="381"/>
      <c r="BB12" s="381"/>
      <c r="BC12" s="381"/>
      <c r="BD12" s="381"/>
      <c r="BE12" s="381"/>
      <c r="BF12" s="381"/>
      <c r="BG12" s="381"/>
      <c r="BH12" s="381"/>
      <c r="BI12" s="381"/>
      <c r="BJ12" s="381"/>
      <c r="BK12" s="381"/>
      <c r="BL12" s="381"/>
      <c r="BM12" s="381"/>
      <c r="BN12" s="381"/>
      <c r="BO12" s="381"/>
      <c r="BP12" s="381"/>
      <c r="BQ12" s="381"/>
      <c r="BR12" s="381"/>
      <c r="BS12" s="381"/>
      <c r="BT12" s="381"/>
      <c r="BU12" s="381"/>
      <c r="BV12" s="381"/>
      <c r="BW12" s="381"/>
      <c r="BX12" s="381"/>
      <c r="BY12" s="381"/>
      <c r="BZ12" s="381"/>
      <c r="CA12" s="381"/>
      <c r="CB12" s="381" t="s">
        <v>1054</v>
      </c>
      <c r="CC12" s="381"/>
      <c r="CD12" s="381"/>
      <c r="CE12" s="381"/>
      <c r="CF12" s="381"/>
      <c r="CG12" s="381"/>
      <c r="CH12" s="381"/>
      <c r="CI12" s="381"/>
      <c r="CJ12" s="381" t="s">
        <v>1055</v>
      </c>
      <c r="CK12" s="381" t="s">
        <v>1056</v>
      </c>
      <c r="CL12" s="381" t="s">
        <v>1057</v>
      </c>
      <c r="CM12" s="381" t="s">
        <v>1058</v>
      </c>
      <c r="CN12" s="381"/>
      <c r="CO12" s="381"/>
      <c r="CP12" s="381"/>
      <c r="CQ12" s="381"/>
    </row>
    <row r="13" spans="1:98" ht="15" customHeight="1">
      <c r="A13" s="375" t="str">
        <f>VLOOKUP(AK13,members!$A:$C,3,FALSE)</f>
        <v>Cloud</v>
      </c>
      <c r="B13" s="376" t="str">
        <f>VLOOKUP(AK13,members!$A:$C,2,FALSE)</f>
        <v>Ruben</v>
      </c>
      <c r="C13" s="376" t="str">
        <f>X13</f>
        <v>RPD-8</v>
      </c>
      <c r="D13" s="376" t="str">
        <f>AB13</f>
        <v>Done</v>
      </c>
      <c r="E13" s="378">
        <f>AU13</f>
        <v>45954</v>
      </c>
      <c r="F13" s="376" t="str">
        <f>W13</f>
        <v>AWS access grant for Rail 360</v>
      </c>
      <c r="G13" s="376" t="str">
        <f>AX13</f>
        <v>Obtain Access to AWS for 3 core data sources, Wi-Tronics, Sentinel, and Geo-fence for all participants (need an access to table)</v>
      </c>
      <c r="H13" s="376"/>
      <c r="I13" s="376"/>
      <c r="J13" s="376"/>
      <c r="K13" s="376"/>
      <c r="L13" s="376"/>
      <c r="M13" s="376"/>
      <c r="N13" s="376"/>
      <c r="O13" s="376"/>
      <c r="P13" s="376"/>
      <c r="Q13" s="376"/>
      <c r="R13" s="376"/>
      <c r="S13" s="376"/>
      <c r="T13" s="376"/>
      <c r="U13" s="376"/>
      <c r="V13" s="376"/>
      <c r="W13" s="381" t="s">
        <v>1059</v>
      </c>
      <c r="X13" s="381" t="s">
        <v>1060</v>
      </c>
      <c r="Y13" s="381">
        <v>186081</v>
      </c>
      <c r="Z13" s="381"/>
      <c r="AA13" s="381" t="s">
        <v>992</v>
      </c>
      <c r="AB13" s="381" t="s">
        <v>1061</v>
      </c>
      <c r="AC13" s="381" t="s">
        <v>980</v>
      </c>
      <c r="AD13" s="381" t="s">
        <v>981</v>
      </c>
      <c r="AE13" s="381" t="s">
        <v>982</v>
      </c>
      <c r="AF13" s="381" t="s">
        <v>983</v>
      </c>
      <c r="AG13" s="381"/>
      <c r="AH13" s="381"/>
      <c r="AI13" s="381" t="s">
        <v>984</v>
      </c>
      <c r="AJ13" s="381" t="s">
        <v>1061</v>
      </c>
      <c r="AK13" s="381" t="s">
        <v>1062</v>
      </c>
      <c r="AL13" s="381" t="s">
        <v>986</v>
      </c>
      <c r="AM13" s="381" t="s">
        <v>986</v>
      </c>
      <c r="AN13" s="382">
        <v>45951.583333333336</v>
      </c>
      <c r="AO13" s="382">
        <v>45982.473611111112</v>
      </c>
      <c r="AP13" s="382">
        <v>46001.020138888889</v>
      </c>
      <c r="AQ13" s="382">
        <v>45982.473611111112</v>
      </c>
      <c r="AR13" s="381"/>
      <c r="AS13" s="381"/>
      <c r="AT13" s="381"/>
      <c r="AU13" s="382">
        <v>45954</v>
      </c>
      <c r="AV13" s="381">
        <v>0</v>
      </c>
      <c r="AW13" s="381" t="s">
        <v>987</v>
      </c>
      <c r="AX13" s="381" t="s">
        <v>1063</v>
      </c>
      <c r="AY13" s="381" t="s">
        <v>1001</v>
      </c>
      <c r="AZ13" s="381" t="s">
        <v>986</v>
      </c>
      <c r="BA13" s="381"/>
      <c r="BB13" s="381"/>
      <c r="BC13" s="381"/>
      <c r="BD13" s="381"/>
      <c r="BE13" s="381"/>
      <c r="BF13" s="381"/>
      <c r="BG13" s="381"/>
      <c r="BH13" s="381"/>
      <c r="BI13" s="381"/>
      <c r="BJ13" s="381"/>
      <c r="BK13" s="381"/>
      <c r="BL13" s="381"/>
      <c r="BM13" s="381"/>
      <c r="BN13" s="381"/>
      <c r="BO13" s="381"/>
      <c r="BP13" s="381"/>
      <c r="BQ13" s="381"/>
      <c r="BR13" s="381"/>
      <c r="BS13" s="381"/>
      <c r="BT13" s="381"/>
      <c r="BU13" s="381"/>
      <c r="BV13" s="381"/>
      <c r="BW13" s="381"/>
      <c r="BX13" s="381"/>
      <c r="BY13" s="381"/>
      <c r="BZ13" s="381"/>
      <c r="CA13" s="381"/>
      <c r="CB13" s="381" t="s">
        <v>1064</v>
      </c>
      <c r="CC13" s="381"/>
      <c r="CD13" s="381"/>
      <c r="CE13" s="381"/>
      <c r="CF13" s="381"/>
      <c r="CG13" s="381"/>
      <c r="CH13" s="381"/>
      <c r="CI13" s="381"/>
      <c r="CJ13" s="381" t="s">
        <v>1065</v>
      </c>
      <c r="CK13" s="381" t="s">
        <v>1066</v>
      </c>
      <c r="CL13" s="381"/>
      <c r="CM13" s="381"/>
      <c r="CN13" s="381"/>
      <c r="CO13" s="381"/>
      <c r="CP13" s="381"/>
      <c r="CQ13" s="381"/>
    </row>
    <row r="14" spans="1:98" ht="15" customHeight="1">
      <c r="A14" s="375" t="str">
        <f>VLOOKUP(AK14,members!$A:$C,3,FALSE)</f>
        <v>QE</v>
      </c>
      <c r="B14" s="376" t="str">
        <f>VLOOKUP(AK14,members!$A:$C,2,FALSE)</f>
        <v>Raheel</v>
      </c>
      <c r="C14" s="376" t="str">
        <f>X14</f>
        <v>RPD-68</v>
      </c>
      <c r="D14" s="376" t="str">
        <f>AB14</f>
        <v>Done</v>
      </c>
      <c r="E14" s="378">
        <v>46051</v>
      </c>
      <c r="F14" s="376" t="str">
        <f>W14</f>
        <v>Raheel to discuss with Jatinder/Naveen for Source to Bronze pipeline builiding</v>
      </c>
      <c r="G14" s="376" t="str">
        <f>AX14</f>
        <v>there should be threshold and monitoring of performance related to data transfer from sources to bronze layer monitored/governed by CPKC's system/employees._x000D_
_x000D_
need input / plan and employees in charge prior to developing.</v>
      </c>
      <c r="H14" s="376"/>
      <c r="I14" s="376"/>
      <c r="J14" s="376"/>
      <c r="K14" s="376"/>
      <c r="L14" s="376"/>
      <c r="M14" s="376"/>
      <c r="N14" s="376"/>
      <c r="O14" s="376"/>
      <c r="P14" s="376"/>
      <c r="Q14" s="376"/>
      <c r="R14" s="376"/>
      <c r="S14" s="376"/>
      <c r="T14" s="376"/>
      <c r="U14" s="376"/>
      <c r="V14" s="376"/>
      <c r="W14" s="381" t="s">
        <v>1067</v>
      </c>
      <c r="X14" s="381" t="s">
        <v>1068</v>
      </c>
      <c r="Y14" s="381">
        <v>189060</v>
      </c>
      <c r="Z14" s="381"/>
      <c r="AA14" s="381" t="s">
        <v>992</v>
      </c>
      <c r="AB14" s="381" t="s">
        <v>1061</v>
      </c>
      <c r="AC14" s="381" t="s">
        <v>980</v>
      </c>
      <c r="AD14" s="381" t="s">
        <v>981</v>
      </c>
      <c r="AE14" s="381" t="s">
        <v>982</v>
      </c>
      <c r="AF14" s="381" t="s">
        <v>983</v>
      </c>
      <c r="AG14" s="381"/>
      <c r="AH14" s="381"/>
      <c r="AI14" s="381" t="s">
        <v>984</v>
      </c>
      <c r="AJ14" s="381" t="s">
        <v>1061</v>
      </c>
      <c r="AK14" s="381" t="s">
        <v>1069</v>
      </c>
      <c r="AL14" s="381" t="s">
        <v>986</v>
      </c>
      <c r="AM14" s="381" t="s">
        <v>986</v>
      </c>
      <c r="AN14" s="382">
        <v>45989.479166666664</v>
      </c>
      <c r="AO14" s="382">
        <v>45993.486111111109</v>
      </c>
      <c r="AP14" s="382">
        <v>46001.018750000003</v>
      </c>
      <c r="AQ14" s="382">
        <v>45993.486111111109</v>
      </c>
      <c r="AR14" s="381"/>
      <c r="AS14" s="381"/>
      <c r="AT14" s="381"/>
      <c r="AU14" s="382">
        <v>45992</v>
      </c>
      <c r="AV14" s="381">
        <v>0</v>
      </c>
      <c r="AW14" s="381" t="s">
        <v>987</v>
      </c>
      <c r="AX14" s="381" t="s">
        <v>1070</v>
      </c>
      <c r="AY14" s="381" t="s">
        <v>986</v>
      </c>
      <c r="AZ14" s="381"/>
      <c r="BA14" s="381"/>
      <c r="BB14" s="381"/>
      <c r="BC14" s="381"/>
      <c r="BD14" s="381"/>
      <c r="BE14" s="381"/>
      <c r="BF14" s="381"/>
      <c r="BG14" s="381"/>
      <c r="BH14" s="381"/>
      <c r="BI14" s="381"/>
      <c r="BJ14" s="381"/>
      <c r="BK14" s="381"/>
      <c r="BL14" s="381"/>
      <c r="BM14" s="381"/>
      <c r="BN14" s="381"/>
      <c r="BO14" s="381"/>
      <c r="BP14" s="381"/>
      <c r="BQ14" s="381"/>
      <c r="BR14" s="381"/>
      <c r="BS14" s="381"/>
      <c r="BT14" s="381"/>
      <c r="BU14" s="381"/>
      <c r="BV14" s="381"/>
      <c r="BW14" s="381"/>
      <c r="BX14" s="381"/>
      <c r="BY14" s="381"/>
      <c r="BZ14" s="381"/>
      <c r="CA14" s="381"/>
      <c r="CB14" s="381" t="s">
        <v>1071</v>
      </c>
      <c r="CC14" s="381"/>
      <c r="CD14" s="381"/>
      <c r="CE14" s="381"/>
      <c r="CF14" s="381"/>
      <c r="CG14" s="381"/>
      <c r="CH14" s="381"/>
      <c r="CI14" s="381"/>
      <c r="CJ14" s="381" t="s">
        <v>1072</v>
      </c>
      <c r="CK14" s="381"/>
      <c r="CL14" s="381"/>
      <c r="CM14" s="381"/>
      <c r="CN14" s="381"/>
      <c r="CO14" s="381"/>
      <c r="CP14" s="381"/>
      <c r="CQ14" s="381"/>
    </row>
    <row r="15" spans="1:98" ht="15" customHeight="1">
      <c r="A15" s="375" t="str">
        <f>VLOOKUP(AK15,members!$A:$C,3,FALSE)</f>
        <v>Architect</v>
      </c>
      <c r="B15" s="376" t="str">
        <f>VLOOKUP(AK15,members!$A:$C,2,FALSE)</f>
        <v>David</v>
      </c>
      <c r="C15" s="376" t="str">
        <f>X15</f>
        <v>RPD-76</v>
      </c>
      <c r="D15" s="376" t="str">
        <f>AB15</f>
        <v>In Progress</v>
      </c>
      <c r="E15" s="378">
        <f>AU15</f>
        <v>46007</v>
      </c>
      <c r="F15" s="376" t="str">
        <f>W15</f>
        <v>Data Modeling Session among Architect, Celebal, and Squadron</v>
      </c>
      <c r="G15" s="376" t="str">
        <f>AX15</f>
        <v>[~ngu0018]  to work with celebal and squadron to understand their approaches regarding transition from bronze to gold....</v>
      </c>
      <c r="H15" s="376"/>
      <c r="I15" s="376"/>
      <c r="J15" s="376"/>
      <c r="K15" s="376"/>
      <c r="L15" s="376"/>
      <c r="M15" s="376"/>
      <c r="N15" s="376"/>
      <c r="O15" s="376"/>
      <c r="P15" s="376"/>
      <c r="Q15" s="376"/>
      <c r="R15" s="376"/>
      <c r="S15" s="376"/>
      <c r="T15" s="376"/>
      <c r="U15" s="376"/>
      <c r="V15" s="376"/>
      <c r="W15" s="381" t="s">
        <v>1073</v>
      </c>
      <c r="X15" s="381" t="s">
        <v>1074</v>
      </c>
      <c r="Y15" s="381">
        <v>190158</v>
      </c>
      <c r="Z15" s="381"/>
      <c r="AA15" s="381" t="s">
        <v>992</v>
      </c>
      <c r="AB15" s="381" t="s">
        <v>993</v>
      </c>
      <c r="AC15" s="381" t="s">
        <v>980</v>
      </c>
      <c r="AD15" s="381" t="s">
        <v>981</v>
      </c>
      <c r="AE15" s="381" t="s">
        <v>982</v>
      </c>
      <c r="AF15" s="381" t="s">
        <v>983</v>
      </c>
      <c r="AG15" s="381"/>
      <c r="AH15" s="381"/>
      <c r="AI15" s="381" t="s">
        <v>984</v>
      </c>
      <c r="AJ15" s="381"/>
      <c r="AK15" s="381" t="s">
        <v>1075</v>
      </c>
      <c r="AL15" s="381" t="s">
        <v>986</v>
      </c>
      <c r="AM15" s="381" t="s">
        <v>986</v>
      </c>
      <c r="AN15" s="382">
        <v>45999.461111111108</v>
      </c>
      <c r="AO15" s="382">
        <v>46001.434027777781</v>
      </c>
      <c r="AP15" s="382">
        <v>46001.018055555556</v>
      </c>
      <c r="AQ15" s="381"/>
      <c r="AR15" s="381"/>
      <c r="AS15" s="381"/>
      <c r="AT15" s="381"/>
      <c r="AU15" s="382">
        <v>46007</v>
      </c>
      <c r="AV15" s="381">
        <v>0</v>
      </c>
      <c r="AW15" s="381" t="s">
        <v>987</v>
      </c>
      <c r="AX15" s="381" t="s">
        <v>1076</v>
      </c>
      <c r="AY15" s="381" t="s">
        <v>1075</v>
      </c>
      <c r="AZ15" s="381" t="s">
        <v>986</v>
      </c>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t="s">
        <v>1077</v>
      </c>
      <c r="CC15" s="381"/>
      <c r="CD15" s="381"/>
      <c r="CE15" s="381"/>
      <c r="CF15" s="381"/>
      <c r="CG15" s="381"/>
      <c r="CH15" s="381"/>
      <c r="CI15" s="381"/>
      <c r="CJ15" s="381" t="s">
        <v>1078</v>
      </c>
      <c r="CK15" s="381"/>
      <c r="CL15" s="381"/>
      <c r="CM15" s="381"/>
      <c r="CN15" s="381"/>
      <c r="CO15" s="381"/>
      <c r="CP15" s="381"/>
      <c r="CQ15" s="381"/>
    </row>
    <row r="16" spans="1:98" ht="15" customHeight="1">
      <c r="A16" s="375" t="str">
        <f>VLOOKUP(AK16,members!$A:$C,3,FALSE)</f>
        <v>BDA</v>
      </c>
      <c r="B16" s="376" t="str">
        <f>VLOOKUP(AK16,members!$A:$C,2,FALSE)</f>
        <v>VPS</v>
      </c>
      <c r="C16" s="376" t="str">
        <f>X16</f>
        <v>RPD-62</v>
      </c>
      <c r="D16" s="376" t="str">
        <f>AB16</f>
        <v>Done</v>
      </c>
      <c r="E16" s="378">
        <f>AU16</f>
        <v>45985</v>
      </c>
      <c r="F16" s="376" t="str">
        <f>W16</f>
        <v>Logic review with Manzoor</v>
      </c>
      <c r="G16" s="376" t="str">
        <f>AX16</f>
        <v>[~sau0093] and [~cvps10]  to reach out to [~bab0040]  to review set/lift logic_x000D_
_x000D_
Use workorder information_x000D_
_x000D_
consider using OPTRN TABLE and TRAIN.TRAIN_ACTUAL_WORK_x000D_
_x000D_
YARD_RPRTNG_IND = 'Y' for b-flag station in TRAIN_PLAN_EVENT table</v>
      </c>
      <c r="H16" s="376"/>
      <c r="I16" s="376"/>
      <c r="J16" s="376"/>
      <c r="K16" s="376"/>
      <c r="L16" s="376"/>
      <c r="M16" s="376"/>
      <c r="N16" s="376"/>
      <c r="O16" s="376"/>
      <c r="P16" s="376"/>
      <c r="Q16" s="376"/>
      <c r="R16" s="376"/>
      <c r="S16" s="376"/>
      <c r="T16" s="376"/>
      <c r="U16" s="376"/>
      <c r="V16" s="376"/>
      <c r="W16" s="381" t="s">
        <v>1079</v>
      </c>
      <c r="X16" s="381" t="s">
        <v>1080</v>
      </c>
      <c r="Y16" s="381">
        <v>188704</v>
      </c>
      <c r="Z16" s="381">
        <v>188014</v>
      </c>
      <c r="AA16" s="381" t="s">
        <v>978</v>
      </c>
      <c r="AB16" s="381" t="s">
        <v>1061</v>
      </c>
      <c r="AC16" s="381" t="s">
        <v>980</v>
      </c>
      <c r="AD16" s="381" t="s">
        <v>981</v>
      </c>
      <c r="AE16" s="381" t="s">
        <v>982</v>
      </c>
      <c r="AF16" s="381" t="s">
        <v>983</v>
      </c>
      <c r="AG16" s="381"/>
      <c r="AH16" s="381"/>
      <c r="AI16" s="381" t="s">
        <v>984</v>
      </c>
      <c r="AJ16" s="381" t="s">
        <v>1061</v>
      </c>
      <c r="AK16" s="381" t="s">
        <v>1001</v>
      </c>
      <c r="AL16" s="381" t="s">
        <v>986</v>
      </c>
      <c r="AM16" s="381" t="s">
        <v>986</v>
      </c>
      <c r="AN16" s="382">
        <v>45982.47152777778</v>
      </c>
      <c r="AO16" s="382">
        <v>45992.470833333333</v>
      </c>
      <c r="AP16" s="382">
        <v>46001.018055555556</v>
      </c>
      <c r="AQ16" s="382">
        <v>45992.470833333333</v>
      </c>
      <c r="AR16" s="381"/>
      <c r="AS16" s="381"/>
      <c r="AT16" s="381"/>
      <c r="AU16" s="382">
        <v>45985</v>
      </c>
      <c r="AV16" s="381">
        <v>0</v>
      </c>
      <c r="AW16" s="381"/>
      <c r="AX16" s="381" t="s">
        <v>1081</v>
      </c>
      <c r="AY16" s="381" t="s">
        <v>1082</v>
      </c>
      <c r="AZ16" s="381" t="s">
        <v>986</v>
      </c>
      <c r="BA16" s="381"/>
      <c r="BB16" s="381"/>
      <c r="BC16" s="381"/>
      <c r="BD16" s="381"/>
      <c r="BE16" s="381"/>
      <c r="BF16" s="381"/>
      <c r="BG16" s="381"/>
      <c r="BH16" s="381"/>
      <c r="BI16" s="381"/>
      <c r="BJ16" s="381"/>
      <c r="BK16" s="381"/>
      <c r="BL16" s="381"/>
      <c r="BM16" s="381"/>
      <c r="BN16" s="381"/>
      <c r="BO16" s="381"/>
      <c r="BP16" s="381"/>
      <c r="BQ16" s="381"/>
      <c r="BR16" s="381"/>
      <c r="BS16" s="381"/>
      <c r="BT16" s="381"/>
      <c r="BU16" s="381"/>
      <c r="BV16" s="381"/>
      <c r="BW16" s="381"/>
      <c r="BX16" s="381"/>
      <c r="BY16" s="381"/>
      <c r="BZ16" s="381"/>
      <c r="CA16" s="381"/>
      <c r="CB16" s="381" t="s">
        <v>1083</v>
      </c>
      <c r="CC16" s="381"/>
      <c r="CD16" s="381"/>
      <c r="CE16" s="381"/>
      <c r="CF16" s="381"/>
      <c r="CG16" s="381"/>
      <c r="CH16" s="381"/>
      <c r="CI16" s="381"/>
      <c r="CJ16" s="381" t="s">
        <v>1084</v>
      </c>
      <c r="CK16" s="381"/>
      <c r="CL16" s="381"/>
      <c r="CM16" s="381"/>
      <c r="CN16" s="381"/>
      <c r="CO16" s="381"/>
      <c r="CP16" s="381"/>
      <c r="CQ16" s="381"/>
    </row>
    <row r="17" spans="1:96" ht="15" customHeight="1">
      <c r="A17" s="375" t="str">
        <f>VLOOKUP(AK17,members!$A:$C,3,FALSE)</f>
        <v>Squadron</v>
      </c>
      <c r="B17" s="376" t="str">
        <f>VLOOKUP(AK17,members!$A:$C,2,FALSE)</f>
        <v>Hisham</v>
      </c>
      <c r="C17" s="376" t="str">
        <f>X17</f>
        <v>RPD-70</v>
      </c>
      <c r="D17" s="376" t="str">
        <f>AB17</f>
        <v>Backlog</v>
      </c>
      <c r="E17" s="378">
        <f>AU17</f>
        <v>46001</v>
      </c>
      <c r="F17" s="376" t="str">
        <f>W17</f>
        <v>Identifying SAP tables for Rail360</v>
      </c>
      <c r="G17" s="376" t="str">
        <f>AX17</f>
        <v>[~dan0243]  to check with [~che0157] </v>
      </c>
      <c r="H17" s="376"/>
      <c r="I17" s="376"/>
      <c r="J17" s="376"/>
      <c r="K17" s="376"/>
      <c r="L17" s="376"/>
      <c r="M17" s="376"/>
      <c r="N17" s="376"/>
      <c r="O17" s="376"/>
      <c r="P17" s="376"/>
      <c r="Q17" s="376"/>
      <c r="R17" s="376"/>
      <c r="S17" s="376"/>
      <c r="T17" s="376"/>
      <c r="U17" s="376"/>
      <c r="V17" s="376"/>
      <c r="W17" s="381" t="s">
        <v>1085</v>
      </c>
      <c r="X17" s="381" t="s">
        <v>1086</v>
      </c>
      <c r="Y17" s="381">
        <v>189941</v>
      </c>
      <c r="Z17" s="381"/>
      <c r="AA17" s="381" t="s">
        <v>1087</v>
      </c>
      <c r="AB17" s="381" t="s">
        <v>1088</v>
      </c>
      <c r="AC17" s="381" t="s">
        <v>980</v>
      </c>
      <c r="AD17" s="381" t="s">
        <v>981</v>
      </c>
      <c r="AE17" s="381" t="s">
        <v>982</v>
      </c>
      <c r="AF17" s="381" t="s">
        <v>983</v>
      </c>
      <c r="AG17" s="381"/>
      <c r="AH17" s="381"/>
      <c r="AI17" s="381" t="s">
        <v>984</v>
      </c>
      <c r="AJ17" s="381"/>
      <c r="AK17" s="381" t="s">
        <v>1009</v>
      </c>
      <c r="AL17" s="381" t="s">
        <v>1009</v>
      </c>
      <c r="AM17" s="381" t="s">
        <v>1009</v>
      </c>
      <c r="AN17" s="382">
        <v>45994.620138888888</v>
      </c>
      <c r="AO17" s="382">
        <v>45999.463194444441</v>
      </c>
      <c r="AP17" s="382">
        <v>46001.015972222223</v>
      </c>
      <c r="AQ17" s="381"/>
      <c r="AR17" s="381"/>
      <c r="AS17" s="381"/>
      <c r="AT17" s="381"/>
      <c r="AU17" s="382">
        <v>46001</v>
      </c>
      <c r="AV17" s="381">
        <v>0</v>
      </c>
      <c r="AW17" s="381"/>
      <c r="AX17" s="381" t="s">
        <v>1089</v>
      </c>
      <c r="AY17" s="381" t="s">
        <v>1009</v>
      </c>
      <c r="AZ17" s="381" t="s">
        <v>986</v>
      </c>
      <c r="BA17" s="381"/>
      <c r="BB17" s="381"/>
      <c r="BC17" s="381"/>
      <c r="BD17" s="381"/>
      <c r="BE17" s="381"/>
      <c r="BF17" s="381"/>
      <c r="BG17" s="381"/>
      <c r="BH17" s="381"/>
      <c r="BI17" s="381"/>
      <c r="BJ17" s="381"/>
      <c r="BK17" s="381"/>
      <c r="BL17" s="381"/>
      <c r="BM17" s="381"/>
      <c r="BN17" s="381"/>
      <c r="BO17" s="381"/>
      <c r="BP17" s="381"/>
      <c r="BQ17" s="381"/>
      <c r="BR17" s="381"/>
      <c r="BS17" s="381"/>
      <c r="BT17" s="381"/>
      <c r="BU17" s="381"/>
      <c r="BV17" s="381"/>
      <c r="BW17" s="381"/>
      <c r="BX17" s="381"/>
      <c r="BY17" s="381"/>
      <c r="BZ17" s="381"/>
      <c r="CA17" s="381"/>
      <c r="CB17" s="381" t="s">
        <v>1090</v>
      </c>
      <c r="CC17" s="381"/>
      <c r="CD17" s="381"/>
      <c r="CE17" s="381"/>
      <c r="CF17" s="381"/>
      <c r="CG17" s="381"/>
      <c r="CH17" s="381"/>
      <c r="CI17" s="381"/>
      <c r="CJ17" s="381" t="s">
        <v>1091</v>
      </c>
      <c r="CK17" s="381"/>
      <c r="CL17" s="381"/>
      <c r="CM17" s="381"/>
      <c r="CN17" s="381"/>
      <c r="CO17" s="381"/>
      <c r="CP17" s="381"/>
      <c r="CQ17" s="381"/>
    </row>
    <row r="18" spans="1:96" ht="15" customHeight="1">
      <c r="A18" s="375" t="str">
        <f>VLOOKUP(AK18,members!$A:$C,3,FALSE)</f>
        <v>Squadron</v>
      </c>
      <c r="B18" s="376" t="str">
        <f>VLOOKUP(AK18,members!$A:$C,2,FALSE)</f>
        <v>Babu</v>
      </c>
      <c r="C18" s="376" t="str">
        <f>X18</f>
        <v>RPD-78</v>
      </c>
      <c r="D18" s="376" t="str">
        <f>AB18</f>
        <v>To Do</v>
      </c>
      <c r="E18" s="378">
        <f>AU18</f>
        <v>46007</v>
      </c>
      <c r="F18" s="376" t="str">
        <f>W18</f>
        <v>Snowflake Data Model Creation - Bronze to Silver</v>
      </c>
      <c r="G18" s="376" t="str">
        <f>AX18</f>
        <v>[~tha0073]  to update data model within snowflake_x000D_
_x000D_
 </v>
      </c>
      <c r="H18" s="376"/>
      <c r="I18" s="376"/>
      <c r="J18" s="376"/>
      <c r="K18" s="376"/>
      <c r="L18" s="376"/>
      <c r="M18" s="376"/>
      <c r="N18" s="376"/>
      <c r="O18" s="376"/>
      <c r="P18" s="376"/>
      <c r="Q18" s="376"/>
      <c r="R18" s="376"/>
      <c r="S18" s="376"/>
      <c r="T18" s="376"/>
      <c r="U18" s="376"/>
      <c r="V18" s="376"/>
      <c r="W18" s="381" t="s">
        <v>1092</v>
      </c>
      <c r="X18" s="381" t="s">
        <v>1093</v>
      </c>
      <c r="Y18" s="381">
        <v>190161</v>
      </c>
      <c r="Z18" s="381">
        <v>189315</v>
      </c>
      <c r="AA18" s="381" t="s">
        <v>978</v>
      </c>
      <c r="AB18" s="381" t="s">
        <v>979</v>
      </c>
      <c r="AC18" s="381" t="s">
        <v>980</v>
      </c>
      <c r="AD18" s="381" t="s">
        <v>981</v>
      </c>
      <c r="AE18" s="381" t="s">
        <v>982</v>
      </c>
      <c r="AF18" s="381" t="s">
        <v>983</v>
      </c>
      <c r="AG18" s="381"/>
      <c r="AH18" s="381"/>
      <c r="AI18" s="381" t="s">
        <v>984</v>
      </c>
      <c r="AJ18" s="381"/>
      <c r="AK18" s="381" t="s">
        <v>1094</v>
      </c>
      <c r="AL18" s="381" t="s">
        <v>986</v>
      </c>
      <c r="AM18" s="381" t="s">
        <v>986</v>
      </c>
      <c r="AN18" s="382">
        <v>45999.47152777778</v>
      </c>
      <c r="AO18" s="382">
        <v>45999.472916666666</v>
      </c>
      <c r="AP18" s="382">
        <v>46001.015277777777</v>
      </c>
      <c r="AQ18" s="381"/>
      <c r="AR18" s="381"/>
      <c r="AS18" s="381"/>
      <c r="AT18" s="381"/>
      <c r="AU18" s="382">
        <v>46007</v>
      </c>
      <c r="AV18" s="381">
        <v>0</v>
      </c>
      <c r="AW18" s="381" t="s">
        <v>987</v>
      </c>
      <c r="AX18" s="381" t="s">
        <v>1095</v>
      </c>
      <c r="AY18" s="381" t="s">
        <v>986</v>
      </c>
      <c r="AZ18" s="381"/>
      <c r="BA18" s="381"/>
      <c r="BB18" s="381"/>
      <c r="BC18" s="381"/>
      <c r="BD18" s="381"/>
      <c r="BE18" s="381"/>
      <c r="BF18" s="381"/>
      <c r="BG18" s="381"/>
      <c r="BH18" s="381"/>
      <c r="BI18" s="381"/>
      <c r="BJ18" s="381"/>
      <c r="BK18" s="381"/>
      <c r="BL18" s="381"/>
      <c r="BM18" s="381"/>
      <c r="BN18" s="381"/>
      <c r="BO18" s="381"/>
      <c r="BP18" s="381"/>
      <c r="BQ18" s="381"/>
      <c r="BR18" s="381"/>
      <c r="BS18" s="381"/>
      <c r="BT18" s="381"/>
      <c r="BU18" s="381"/>
      <c r="BV18" s="381"/>
      <c r="BW18" s="381"/>
      <c r="BX18" s="381"/>
      <c r="BY18" s="381"/>
      <c r="BZ18" s="381"/>
      <c r="CA18" s="381"/>
      <c r="CB18" s="381" t="s">
        <v>1096</v>
      </c>
      <c r="CC18" s="381"/>
      <c r="CD18" s="381"/>
      <c r="CE18" s="381"/>
      <c r="CF18" s="381"/>
      <c r="CG18" s="381"/>
      <c r="CH18" s="381"/>
      <c r="CI18" s="381"/>
      <c r="CJ18" s="381"/>
      <c r="CK18" s="381"/>
      <c r="CL18" s="381"/>
      <c r="CM18" s="381"/>
      <c r="CN18" s="381"/>
      <c r="CO18" s="381"/>
      <c r="CP18" s="381"/>
      <c r="CQ18" s="381"/>
    </row>
    <row r="19" spans="1:96" ht="15" customHeight="1">
      <c r="A19" s="375" t="str">
        <f>VLOOKUP(AK19,members!$A:$C,3,FALSE)</f>
        <v>Celebal</v>
      </c>
      <c r="B19" s="376" t="str">
        <f>VLOOKUP(AK19,members!$A:$C,2,FALSE)</f>
        <v>Jatin</v>
      </c>
      <c r="C19" s="376" t="str">
        <f>X19</f>
        <v>RPD-75</v>
      </c>
      <c r="D19" s="376" t="str">
        <f>AB19</f>
        <v>Done</v>
      </c>
      <c r="E19" s="378">
        <f>AU19</f>
        <v>45996</v>
      </c>
      <c r="F19" s="376" t="str">
        <f>W19</f>
        <v>AI - Foundation building check list to be completed</v>
      </c>
      <c r="G19" s="376" t="str">
        <f>AX19</f>
        <v>[~aro0027] to complete AI foundation checklist for Rail 360's (all layers)</v>
      </c>
      <c r="H19" s="376"/>
      <c r="I19" s="376"/>
      <c r="J19" s="376"/>
      <c r="K19" s="376"/>
      <c r="L19" s="376"/>
      <c r="M19" s="376"/>
      <c r="N19" s="376"/>
      <c r="O19" s="376"/>
      <c r="P19" s="376"/>
      <c r="Q19" s="376"/>
      <c r="R19" s="376"/>
      <c r="S19" s="376"/>
      <c r="T19" s="376"/>
      <c r="U19" s="376"/>
      <c r="V19" s="376"/>
      <c r="W19" s="381" t="s">
        <v>1097</v>
      </c>
      <c r="X19" s="381" t="s">
        <v>1098</v>
      </c>
      <c r="Y19" s="381">
        <v>190030</v>
      </c>
      <c r="Z19" s="381">
        <v>190029</v>
      </c>
      <c r="AA19" s="381" t="s">
        <v>978</v>
      </c>
      <c r="AB19" s="381" t="s">
        <v>1061</v>
      </c>
      <c r="AC19" s="381" t="s">
        <v>980</v>
      </c>
      <c r="AD19" s="381" t="s">
        <v>981</v>
      </c>
      <c r="AE19" s="381" t="s">
        <v>982</v>
      </c>
      <c r="AF19" s="381" t="s">
        <v>983</v>
      </c>
      <c r="AG19" s="381"/>
      <c r="AH19" s="381"/>
      <c r="AI19" s="381" t="s">
        <v>984</v>
      </c>
      <c r="AJ19" s="381" t="s">
        <v>1061</v>
      </c>
      <c r="AK19" s="381" t="s">
        <v>1099</v>
      </c>
      <c r="AL19" s="381" t="s">
        <v>986</v>
      </c>
      <c r="AM19" s="381" t="s">
        <v>986</v>
      </c>
      <c r="AN19" s="382">
        <v>45996.493055555555</v>
      </c>
      <c r="AO19" s="382">
        <v>46001.226388888892</v>
      </c>
      <c r="AP19" s="382">
        <v>46001.015277777777</v>
      </c>
      <c r="AQ19" s="382">
        <v>46001.226388888892</v>
      </c>
      <c r="AR19" s="381"/>
      <c r="AS19" s="381"/>
      <c r="AT19" s="381"/>
      <c r="AU19" s="382">
        <v>45996</v>
      </c>
      <c r="AV19" s="381">
        <v>0</v>
      </c>
      <c r="AW19" s="381" t="s">
        <v>987</v>
      </c>
      <c r="AX19" s="381" t="s">
        <v>1100</v>
      </c>
      <c r="AY19" s="381" t="s">
        <v>1099</v>
      </c>
      <c r="AZ19" s="381" t="s">
        <v>986</v>
      </c>
      <c r="BA19" s="381"/>
      <c r="BB19" s="381"/>
      <c r="BC19" s="381"/>
      <c r="BD19" s="381"/>
      <c r="BE19" s="381"/>
      <c r="BF19" s="381"/>
      <c r="BG19" s="381"/>
      <c r="BH19" s="381"/>
      <c r="BI19" s="381"/>
      <c r="BJ19" s="381"/>
      <c r="BK19" s="381"/>
      <c r="BL19" s="381"/>
      <c r="BM19" s="381"/>
      <c r="BN19" s="381"/>
      <c r="BO19" s="381"/>
      <c r="BP19" s="381"/>
      <c r="BQ19" s="381"/>
      <c r="BR19" s="381"/>
      <c r="BS19" s="381"/>
      <c r="BT19" s="381"/>
      <c r="BU19" s="381"/>
      <c r="BV19" s="381"/>
      <c r="BW19" s="381"/>
      <c r="BX19" s="381"/>
      <c r="BY19" s="381"/>
      <c r="BZ19" s="381"/>
      <c r="CA19" s="381"/>
      <c r="CB19" s="381" t="s">
        <v>1101</v>
      </c>
      <c r="CC19" s="381"/>
      <c r="CD19" s="381"/>
      <c r="CE19" s="381"/>
      <c r="CF19" s="381"/>
      <c r="CG19" s="381"/>
      <c r="CH19" s="381"/>
      <c r="CI19" s="381"/>
      <c r="CJ19" s="381" t="s">
        <v>1102</v>
      </c>
      <c r="CK19" s="381" t="s">
        <v>1103</v>
      </c>
      <c r="CL19" s="381"/>
      <c r="CM19" s="381"/>
      <c r="CN19" s="381"/>
      <c r="CO19" s="381"/>
      <c r="CP19" s="381"/>
      <c r="CQ19" s="381"/>
    </row>
    <row r="20" spans="1:96" ht="15" customHeight="1">
      <c r="A20" s="375" t="str">
        <f>VLOOKUP(AK20,members!$A:$C,3,FALSE)</f>
        <v>Celebal</v>
      </c>
      <c r="B20" s="379" t="str">
        <f>VLOOKUP(AK20,members!$A:$C,2,FALSE)</f>
        <v>Jatin</v>
      </c>
      <c r="C20" s="379" t="str">
        <f>X20</f>
        <v>RPD-74</v>
      </c>
      <c r="D20" s="379" t="str">
        <f>AB20</f>
        <v>In Progress</v>
      </c>
      <c r="E20" s="378">
        <f>AU20</f>
        <v>46052</v>
      </c>
      <c r="F20" s="379" t="str">
        <f>W20</f>
        <v>AI - Foundation building</v>
      </c>
      <c r="G20" s="379" t="str">
        <f>AX20</f>
        <v>building and monitoring foundation of AI platform for Rail 360 led by [~aro0027] </v>
      </c>
      <c r="H20" s="379"/>
      <c r="I20" s="379"/>
      <c r="J20" s="379"/>
      <c r="K20" s="379"/>
      <c r="L20" s="379"/>
      <c r="M20" s="379"/>
      <c r="N20" s="379"/>
      <c r="O20" s="379"/>
      <c r="P20" s="379"/>
      <c r="Q20" s="379"/>
      <c r="R20" s="379"/>
      <c r="S20" s="379"/>
      <c r="T20" s="379"/>
      <c r="U20" s="379"/>
      <c r="V20" s="379"/>
      <c r="W20" s="381" t="s">
        <v>1104</v>
      </c>
      <c r="X20" s="381" t="s">
        <v>1105</v>
      </c>
      <c r="Y20" s="381">
        <v>190029</v>
      </c>
      <c r="Z20" s="381"/>
      <c r="AA20" s="381" t="s">
        <v>992</v>
      </c>
      <c r="AB20" s="381" t="s">
        <v>993</v>
      </c>
      <c r="AC20" s="381" t="s">
        <v>980</v>
      </c>
      <c r="AD20" s="381" t="s">
        <v>981</v>
      </c>
      <c r="AE20" s="381" t="s">
        <v>982</v>
      </c>
      <c r="AF20" s="381" t="s">
        <v>983</v>
      </c>
      <c r="AG20" s="381"/>
      <c r="AH20" s="381"/>
      <c r="AI20" s="381" t="s">
        <v>984</v>
      </c>
      <c r="AJ20" s="381"/>
      <c r="AK20" s="381" t="s">
        <v>1099</v>
      </c>
      <c r="AL20" s="381" t="s">
        <v>986</v>
      </c>
      <c r="AM20" s="381" t="s">
        <v>986</v>
      </c>
      <c r="AN20" s="382">
        <v>45996.492361111108</v>
      </c>
      <c r="AO20" s="382">
        <v>46000.463194444441</v>
      </c>
      <c r="AP20" s="382">
        <v>46001.015277777777</v>
      </c>
      <c r="AQ20" s="381"/>
      <c r="AR20" s="381"/>
      <c r="AS20" s="381"/>
      <c r="AT20" s="381"/>
      <c r="AU20" s="382">
        <v>46052</v>
      </c>
      <c r="AV20" s="381">
        <v>0</v>
      </c>
      <c r="AW20" s="381" t="s">
        <v>987</v>
      </c>
      <c r="AX20" s="381" t="s">
        <v>1106</v>
      </c>
      <c r="AY20" s="381" t="s">
        <v>1099</v>
      </c>
      <c r="AZ20" s="381" t="s">
        <v>986</v>
      </c>
      <c r="BA20" s="381"/>
      <c r="BB20" s="381"/>
      <c r="BC20" s="381"/>
      <c r="BD20" s="381"/>
      <c r="BE20" s="381"/>
      <c r="BF20" s="381"/>
      <c r="BG20" s="381"/>
      <c r="BH20" s="381"/>
      <c r="BI20" s="381"/>
      <c r="BJ20" s="381"/>
      <c r="BK20" s="381"/>
      <c r="BL20" s="381"/>
      <c r="BM20" s="381"/>
      <c r="BN20" s="381"/>
      <c r="BO20" s="381"/>
      <c r="BP20" s="381"/>
      <c r="BQ20" s="381"/>
      <c r="BR20" s="381"/>
      <c r="BS20" s="381"/>
      <c r="BT20" s="381"/>
      <c r="BU20" s="381"/>
      <c r="BV20" s="381"/>
      <c r="BW20" s="381"/>
      <c r="BX20" s="381"/>
      <c r="BY20" s="381"/>
      <c r="BZ20" s="381"/>
      <c r="CA20" s="381"/>
      <c r="CB20" s="381" t="s">
        <v>1107</v>
      </c>
      <c r="CC20" s="381"/>
      <c r="CD20" s="381"/>
      <c r="CE20" s="381"/>
      <c r="CF20" s="381"/>
      <c r="CG20" s="381"/>
      <c r="CH20" s="381"/>
      <c r="CI20" s="381"/>
      <c r="CJ20" s="381" t="s">
        <v>1108</v>
      </c>
      <c r="CK20" s="381"/>
      <c r="CL20" s="381"/>
      <c r="CM20" s="381"/>
      <c r="CN20" s="381"/>
      <c r="CO20" s="381"/>
      <c r="CP20" s="381"/>
      <c r="CQ20" s="381"/>
    </row>
    <row r="21" spans="1:96" ht="15" customHeight="1">
      <c r="A21" s="375" t="str">
        <f>VLOOKUP(AK21,members!$A:$C,3,FALSE)</f>
        <v>Squadron</v>
      </c>
      <c r="B21" s="376" t="str">
        <f>VLOOKUP(AK21,members!$A:$C,2,FALSE)</f>
        <v>Harshil Patel</v>
      </c>
      <c r="C21" s="376" t="str">
        <f>X21</f>
        <v>RPD-77</v>
      </c>
      <c r="D21" s="376" t="str">
        <f>AB21</f>
        <v>In Progress</v>
      </c>
      <c r="E21" s="378">
        <f>AU21</f>
        <v>45999</v>
      </c>
      <c r="F21" s="376" t="str">
        <f>W21</f>
        <v>ER diagram review</v>
      </c>
      <c r="G21" s="376" t="str">
        <f>AX21</f>
        <v>[~pat0606]  [~tha0073]  to complete review of ER diagram files</v>
      </c>
      <c r="H21" s="376"/>
      <c r="I21" s="376"/>
      <c r="J21" s="376"/>
      <c r="K21" s="376"/>
      <c r="L21" s="376"/>
      <c r="M21" s="376"/>
      <c r="N21" s="376"/>
      <c r="O21" s="376"/>
      <c r="P21" s="376"/>
      <c r="Q21" s="376"/>
      <c r="R21" s="376"/>
      <c r="S21" s="376"/>
      <c r="T21" s="376"/>
      <c r="U21" s="376"/>
      <c r="V21" s="376"/>
      <c r="W21" s="381" t="s">
        <v>1109</v>
      </c>
      <c r="X21" s="381" t="s">
        <v>1110</v>
      </c>
      <c r="Y21" s="381">
        <v>190160</v>
      </c>
      <c r="Z21" s="381">
        <v>189315</v>
      </c>
      <c r="AA21" s="381" t="s">
        <v>978</v>
      </c>
      <c r="AB21" s="381" t="s">
        <v>993</v>
      </c>
      <c r="AC21" s="381" t="s">
        <v>980</v>
      </c>
      <c r="AD21" s="381" t="s">
        <v>981</v>
      </c>
      <c r="AE21" s="381" t="s">
        <v>982</v>
      </c>
      <c r="AF21" s="381" t="s">
        <v>983</v>
      </c>
      <c r="AG21" s="381"/>
      <c r="AH21" s="381"/>
      <c r="AI21" s="381" t="s">
        <v>984</v>
      </c>
      <c r="AJ21" s="381"/>
      <c r="AK21" s="381" t="s">
        <v>1015</v>
      </c>
      <c r="AL21" s="381" t="s">
        <v>986</v>
      </c>
      <c r="AM21" s="381" t="s">
        <v>986</v>
      </c>
      <c r="AN21" s="382">
        <v>45999.469444444447</v>
      </c>
      <c r="AO21" s="382">
        <v>46001.470138888886</v>
      </c>
      <c r="AP21" s="382">
        <v>45999.481944444444</v>
      </c>
      <c r="AQ21" s="381"/>
      <c r="AR21" s="381"/>
      <c r="AS21" s="381"/>
      <c r="AT21" s="381"/>
      <c r="AU21" s="382">
        <v>45999</v>
      </c>
      <c r="AV21" s="381">
        <v>0</v>
      </c>
      <c r="AW21" s="381" t="s">
        <v>987</v>
      </c>
      <c r="AX21" s="381" t="s">
        <v>1111</v>
      </c>
      <c r="AY21" s="381" t="s">
        <v>1009</v>
      </c>
      <c r="AZ21" s="381" t="s">
        <v>986</v>
      </c>
      <c r="BA21" s="381"/>
      <c r="BB21" s="381"/>
      <c r="BC21" s="381"/>
      <c r="BD21" s="381"/>
      <c r="BE21" s="381"/>
      <c r="BF21" s="381"/>
      <c r="BG21" s="381"/>
      <c r="BH21" s="381"/>
      <c r="BI21" s="381"/>
      <c r="BJ21" s="381"/>
      <c r="BK21" s="381"/>
      <c r="BL21" s="381"/>
      <c r="BM21" s="381"/>
      <c r="BN21" s="381"/>
      <c r="BO21" s="381"/>
      <c r="BP21" s="381"/>
      <c r="BQ21" s="381"/>
      <c r="BR21" s="381"/>
      <c r="BS21" s="381"/>
      <c r="BT21" s="381"/>
      <c r="BU21" s="381"/>
      <c r="BV21" s="381"/>
      <c r="BW21" s="381"/>
      <c r="BX21" s="381"/>
      <c r="BY21" s="381"/>
      <c r="BZ21" s="381"/>
      <c r="CA21" s="381"/>
      <c r="CB21" s="381" t="s">
        <v>1112</v>
      </c>
      <c r="CC21" s="381"/>
      <c r="CD21" s="381"/>
      <c r="CE21" s="381"/>
      <c r="CF21" s="381"/>
      <c r="CG21" s="381"/>
      <c r="CH21" s="381"/>
      <c r="CI21" s="381"/>
      <c r="CJ21" s="381" t="s">
        <v>1113</v>
      </c>
      <c r="CK21" s="381" t="s">
        <v>1114</v>
      </c>
      <c r="CL21" s="381" t="s">
        <v>1115</v>
      </c>
      <c r="CM21" s="381" t="s">
        <v>1116</v>
      </c>
      <c r="CN21" s="381"/>
      <c r="CO21" s="381"/>
      <c r="CP21" s="381"/>
      <c r="CQ21" s="381"/>
    </row>
    <row r="22" spans="1:96" ht="15" customHeight="1">
      <c r="A22" s="375" t="str">
        <f>VLOOKUP(AK22,members!$A:$C,3,FALSE)</f>
        <v>QE</v>
      </c>
      <c r="B22" s="376" t="str">
        <f>VLOOKUP(AK22,members!$A:$C,2,FALSE)</f>
        <v>VishnuB</v>
      </c>
      <c r="C22" s="376" t="str">
        <f>X22</f>
        <v>RPD-80</v>
      </c>
      <c r="D22" s="376" t="str">
        <f>AB22</f>
        <v>To Do</v>
      </c>
      <c r="E22" s="378">
        <f>AU22</f>
        <v>46002</v>
      </c>
      <c r="F22" s="376" t="str">
        <f>W22</f>
        <v>MDM entity testing - DIM commodity DIM customer DIM equipment tables.</v>
      </c>
      <c r="G22" s="376" t="str">
        <f>AX22</f>
        <v>[~bor0475] and [~sid0070] to initiate and take on...  checking and automating tables related to DIM commodity DIM customer DIM equipment tables._x000D_
_x000D_
ensure [~seh0018]  and [~ric0230]  are involved and aligned</v>
      </c>
      <c r="H22" s="376"/>
      <c r="I22" s="376"/>
      <c r="J22" s="376"/>
      <c r="K22" s="376"/>
      <c r="L22" s="376"/>
      <c r="M22" s="376"/>
      <c r="N22" s="376"/>
      <c r="O22" s="376"/>
      <c r="P22" s="376"/>
      <c r="Q22" s="376"/>
      <c r="R22" s="376"/>
      <c r="S22" s="376"/>
      <c r="T22" s="376"/>
      <c r="U22" s="376"/>
      <c r="V22" s="376"/>
      <c r="W22" s="381" t="s">
        <v>1117</v>
      </c>
      <c r="X22" s="381" t="s">
        <v>1118</v>
      </c>
      <c r="Y22" s="381">
        <v>190167</v>
      </c>
      <c r="Z22" s="381"/>
      <c r="AA22" s="381" t="s">
        <v>992</v>
      </c>
      <c r="AB22" s="381" t="s">
        <v>979</v>
      </c>
      <c r="AC22" s="381" t="s">
        <v>980</v>
      </c>
      <c r="AD22" s="381" t="s">
        <v>981</v>
      </c>
      <c r="AE22" s="381" t="s">
        <v>982</v>
      </c>
      <c r="AF22" s="381" t="s">
        <v>983</v>
      </c>
      <c r="AG22" s="381"/>
      <c r="AH22" s="381"/>
      <c r="AI22" s="381" t="s">
        <v>984</v>
      </c>
      <c r="AJ22" s="381"/>
      <c r="AK22" s="381" t="s">
        <v>1119</v>
      </c>
      <c r="AL22" s="381" t="s">
        <v>986</v>
      </c>
      <c r="AM22" s="381" t="s">
        <v>986</v>
      </c>
      <c r="AN22" s="382">
        <v>45999.481249999997</v>
      </c>
      <c r="AO22" s="382">
        <v>46002.45208333333</v>
      </c>
      <c r="AP22" s="382">
        <v>45999.481249999997</v>
      </c>
      <c r="AQ22" s="381"/>
      <c r="AR22" s="381"/>
      <c r="AS22" s="381"/>
      <c r="AT22" s="381"/>
      <c r="AU22" s="382">
        <v>46002</v>
      </c>
      <c r="AV22" s="381">
        <v>0</v>
      </c>
      <c r="AW22" s="381" t="s">
        <v>987</v>
      </c>
      <c r="AX22" s="381" t="s">
        <v>1120</v>
      </c>
      <c r="AY22" s="381" t="s">
        <v>1119</v>
      </c>
      <c r="AZ22" s="381" t="s">
        <v>986</v>
      </c>
      <c r="BA22" s="381"/>
      <c r="BB22" s="381"/>
      <c r="BC22" s="381"/>
      <c r="BD22" s="381"/>
      <c r="BE22" s="381"/>
      <c r="BF22" s="381"/>
      <c r="BG22" s="381"/>
      <c r="BH22" s="381"/>
      <c r="BI22" s="381"/>
      <c r="BJ22" s="381"/>
      <c r="BK22" s="381"/>
      <c r="BL22" s="381"/>
      <c r="BM22" s="381" t="s">
        <v>1121</v>
      </c>
      <c r="BN22" s="381" t="s">
        <v>1122</v>
      </c>
      <c r="BO22" s="381"/>
      <c r="BP22" s="381"/>
      <c r="BQ22" s="381"/>
      <c r="BR22" s="381"/>
      <c r="BS22" s="381"/>
      <c r="BT22" s="381"/>
      <c r="BU22" s="381"/>
      <c r="BV22" s="381"/>
      <c r="BW22" s="381"/>
      <c r="BX22" s="381"/>
      <c r="BY22" s="381"/>
      <c r="BZ22" s="381"/>
      <c r="CA22" s="381"/>
      <c r="CB22" s="381" t="s">
        <v>1123</v>
      </c>
      <c r="CC22" s="381"/>
      <c r="CD22" s="381"/>
      <c r="CE22" s="381"/>
      <c r="CF22" s="381"/>
      <c r="CG22" s="381"/>
      <c r="CH22" s="381"/>
      <c r="CI22" s="381"/>
      <c r="CJ22" s="381" t="s">
        <v>1124</v>
      </c>
      <c r="CK22" s="381" t="s">
        <v>1125</v>
      </c>
      <c r="CL22" s="381" t="s">
        <v>1126</v>
      </c>
      <c r="CM22" s="381"/>
      <c r="CN22" s="381"/>
      <c r="CO22" s="381"/>
      <c r="CP22" s="381"/>
      <c r="CQ22" s="381"/>
    </row>
    <row r="23" spans="1:96" ht="15" customHeight="1">
      <c r="A23" s="375" t="str">
        <f>VLOOKUP(AK23,members!$A:$C,3,FALSE)</f>
        <v>QE</v>
      </c>
      <c r="B23" s="376" t="str">
        <f>VLOOKUP(AK23,members!$A:$C,2,FALSE)</f>
        <v>VishnuB</v>
      </c>
      <c r="C23" s="376" t="str">
        <f>X23</f>
        <v>RPD-5</v>
      </c>
      <c r="D23" s="376" t="str">
        <f>AB23</f>
        <v>In Progress</v>
      </c>
      <c r="E23" s="378">
        <f>AU23</f>
        <v>46002</v>
      </c>
      <c r="F23" s="376" t="str">
        <f>W23</f>
        <v>Test Planning Phase 2 (P415) - Conversion of requirement into Task Cases from P140</v>
      </c>
      <c r="G23" s="376" t="str">
        <f>AX23</f>
        <v>Test Planning Phase 2 - Conversion of requirement into Task Cases from P140 requirement document_x000D_
(e.g. SADB transformation into Snowflake loading -&gt; what transformation we do -&gt; multiple subtask and testing cases to be followed)_x000D_
complete test plan with access to AWS and Cloud platforms</v>
      </c>
      <c r="H23" s="376"/>
      <c r="I23" s="376"/>
      <c r="J23" s="376"/>
      <c r="K23" s="376"/>
      <c r="L23" s="376"/>
      <c r="M23" s="376"/>
      <c r="N23" s="376"/>
      <c r="O23" s="376"/>
      <c r="P23" s="376"/>
      <c r="Q23" s="376"/>
      <c r="R23" s="376"/>
      <c r="S23" s="376"/>
      <c r="T23" s="376"/>
      <c r="U23" s="376"/>
      <c r="V23" s="376"/>
      <c r="W23" s="381" t="s">
        <v>1127</v>
      </c>
      <c r="X23" s="381" t="s">
        <v>1128</v>
      </c>
      <c r="Y23" s="381">
        <v>186078</v>
      </c>
      <c r="Z23" s="381"/>
      <c r="AA23" s="381" t="s">
        <v>992</v>
      </c>
      <c r="AB23" s="381" t="s">
        <v>993</v>
      </c>
      <c r="AC23" s="381" t="s">
        <v>980</v>
      </c>
      <c r="AD23" s="381" t="s">
        <v>981</v>
      </c>
      <c r="AE23" s="381" t="s">
        <v>982</v>
      </c>
      <c r="AF23" s="381" t="s">
        <v>983</v>
      </c>
      <c r="AG23" s="381"/>
      <c r="AH23" s="381"/>
      <c r="AI23" s="381" t="s">
        <v>984</v>
      </c>
      <c r="AJ23" s="381"/>
      <c r="AK23" s="381" t="s">
        <v>1119</v>
      </c>
      <c r="AL23" s="381" t="s">
        <v>986</v>
      </c>
      <c r="AM23" s="381" t="s">
        <v>986</v>
      </c>
      <c r="AN23" s="382">
        <v>45951.578472222223</v>
      </c>
      <c r="AO23" s="382">
        <v>46002.453472222223</v>
      </c>
      <c r="AP23" s="382">
        <v>45999.479166666664</v>
      </c>
      <c r="AQ23" s="381"/>
      <c r="AR23" s="381"/>
      <c r="AS23" s="381"/>
      <c r="AT23" s="381"/>
      <c r="AU23" s="382">
        <v>46002</v>
      </c>
      <c r="AV23" s="381">
        <v>0</v>
      </c>
      <c r="AW23" s="381" t="s">
        <v>987</v>
      </c>
      <c r="AX23" s="381" t="s">
        <v>1129</v>
      </c>
      <c r="AY23" s="381" t="s">
        <v>1119</v>
      </c>
      <c r="AZ23" s="381" t="s">
        <v>1001</v>
      </c>
      <c r="BA23" s="381" t="s">
        <v>1130</v>
      </c>
      <c r="BB23" s="381" t="s">
        <v>1069</v>
      </c>
      <c r="BC23" s="381" t="s">
        <v>986</v>
      </c>
      <c r="BD23" s="381"/>
      <c r="BE23" s="381"/>
      <c r="BF23" s="381"/>
      <c r="BG23" s="381"/>
      <c r="BH23" s="381"/>
      <c r="BI23" s="381"/>
      <c r="BJ23" s="381"/>
      <c r="BK23" s="381"/>
      <c r="BL23" s="381"/>
      <c r="BM23" s="381"/>
      <c r="BN23" s="381"/>
      <c r="BO23" s="381"/>
      <c r="BP23" s="381"/>
      <c r="BQ23" s="381"/>
      <c r="BR23" s="381"/>
      <c r="BS23" s="381"/>
      <c r="BT23" s="381"/>
      <c r="BU23" s="381"/>
      <c r="BV23" s="381"/>
      <c r="BW23" s="381"/>
      <c r="BX23" s="381"/>
      <c r="BY23" s="381"/>
      <c r="BZ23" s="381"/>
      <c r="CA23" s="381"/>
      <c r="CB23" s="381" t="s">
        <v>1131</v>
      </c>
      <c r="CC23" s="381"/>
      <c r="CD23" s="381"/>
      <c r="CE23" s="381"/>
      <c r="CF23" s="381"/>
      <c r="CG23" s="381"/>
      <c r="CH23" s="381"/>
      <c r="CI23" s="381"/>
      <c r="CJ23" s="381" t="s">
        <v>1132</v>
      </c>
      <c r="CK23" s="381" t="s">
        <v>1133</v>
      </c>
      <c r="CL23" s="381" t="s">
        <v>1134</v>
      </c>
      <c r="CM23" s="381" t="s">
        <v>1135</v>
      </c>
      <c r="CN23" s="381" t="s">
        <v>1136</v>
      </c>
      <c r="CO23" s="381" t="s">
        <v>1137</v>
      </c>
      <c r="CP23" s="381" t="s">
        <v>1138</v>
      </c>
      <c r="CQ23" s="381" t="s">
        <v>1139</v>
      </c>
      <c r="CR23" t="s">
        <v>1140</v>
      </c>
    </row>
    <row r="24" spans="1:96" ht="15" customHeight="1">
      <c r="A24" s="375" t="str">
        <f>VLOOKUP(AK24,members!$A:$C,3,FALSE)</f>
        <v>Architect</v>
      </c>
      <c r="B24" s="376" t="str">
        <f>VLOOKUP(AK24,members!$A:$C,2,FALSE)</f>
        <v>David</v>
      </c>
      <c r="C24" s="376" t="str">
        <f>X24</f>
        <v>RPD-30</v>
      </c>
      <c r="D24" s="376" t="str">
        <f>AB24</f>
        <v>Done</v>
      </c>
      <c r="E24" s="378">
        <f>AU24</f>
        <v>45995</v>
      </c>
      <c r="F24" s="376" t="str">
        <f>W24</f>
        <v>P310 LogicGate System Security Documentation (solution architect)</v>
      </c>
      <c r="G24" s="376" t="str">
        <f>AX24</f>
        <v>[~ngu0018]  could you review and update proper ETA? this is part of required docu for stage gate purposes.</v>
      </c>
      <c r="H24" s="376"/>
      <c r="I24" s="376"/>
      <c r="J24" s="376"/>
      <c r="K24" s="376"/>
      <c r="L24" s="376"/>
      <c r="M24" s="376"/>
      <c r="N24" s="376"/>
      <c r="O24" s="376"/>
      <c r="P24" s="376"/>
      <c r="Q24" s="376"/>
      <c r="R24" s="376"/>
      <c r="S24" s="376"/>
      <c r="T24" s="376"/>
      <c r="U24" s="376"/>
      <c r="V24" s="376"/>
      <c r="W24" s="381" t="s">
        <v>1141</v>
      </c>
      <c r="X24" s="381" t="s">
        <v>1142</v>
      </c>
      <c r="Y24" s="381">
        <v>186290</v>
      </c>
      <c r="Z24" s="381"/>
      <c r="AA24" s="381" t="s">
        <v>992</v>
      </c>
      <c r="AB24" s="381" t="s">
        <v>1061</v>
      </c>
      <c r="AC24" s="381" t="s">
        <v>980</v>
      </c>
      <c r="AD24" s="381" t="s">
        <v>981</v>
      </c>
      <c r="AE24" s="381" t="s">
        <v>982</v>
      </c>
      <c r="AF24" s="381" t="s">
        <v>983</v>
      </c>
      <c r="AG24" s="381"/>
      <c r="AH24" s="381"/>
      <c r="AI24" s="381" t="s">
        <v>984</v>
      </c>
      <c r="AJ24" s="381" t="s">
        <v>1061</v>
      </c>
      <c r="AK24" s="381" t="s">
        <v>1075</v>
      </c>
      <c r="AL24" s="381" t="s">
        <v>986</v>
      </c>
      <c r="AM24" s="381" t="s">
        <v>986</v>
      </c>
      <c r="AN24" s="382">
        <v>45954.503472222219</v>
      </c>
      <c r="AO24" s="382">
        <v>46001.43472222222</v>
      </c>
      <c r="AP24" s="382">
        <v>45999.459722222222</v>
      </c>
      <c r="AQ24" s="382">
        <v>46001.43472222222</v>
      </c>
      <c r="AR24" s="381"/>
      <c r="AS24" s="381"/>
      <c r="AT24" s="381"/>
      <c r="AU24" s="382">
        <v>45995</v>
      </c>
      <c r="AV24" s="381">
        <v>0</v>
      </c>
      <c r="AW24" s="381" t="s">
        <v>987</v>
      </c>
      <c r="AX24" s="381" t="s">
        <v>1143</v>
      </c>
      <c r="AY24" s="381" t="s">
        <v>1035</v>
      </c>
      <c r="AZ24" s="381" t="s">
        <v>1001</v>
      </c>
      <c r="BA24" s="381" t="s">
        <v>1075</v>
      </c>
      <c r="BB24" s="381" t="s">
        <v>1069</v>
      </c>
      <c r="BC24" s="381" t="s">
        <v>986</v>
      </c>
      <c r="BD24" s="381"/>
      <c r="BE24" s="381"/>
      <c r="BF24" s="381"/>
      <c r="BG24" s="381"/>
      <c r="BH24" s="381"/>
      <c r="BI24" s="381"/>
      <c r="BJ24" s="381"/>
      <c r="BK24" s="381"/>
      <c r="BL24" s="381"/>
      <c r="BM24" s="381"/>
      <c r="BN24" s="381" t="s">
        <v>1144</v>
      </c>
      <c r="BO24" s="381" t="s">
        <v>1145</v>
      </c>
      <c r="BP24" s="381"/>
      <c r="BQ24" s="381"/>
      <c r="BR24" s="381"/>
      <c r="BS24" s="381"/>
      <c r="BT24" s="381"/>
      <c r="BU24" s="381"/>
      <c r="BV24" s="381"/>
      <c r="BW24" s="381"/>
      <c r="BX24" s="381"/>
      <c r="BY24" s="381"/>
      <c r="BZ24" s="381"/>
      <c r="CA24" s="381"/>
      <c r="CB24" s="381" t="s">
        <v>1146</v>
      </c>
      <c r="CC24" s="381"/>
      <c r="CD24" s="381"/>
      <c r="CE24" s="381"/>
      <c r="CF24" s="381"/>
      <c r="CG24" s="381"/>
      <c r="CH24" s="381"/>
      <c r="CI24" s="381"/>
      <c r="CJ24" s="381" t="s">
        <v>1147</v>
      </c>
      <c r="CK24" s="381" t="s">
        <v>1148</v>
      </c>
      <c r="CL24" s="381" t="s">
        <v>1149</v>
      </c>
      <c r="CM24" s="381" t="s">
        <v>1150</v>
      </c>
      <c r="CN24" s="381" t="s">
        <v>1151</v>
      </c>
      <c r="CO24" s="381" t="s">
        <v>1152</v>
      </c>
      <c r="CP24" s="381" t="s">
        <v>1153</v>
      </c>
      <c r="CQ24" s="381" t="s">
        <v>1154</v>
      </c>
      <c r="CR24" t="s">
        <v>1155</v>
      </c>
    </row>
    <row r="25" spans="1:96" ht="15" customHeight="1">
      <c r="A25" s="375" t="str">
        <f>VLOOKUP(AK25,members!$A:$C,3,FALSE)</f>
        <v>ETL</v>
      </c>
      <c r="B25" s="376" t="str">
        <f>VLOOKUP(AK25,members!$A:$C,2,FALSE)</f>
        <v>Naveen</v>
      </c>
      <c r="C25" s="376" t="str">
        <f>X25</f>
        <v>RPD-54</v>
      </c>
      <c r="D25" s="376" t="str">
        <f>AB25</f>
        <v>Done</v>
      </c>
      <c r="E25" s="378">
        <f>AU25</f>
        <v>45988</v>
      </c>
      <c r="F25" s="376" t="str">
        <f>W25</f>
        <v xml:space="preserve">Base Table - Setting Secure Agent and Testing jobs </v>
      </c>
      <c r="G25" s="376" t="str">
        <f>AX25</f>
        <v>once rpd-53 decision is made by architect._x000D_
_x000D_
start setting secure agent and testing jobs._x000D_
_x000D_
 _x000D_
_x000D_
start today 11/20 for EXISTING JOBS._x000D_
_x000D_
 _x000D_
_x000D_
if we go with openflow, there are different jobs to be followed.</v>
      </c>
      <c r="H25" s="376"/>
      <c r="I25" s="376"/>
      <c r="J25" s="376"/>
      <c r="K25" s="376"/>
      <c r="L25" s="376"/>
      <c r="M25" s="376"/>
      <c r="N25" s="376"/>
      <c r="O25" s="376"/>
      <c r="P25" s="376"/>
      <c r="Q25" s="376"/>
      <c r="R25" s="376"/>
      <c r="S25" s="376"/>
      <c r="T25" s="376"/>
      <c r="U25" s="376"/>
      <c r="V25" s="376"/>
      <c r="W25" s="381" t="s">
        <v>1156</v>
      </c>
      <c r="X25" s="381" t="s">
        <v>1157</v>
      </c>
      <c r="Y25" s="381">
        <v>188632</v>
      </c>
      <c r="Z25" s="381">
        <v>188628</v>
      </c>
      <c r="AA25" s="381" t="s">
        <v>978</v>
      </c>
      <c r="AB25" s="381" t="s">
        <v>1061</v>
      </c>
      <c r="AC25" s="381" t="s">
        <v>980</v>
      </c>
      <c r="AD25" s="381" t="s">
        <v>981</v>
      </c>
      <c r="AE25" s="381" t="s">
        <v>982</v>
      </c>
      <c r="AF25" s="381" t="s">
        <v>983</v>
      </c>
      <c r="AG25" s="381"/>
      <c r="AH25" s="381"/>
      <c r="AI25" s="381" t="s">
        <v>984</v>
      </c>
      <c r="AJ25" s="381" t="s">
        <v>1061</v>
      </c>
      <c r="AK25" s="381" t="s">
        <v>994</v>
      </c>
      <c r="AL25" s="381" t="s">
        <v>986</v>
      </c>
      <c r="AM25" s="381" t="s">
        <v>986</v>
      </c>
      <c r="AN25" s="382">
        <v>45981.477083333331</v>
      </c>
      <c r="AO25" s="382">
        <v>45992.470138888886</v>
      </c>
      <c r="AP25" s="382">
        <v>45992.470138888886</v>
      </c>
      <c r="AQ25" s="382">
        <v>45992.470138888886</v>
      </c>
      <c r="AR25" s="381"/>
      <c r="AS25" s="381"/>
      <c r="AT25" s="381"/>
      <c r="AU25" s="382">
        <v>45988</v>
      </c>
      <c r="AV25" s="381">
        <v>0</v>
      </c>
      <c r="AW25" s="381" t="s">
        <v>987</v>
      </c>
      <c r="AX25" s="381" t="s">
        <v>1158</v>
      </c>
      <c r="AY25" s="381" t="s">
        <v>986</v>
      </c>
      <c r="AZ25" s="381"/>
      <c r="BA25" s="381"/>
      <c r="BB25" s="381"/>
      <c r="BC25" s="381"/>
      <c r="BD25" s="381"/>
      <c r="BE25" s="381"/>
      <c r="BF25" s="381"/>
      <c r="BG25" s="381"/>
      <c r="BH25" s="381"/>
      <c r="BI25" s="381"/>
      <c r="BJ25" s="381"/>
      <c r="BK25" s="381"/>
      <c r="BL25" s="381"/>
      <c r="BM25" s="381"/>
      <c r="BN25" s="381"/>
      <c r="BO25" s="381"/>
      <c r="BP25" s="381"/>
      <c r="BQ25" s="381"/>
      <c r="BR25" s="381"/>
      <c r="BS25" s="381"/>
      <c r="BT25" s="381"/>
      <c r="BU25" s="381"/>
      <c r="BV25" s="381"/>
      <c r="BW25" s="381"/>
      <c r="BX25" s="381"/>
      <c r="BY25" s="381"/>
      <c r="BZ25" s="381"/>
      <c r="CA25" s="381"/>
      <c r="CB25" s="381" t="s">
        <v>1159</v>
      </c>
      <c r="CC25" s="381"/>
      <c r="CD25" s="381"/>
      <c r="CE25" s="381"/>
      <c r="CF25" s="381"/>
      <c r="CG25" s="381"/>
      <c r="CH25" s="381"/>
      <c r="CI25" s="381"/>
      <c r="CJ25" s="381"/>
      <c r="CK25" s="381"/>
      <c r="CL25" s="381"/>
      <c r="CM25" s="381"/>
      <c r="CN25" s="381"/>
      <c r="CO25" s="381"/>
      <c r="CP25" s="381"/>
      <c r="CQ25" s="381"/>
    </row>
    <row r="26" spans="1:96" ht="15" customHeight="1">
      <c r="A26" s="375" t="str">
        <f>VLOOKUP(AK26,members!$A:$C,3,FALSE)</f>
        <v>ETL</v>
      </c>
      <c r="B26" s="376" t="str">
        <f>VLOOKUP(AK26,members!$A:$C,2,FALSE)</f>
        <v>Naveen</v>
      </c>
      <c r="C26" s="376" t="str">
        <f>X26</f>
        <v>RPD-58</v>
      </c>
      <c r="D26" s="376" t="str">
        <f>AB26</f>
        <v>In Progress</v>
      </c>
      <c r="E26" s="378">
        <f>AU26</f>
        <v>45989</v>
      </c>
      <c r="F26" s="376" t="str">
        <f>W26</f>
        <v>Create Informatica Secure Agent account for Squadron</v>
      </c>
      <c r="G26" s="376" t="str">
        <f>AX26</f>
        <v>meantime, start working via existing secure agent DEV</v>
      </c>
      <c r="H26" s="376"/>
      <c r="I26" s="376"/>
      <c r="J26" s="376"/>
      <c r="K26" s="376"/>
      <c r="L26" s="376"/>
      <c r="M26" s="376"/>
      <c r="N26" s="376"/>
      <c r="O26" s="376"/>
      <c r="P26" s="376"/>
      <c r="Q26" s="376"/>
      <c r="R26" s="376"/>
      <c r="S26" s="376"/>
      <c r="T26" s="376"/>
      <c r="U26" s="376"/>
      <c r="V26" s="376"/>
      <c r="W26" s="381" t="s">
        <v>1160</v>
      </c>
      <c r="X26" s="381" t="s">
        <v>1161</v>
      </c>
      <c r="Y26" s="381">
        <v>188654</v>
      </c>
      <c r="Z26" s="381"/>
      <c r="AA26" s="381" t="s">
        <v>992</v>
      </c>
      <c r="AB26" s="381" t="s">
        <v>993</v>
      </c>
      <c r="AC26" s="381" t="s">
        <v>980</v>
      </c>
      <c r="AD26" s="381" t="s">
        <v>981</v>
      </c>
      <c r="AE26" s="381" t="s">
        <v>982</v>
      </c>
      <c r="AF26" s="381" t="s">
        <v>983</v>
      </c>
      <c r="AG26" s="381"/>
      <c r="AH26" s="381"/>
      <c r="AI26" s="381" t="s">
        <v>984</v>
      </c>
      <c r="AJ26" s="381"/>
      <c r="AK26" s="381" t="s">
        <v>994</v>
      </c>
      <c r="AL26" s="381" t="s">
        <v>986</v>
      </c>
      <c r="AM26" s="381" t="s">
        <v>986</v>
      </c>
      <c r="AN26" s="382">
        <v>45981.557638888888</v>
      </c>
      <c r="AO26" s="382">
        <v>45993.486111111109</v>
      </c>
      <c r="AP26" s="382">
        <v>45992.469444444447</v>
      </c>
      <c r="AQ26" s="381"/>
      <c r="AR26" s="381"/>
      <c r="AS26" s="381"/>
      <c r="AT26" s="381"/>
      <c r="AU26" s="382">
        <v>45989</v>
      </c>
      <c r="AV26" s="381">
        <v>0</v>
      </c>
      <c r="AW26" s="381"/>
      <c r="AX26" s="381" t="s">
        <v>1162</v>
      </c>
      <c r="AY26" s="381" t="s">
        <v>1001</v>
      </c>
      <c r="AZ26" s="381" t="s">
        <v>986</v>
      </c>
      <c r="BA26" s="381"/>
      <c r="BB26" s="381"/>
      <c r="BC26" s="381"/>
      <c r="BD26" s="381"/>
      <c r="BE26" s="381"/>
      <c r="BF26" s="381"/>
      <c r="BG26" s="381"/>
      <c r="BH26" s="381"/>
      <c r="BI26" s="381"/>
      <c r="BJ26" s="381"/>
      <c r="BK26" s="381"/>
      <c r="BL26" s="381"/>
      <c r="BM26" s="381"/>
      <c r="BN26" s="381"/>
      <c r="BO26" s="381"/>
      <c r="BP26" s="381"/>
      <c r="BQ26" s="381"/>
      <c r="BR26" s="381"/>
      <c r="BS26" s="381"/>
      <c r="BT26" s="381"/>
      <c r="BU26" s="381"/>
      <c r="BV26" s="381"/>
      <c r="BW26" s="381"/>
      <c r="BX26" s="381"/>
      <c r="BY26" s="381"/>
      <c r="BZ26" s="381"/>
      <c r="CA26" s="381"/>
      <c r="CB26" s="381" t="s">
        <v>1163</v>
      </c>
      <c r="CC26" s="381"/>
      <c r="CD26" s="381"/>
      <c r="CE26" s="381"/>
      <c r="CF26" s="381"/>
      <c r="CG26" s="381"/>
      <c r="CH26" s="381"/>
      <c r="CI26" s="381"/>
      <c r="CJ26" s="381" t="s">
        <v>1164</v>
      </c>
      <c r="CK26" s="381"/>
      <c r="CL26" s="381"/>
      <c r="CM26" s="381"/>
      <c r="CN26" s="381"/>
      <c r="CO26" s="381"/>
      <c r="CP26" s="381"/>
      <c r="CQ26" s="381"/>
    </row>
    <row r="27" spans="1:96" ht="15" customHeight="1">
      <c r="A27" s="375" t="str">
        <f>VLOOKUP(AK27,members!$A:$C,3,FALSE)</f>
        <v>ETL</v>
      </c>
      <c r="B27" s="376" t="str">
        <f>VLOOKUP(AK27,members!$A:$C,2,FALSE)</f>
        <v>Naveen</v>
      </c>
      <c r="C27" s="376" t="str">
        <f>X27</f>
        <v>RPD-59</v>
      </c>
      <c r="D27" s="376" t="str">
        <f>AB27</f>
        <v>Done</v>
      </c>
      <c r="E27" s="378">
        <f>AU27</f>
        <v>45981</v>
      </c>
      <c r="F27" s="376" t="str">
        <f>W27</f>
        <v>Schema Testing (SADB) using existing module</v>
      </c>
      <c r="G27" s="376" t="str">
        <f>AX27</f>
        <v>[~ngu0018]  asked ETL team to test connection for SADB by creating jobs. [~sin0404]  [~knxn12]  to follow.</v>
      </c>
      <c r="H27" s="376"/>
      <c r="I27" s="376"/>
      <c r="J27" s="376"/>
      <c r="K27" s="376"/>
      <c r="L27" s="376"/>
      <c r="M27" s="376"/>
      <c r="N27" s="376"/>
      <c r="O27" s="376"/>
      <c r="P27" s="376"/>
      <c r="Q27" s="376"/>
      <c r="R27" s="376"/>
      <c r="S27" s="376"/>
      <c r="T27" s="376"/>
      <c r="U27" s="376"/>
      <c r="V27" s="376"/>
      <c r="W27" s="381" t="s">
        <v>1165</v>
      </c>
      <c r="X27" s="381" t="s">
        <v>1166</v>
      </c>
      <c r="Y27" s="381">
        <v>188656</v>
      </c>
      <c r="Z27" s="381">
        <v>188628</v>
      </c>
      <c r="AA27" s="381" t="s">
        <v>978</v>
      </c>
      <c r="AB27" s="381" t="s">
        <v>1061</v>
      </c>
      <c r="AC27" s="381" t="s">
        <v>980</v>
      </c>
      <c r="AD27" s="381" t="s">
        <v>981</v>
      </c>
      <c r="AE27" s="381" t="s">
        <v>982</v>
      </c>
      <c r="AF27" s="381" t="s">
        <v>983</v>
      </c>
      <c r="AG27" s="381"/>
      <c r="AH27" s="381"/>
      <c r="AI27" s="381" t="s">
        <v>984</v>
      </c>
      <c r="AJ27" s="381" t="s">
        <v>1061</v>
      </c>
      <c r="AK27" s="381" t="s">
        <v>994</v>
      </c>
      <c r="AL27" s="381" t="s">
        <v>986</v>
      </c>
      <c r="AM27" s="381" t="s">
        <v>986</v>
      </c>
      <c r="AN27" s="382">
        <v>45981.563888888886</v>
      </c>
      <c r="AO27" s="382">
        <v>45988.470138888886</v>
      </c>
      <c r="AP27" s="382">
        <v>45988.470138888886</v>
      </c>
      <c r="AQ27" s="382">
        <v>45988.470138888886</v>
      </c>
      <c r="AR27" s="381"/>
      <c r="AS27" s="381"/>
      <c r="AT27" s="381"/>
      <c r="AU27" s="382">
        <v>45981</v>
      </c>
      <c r="AV27" s="381">
        <v>0</v>
      </c>
      <c r="AW27" s="381" t="s">
        <v>987</v>
      </c>
      <c r="AX27" s="381" t="s">
        <v>1167</v>
      </c>
      <c r="AY27" s="381" t="s">
        <v>1130</v>
      </c>
      <c r="AZ27" s="381" t="s">
        <v>986</v>
      </c>
      <c r="BA27" s="381"/>
      <c r="BB27" s="381"/>
      <c r="BC27" s="381"/>
      <c r="BD27" s="381"/>
      <c r="BE27" s="381"/>
      <c r="BF27" s="381"/>
      <c r="BG27" s="381"/>
      <c r="BH27" s="381"/>
      <c r="BI27" s="381"/>
      <c r="BJ27" s="381"/>
      <c r="BK27" s="381"/>
      <c r="BL27" s="381"/>
      <c r="BM27" s="381"/>
      <c r="BN27" s="381"/>
      <c r="BO27" s="381"/>
      <c r="BP27" s="381"/>
      <c r="BQ27" s="381"/>
      <c r="BR27" s="381"/>
      <c r="BS27" s="381"/>
      <c r="BT27" s="381"/>
      <c r="BU27" s="381"/>
      <c r="BV27" s="381"/>
      <c r="BW27" s="381"/>
      <c r="BX27" s="381"/>
      <c r="BY27" s="381"/>
      <c r="BZ27" s="381"/>
      <c r="CA27" s="381"/>
      <c r="CB27" s="381" t="s">
        <v>1168</v>
      </c>
      <c r="CC27" s="381"/>
      <c r="CD27" s="381"/>
      <c r="CE27" s="381"/>
      <c r="CF27" s="381"/>
      <c r="CG27" s="381"/>
      <c r="CH27" s="381"/>
      <c r="CI27" s="381"/>
      <c r="CJ27" s="381" t="s">
        <v>1169</v>
      </c>
      <c r="CK27" s="381"/>
      <c r="CL27" s="381"/>
      <c r="CM27" s="381"/>
      <c r="CN27" s="381"/>
      <c r="CO27" s="381"/>
      <c r="CP27" s="381"/>
      <c r="CQ27" s="381"/>
    </row>
    <row r="28" spans="1:96" ht="15" customHeight="1">
      <c r="A28" s="375" t="str">
        <f>VLOOKUP(AK28,members!$A:$C,3,FALSE)</f>
        <v>Squadron</v>
      </c>
      <c r="B28" s="376" t="str">
        <f>VLOOKUP(AK28,members!$A:$C,2,FALSE)</f>
        <v>Babu</v>
      </c>
      <c r="C28" s="376" t="str">
        <f>X28</f>
        <v>RPD-66</v>
      </c>
      <c r="D28" s="376" t="str">
        <f>AB28</f>
        <v>To Do</v>
      </c>
      <c r="E28" s="378">
        <v>46010</v>
      </c>
      <c r="F28" s="376" t="str">
        <f>W28</f>
        <v>SnowFlake ETL Plan - Silver to Gold solution to provide - document / email needed</v>
      </c>
      <c r="G28" s="376" t="str">
        <f>AX28</f>
        <v>Document that_x000D_
_x000D_
includes methodologies out of below example options._x000D_
_x000D_
include data models for Silver Layers_x000D_
_x000D_
 _x000D_
_x000D_
1) DBT_x000D_
_x000D_
2) Store Procedures_x000D_
_x000D_
3) Snow Park</v>
      </c>
      <c r="H28" s="376"/>
      <c r="I28" s="376"/>
      <c r="J28" s="376"/>
      <c r="K28" s="376"/>
      <c r="L28" s="376"/>
      <c r="M28" s="376"/>
      <c r="N28" s="376"/>
      <c r="O28" s="376"/>
      <c r="P28" s="376"/>
      <c r="Q28" s="376"/>
      <c r="R28" s="376"/>
      <c r="S28" s="376"/>
      <c r="T28" s="376"/>
      <c r="U28" s="376"/>
      <c r="V28" s="376"/>
      <c r="W28" s="381" t="s">
        <v>1170</v>
      </c>
      <c r="X28" s="381" t="s">
        <v>1171</v>
      </c>
      <c r="Y28" s="381">
        <v>189014</v>
      </c>
      <c r="Z28" s="381"/>
      <c r="AA28" s="381" t="s">
        <v>992</v>
      </c>
      <c r="AB28" s="381" t="s">
        <v>979</v>
      </c>
      <c r="AC28" s="381" t="s">
        <v>980</v>
      </c>
      <c r="AD28" s="381" t="s">
        <v>981</v>
      </c>
      <c r="AE28" s="381" t="s">
        <v>982</v>
      </c>
      <c r="AF28" s="381" t="s">
        <v>983</v>
      </c>
      <c r="AG28" s="381"/>
      <c r="AH28" s="381"/>
      <c r="AI28" s="381" t="s">
        <v>984</v>
      </c>
      <c r="AJ28" s="381"/>
      <c r="AK28" s="381" t="s">
        <v>1094</v>
      </c>
      <c r="AL28" s="381" t="s">
        <v>986</v>
      </c>
      <c r="AM28" s="381" t="s">
        <v>986</v>
      </c>
      <c r="AN28" s="382">
        <v>45988.470138888886</v>
      </c>
      <c r="AO28" s="382">
        <v>46001.431250000001</v>
      </c>
      <c r="AP28" s="382">
        <v>45988.470138888886</v>
      </c>
      <c r="AQ28" s="381"/>
      <c r="AR28" s="381"/>
      <c r="AS28" s="381"/>
      <c r="AT28" s="381"/>
      <c r="AU28" s="382">
        <v>45994</v>
      </c>
      <c r="AV28" s="381">
        <v>0</v>
      </c>
      <c r="AW28" s="381" t="s">
        <v>987</v>
      </c>
      <c r="AX28" s="381" t="s">
        <v>1016</v>
      </c>
      <c r="AY28" s="381" t="s">
        <v>1009</v>
      </c>
      <c r="AZ28" s="381" t="s">
        <v>986</v>
      </c>
      <c r="BA28" s="381"/>
      <c r="BB28" s="381"/>
      <c r="BC28" s="381"/>
      <c r="BD28" s="381"/>
      <c r="BE28" s="381"/>
      <c r="BF28" s="381"/>
      <c r="BG28" s="381"/>
      <c r="BH28" s="381"/>
      <c r="BI28" s="381"/>
      <c r="BJ28" s="381"/>
      <c r="BK28" s="381"/>
      <c r="BL28" s="381"/>
      <c r="BM28" s="381"/>
      <c r="BN28" s="381" t="s">
        <v>1172</v>
      </c>
      <c r="BO28" s="381"/>
      <c r="BP28" s="381"/>
      <c r="BQ28" s="381"/>
      <c r="BR28" s="381"/>
      <c r="BS28" s="381"/>
      <c r="BT28" s="381"/>
      <c r="BU28" s="381"/>
      <c r="BV28" s="381"/>
      <c r="BW28" s="381"/>
      <c r="BX28" s="381"/>
      <c r="BY28" s="381"/>
      <c r="BZ28" s="381"/>
      <c r="CA28" s="381"/>
      <c r="CB28" s="381" t="s">
        <v>1173</v>
      </c>
      <c r="CC28" s="381"/>
      <c r="CD28" s="381"/>
      <c r="CE28" s="381"/>
      <c r="CF28" s="381"/>
      <c r="CG28" s="381"/>
      <c r="CH28" s="381"/>
      <c r="CI28" s="381"/>
      <c r="CJ28" s="381" t="s">
        <v>1174</v>
      </c>
      <c r="CK28" s="381" t="s">
        <v>1175</v>
      </c>
      <c r="CL28" s="381"/>
      <c r="CM28" s="381"/>
      <c r="CN28" s="381"/>
      <c r="CO28" s="381"/>
      <c r="CP28" s="381"/>
      <c r="CQ28" s="381"/>
    </row>
    <row r="29" spans="1:96" ht="15" customHeight="1">
      <c r="A29" s="375" t="str">
        <f>VLOOKUP(AK29,members!$A:$C,3,FALSE)</f>
        <v>BDA</v>
      </c>
      <c r="B29" s="376" t="str">
        <f>VLOOKUP(AK29,members!$A:$C,2,FALSE)</f>
        <v>VPS</v>
      </c>
      <c r="C29" s="376" t="str">
        <f>X29</f>
        <v>RPD-64</v>
      </c>
      <c r="D29" s="376" t="str">
        <f>AB29</f>
        <v>Done</v>
      </c>
      <c r="E29" s="378">
        <f>AU29</f>
        <v>45993</v>
      </c>
      <c r="F29" s="376" t="str">
        <f>W29</f>
        <v>allocate to celebal team with KT by 12/2 Tuesday</v>
      </c>
      <c r="G29" s="376" t="str">
        <f>AX29</f>
        <v>[~cvps10]  to KT to Celebal team [~moh0106] and [~bab0060] / [~aro0027] </v>
      </c>
      <c r="H29" s="376"/>
      <c r="I29" s="376"/>
      <c r="J29" s="376"/>
      <c r="K29" s="376"/>
      <c r="L29" s="376"/>
      <c r="M29" s="376"/>
      <c r="N29" s="376"/>
      <c r="O29" s="376"/>
      <c r="P29" s="376"/>
      <c r="Q29" s="376"/>
      <c r="R29" s="376"/>
      <c r="S29" s="376"/>
      <c r="T29" s="376"/>
      <c r="U29" s="376"/>
      <c r="V29" s="376"/>
      <c r="W29" s="381" t="s">
        <v>1176</v>
      </c>
      <c r="X29" s="381" t="s">
        <v>1177</v>
      </c>
      <c r="Y29" s="381">
        <v>188862</v>
      </c>
      <c r="Z29" s="381">
        <v>188014</v>
      </c>
      <c r="AA29" s="381" t="s">
        <v>978</v>
      </c>
      <c r="AB29" s="381" t="s">
        <v>1061</v>
      </c>
      <c r="AC29" s="381" t="s">
        <v>980</v>
      </c>
      <c r="AD29" s="381" t="s">
        <v>981</v>
      </c>
      <c r="AE29" s="381" t="s">
        <v>982</v>
      </c>
      <c r="AF29" s="381" t="s">
        <v>983</v>
      </c>
      <c r="AG29" s="381"/>
      <c r="AH29" s="381"/>
      <c r="AI29" s="381" t="s">
        <v>984</v>
      </c>
      <c r="AJ29" s="381" t="s">
        <v>1061</v>
      </c>
      <c r="AK29" s="381" t="s">
        <v>1001</v>
      </c>
      <c r="AL29" s="381" t="s">
        <v>986</v>
      </c>
      <c r="AM29" s="381" t="s">
        <v>986</v>
      </c>
      <c r="AN29" s="382">
        <v>45986.469444444447</v>
      </c>
      <c r="AO29" s="382">
        <v>45993.484027777777</v>
      </c>
      <c r="AP29" s="382">
        <v>45986.469444444447</v>
      </c>
      <c r="AQ29" s="382">
        <v>45993.484027777777</v>
      </c>
      <c r="AR29" s="381"/>
      <c r="AS29" s="381"/>
      <c r="AT29" s="381"/>
      <c r="AU29" s="382">
        <v>45993</v>
      </c>
      <c r="AV29" s="381">
        <v>0</v>
      </c>
      <c r="AW29" s="381" t="s">
        <v>987</v>
      </c>
      <c r="AX29" s="381" t="s">
        <v>1178</v>
      </c>
      <c r="AY29" s="381" t="s">
        <v>1001</v>
      </c>
      <c r="AZ29" s="381" t="s">
        <v>986</v>
      </c>
      <c r="BA29" s="381"/>
      <c r="BB29" s="381"/>
      <c r="BC29" s="381"/>
      <c r="BD29" s="381"/>
      <c r="BE29" s="381"/>
      <c r="BF29" s="381"/>
      <c r="BG29" s="381"/>
      <c r="BH29" s="381"/>
      <c r="BI29" s="381"/>
      <c r="BJ29" s="381"/>
      <c r="BK29" s="381"/>
      <c r="BL29" s="381"/>
      <c r="BM29" s="381"/>
      <c r="BN29" s="381"/>
      <c r="BO29" s="381"/>
      <c r="BP29" s="381"/>
      <c r="BQ29" s="381"/>
      <c r="BR29" s="381"/>
      <c r="BS29" s="381"/>
      <c r="BT29" s="381"/>
      <c r="BU29" s="381"/>
      <c r="BV29" s="381"/>
      <c r="BW29" s="381"/>
      <c r="BX29" s="381"/>
      <c r="BY29" s="381"/>
      <c r="BZ29" s="381"/>
      <c r="CA29" s="381"/>
      <c r="CB29" s="381" t="s">
        <v>1179</v>
      </c>
      <c r="CC29" s="381"/>
      <c r="CD29" s="381"/>
      <c r="CE29" s="381"/>
      <c r="CF29" s="381"/>
      <c r="CG29" s="381"/>
      <c r="CH29" s="381"/>
      <c r="CI29" s="381"/>
      <c r="CJ29" s="381" t="s">
        <v>1180</v>
      </c>
      <c r="CK29" s="381"/>
      <c r="CL29" s="381"/>
      <c r="CM29" s="381"/>
      <c r="CN29" s="381"/>
      <c r="CO29" s="381"/>
      <c r="CP29" s="381"/>
      <c r="CQ29" s="381"/>
    </row>
    <row r="30" spans="1:96" ht="15" customHeight="1">
      <c r="A30" s="375" t="str">
        <f>VLOOKUP(AK30,members!$A:$C,3,FALSE)</f>
        <v>ETL</v>
      </c>
      <c r="B30" s="376" t="str">
        <f>VLOOKUP(AK30,members!$A:$C,2,FALSE)</f>
        <v>Naveen</v>
      </c>
      <c r="C30" s="376" t="str">
        <f>X30</f>
        <v>RPD-52</v>
      </c>
      <c r="D30" s="376" t="str">
        <f>AB30</f>
        <v>Done</v>
      </c>
      <c r="E30" s="378">
        <f>AU30</f>
        <v>45988</v>
      </c>
      <c r="F30" s="376" t="str">
        <f>W30</f>
        <v>Base Table DEV environment setting (Bronze data)</v>
      </c>
      <c r="G30" s="376" t="str">
        <f>AX30</f>
        <v>[~knxn12] / [~sin0404]  to work with [~tha0073]  to confirm base table environment (bronze data) is set (access is granted but job needs to be set up) such as dedicated server for CDC work._x000D_
_x000D_
 </v>
      </c>
      <c r="H30" s="376"/>
      <c r="I30" s="376"/>
      <c r="J30" s="376"/>
      <c r="K30" s="376"/>
      <c r="L30" s="376"/>
      <c r="M30" s="376"/>
      <c r="N30" s="376"/>
      <c r="O30" s="376"/>
      <c r="P30" s="376"/>
      <c r="Q30" s="376"/>
      <c r="R30" s="376"/>
      <c r="S30" s="376"/>
      <c r="T30" s="376"/>
      <c r="U30" s="376"/>
      <c r="V30" s="376"/>
      <c r="W30" s="381" t="s">
        <v>1181</v>
      </c>
      <c r="X30" s="381" t="s">
        <v>1182</v>
      </c>
      <c r="Y30" s="381">
        <v>188628</v>
      </c>
      <c r="Z30" s="381"/>
      <c r="AA30" s="381" t="s">
        <v>992</v>
      </c>
      <c r="AB30" s="381" t="s">
        <v>1061</v>
      </c>
      <c r="AC30" s="381" t="s">
        <v>980</v>
      </c>
      <c r="AD30" s="381" t="s">
        <v>981</v>
      </c>
      <c r="AE30" s="381" t="s">
        <v>982</v>
      </c>
      <c r="AF30" s="381" t="s">
        <v>983</v>
      </c>
      <c r="AG30" s="381"/>
      <c r="AH30" s="381"/>
      <c r="AI30" s="381" t="s">
        <v>984</v>
      </c>
      <c r="AJ30" s="381" t="s">
        <v>1061</v>
      </c>
      <c r="AK30" s="381" t="s">
        <v>994</v>
      </c>
      <c r="AL30" s="381" t="s">
        <v>986</v>
      </c>
      <c r="AM30" s="381" t="s">
        <v>986</v>
      </c>
      <c r="AN30" s="382">
        <v>45981.470138888886</v>
      </c>
      <c r="AO30" s="382">
        <v>45994.476388888892</v>
      </c>
      <c r="AP30" s="382">
        <v>45985.475694444445</v>
      </c>
      <c r="AQ30" s="382">
        <v>45994.476388888892</v>
      </c>
      <c r="AR30" s="381"/>
      <c r="AS30" s="381"/>
      <c r="AT30" s="381"/>
      <c r="AU30" s="382">
        <v>45988</v>
      </c>
      <c r="AV30" s="381">
        <v>0</v>
      </c>
      <c r="AW30" s="381" t="s">
        <v>987</v>
      </c>
      <c r="AX30" s="381" t="s">
        <v>1183</v>
      </c>
      <c r="AY30" s="381" t="s">
        <v>1001</v>
      </c>
      <c r="AZ30" s="381" t="s">
        <v>986</v>
      </c>
      <c r="BA30" s="381"/>
      <c r="BB30" s="381"/>
      <c r="BC30" s="381"/>
      <c r="BD30" s="381"/>
      <c r="BE30" s="381"/>
      <c r="BF30" s="381"/>
      <c r="BG30" s="381"/>
      <c r="BH30" s="381"/>
      <c r="BI30" s="381"/>
      <c r="BJ30" s="381"/>
      <c r="BK30" s="381"/>
      <c r="BL30" s="381"/>
      <c r="BM30" s="381"/>
      <c r="BN30" s="381"/>
      <c r="BO30" s="381"/>
      <c r="BP30" s="381"/>
      <c r="BQ30" s="381"/>
      <c r="BR30" s="381"/>
      <c r="BS30" s="381"/>
      <c r="BT30" s="381"/>
      <c r="BU30" s="381"/>
      <c r="BV30" s="381"/>
      <c r="BW30" s="381"/>
      <c r="BX30" s="381"/>
      <c r="BY30" s="381"/>
      <c r="BZ30" s="381"/>
      <c r="CA30" s="381"/>
      <c r="CB30" s="381" t="s">
        <v>1184</v>
      </c>
      <c r="CC30" s="381"/>
      <c r="CD30" s="381"/>
      <c r="CE30" s="381"/>
      <c r="CF30" s="381"/>
      <c r="CG30" s="381"/>
      <c r="CH30" s="381"/>
      <c r="CI30" s="381"/>
      <c r="CJ30" s="381" t="s">
        <v>1185</v>
      </c>
      <c r="CK30" s="381"/>
      <c r="CL30" s="381"/>
      <c r="CM30" s="381"/>
      <c r="CN30" s="381"/>
      <c r="CO30" s="381"/>
      <c r="CP30" s="381"/>
      <c r="CQ30" s="381"/>
    </row>
    <row r="31" spans="1:96" ht="15" customHeight="1">
      <c r="A31" s="375" t="str">
        <f>VLOOKUP(AK31,members!$A:$C,3,FALSE)</f>
        <v>BDA</v>
      </c>
      <c r="B31" s="376" t="str">
        <f>VLOOKUP(AK31,members!$A:$C,2,FALSE)</f>
        <v>VPS</v>
      </c>
      <c r="C31" s="376" t="str">
        <f>X31</f>
        <v>RPD-51</v>
      </c>
      <c r="D31" s="376" t="str">
        <f>AB31</f>
        <v>In Progress</v>
      </c>
      <c r="E31" s="378">
        <f>AU31</f>
        <v>0</v>
      </c>
      <c r="F31" s="376" t="str">
        <f>W31</f>
        <v>Set up/Lift Logic Review</v>
      </c>
      <c r="G31" s="376" t="str">
        <f>AX31</f>
        <v>[~cvps10]  to schedule a meeting to Review Logic with Karthik and Kishore.</v>
      </c>
      <c r="H31" s="376"/>
      <c r="I31" s="376"/>
      <c r="J31" s="376"/>
      <c r="K31" s="376"/>
      <c r="L31" s="376"/>
      <c r="M31" s="376"/>
      <c r="N31" s="376"/>
      <c r="O31" s="376"/>
      <c r="P31" s="376"/>
      <c r="Q31" s="376"/>
      <c r="R31" s="376"/>
      <c r="S31" s="376"/>
      <c r="T31" s="376"/>
      <c r="U31" s="376"/>
      <c r="V31" s="376"/>
      <c r="W31" s="381" t="s">
        <v>1186</v>
      </c>
      <c r="X31" s="381" t="s">
        <v>1187</v>
      </c>
      <c r="Y31" s="381">
        <v>188014</v>
      </c>
      <c r="Z31" s="381"/>
      <c r="AA31" s="381" t="s">
        <v>992</v>
      </c>
      <c r="AB31" s="381" t="s">
        <v>993</v>
      </c>
      <c r="AC31" s="381" t="s">
        <v>980</v>
      </c>
      <c r="AD31" s="381" t="s">
        <v>981</v>
      </c>
      <c r="AE31" s="381" t="s">
        <v>982</v>
      </c>
      <c r="AF31" s="381" t="s">
        <v>983</v>
      </c>
      <c r="AG31" s="381"/>
      <c r="AH31" s="381"/>
      <c r="AI31" s="381" t="s">
        <v>984</v>
      </c>
      <c r="AJ31" s="381"/>
      <c r="AK31" s="381" t="s">
        <v>1001</v>
      </c>
      <c r="AL31" s="381" t="s">
        <v>1035</v>
      </c>
      <c r="AM31" s="381" t="s">
        <v>1035</v>
      </c>
      <c r="AN31" s="382">
        <v>45974.467361111114</v>
      </c>
      <c r="AO31" s="382">
        <v>46002.4375</v>
      </c>
      <c r="AP31" s="382">
        <v>45982.469444444447</v>
      </c>
      <c r="AQ31" s="381"/>
      <c r="AR31" s="381"/>
      <c r="AS31" s="381"/>
      <c r="AT31" s="381"/>
      <c r="AU31" s="382"/>
      <c r="AV31" s="381">
        <v>0</v>
      </c>
      <c r="AW31" s="381"/>
      <c r="AX31" s="381" t="s">
        <v>1188</v>
      </c>
      <c r="AY31" s="381" t="s">
        <v>1035</v>
      </c>
      <c r="AZ31" s="381" t="s">
        <v>1001</v>
      </c>
      <c r="BA31" s="381" t="s">
        <v>986</v>
      </c>
      <c r="BB31" s="381"/>
      <c r="BC31" s="381"/>
      <c r="BD31" s="381"/>
      <c r="BE31" s="381"/>
      <c r="BF31" s="381"/>
      <c r="BG31" s="381"/>
      <c r="BH31" s="381"/>
      <c r="BI31" s="381"/>
      <c r="BJ31" s="381"/>
      <c r="BK31" s="381"/>
      <c r="BL31" s="381"/>
      <c r="BM31" s="381"/>
      <c r="BN31" s="381"/>
      <c r="BO31" s="381"/>
      <c r="BP31" s="381"/>
      <c r="BQ31" s="381"/>
      <c r="BR31" s="381"/>
      <c r="BS31" s="381"/>
      <c r="BT31" s="381"/>
      <c r="BU31" s="381"/>
      <c r="BV31" s="381"/>
      <c r="BW31" s="381"/>
      <c r="BX31" s="381"/>
      <c r="BY31" s="381"/>
      <c r="BZ31" s="381"/>
      <c r="CA31" s="381"/>
      <c r="CB31" s="381" t="s">
        <v>1189</v>
      </c>
      <c r="CC31" s="381"/>
      <c r="CD31" s="381"/>
      <c r="CE31" s="381"/>
      <c r="CF31" s="381"/>
      <c r="CG31" s="381"/>
      <c r="CH31" s="381"/>
      <c r="CI31" s="381"/>
      <c r="CJ31" s="381" t="s">
        <v>1190</v>
      </c>
      <c r="CK31" s="381" t="s">
        <v>1191</v>
      </c>
      <c r="CL31" s="381"/>
      <c r="CM31" s="381"/>
      <c r="CN31" s="381"/>
      <c r="CO31" s="381"/>
      <c r="CP31" s="381"/>
      <c r="CQ31" s="381"/>
    </row>
    <row r="32" spans="1:96" ht="15" customHeight="1">
      <c r="A32" s="375" t="str">
        <f>VLOOKUP(AK32,members!$A:$C,3,FALSE)</f>
        <v>ETL</v>
      </c>
      <c r="B32" s="376" t="str">
        <f>VLOOKUP(AK32,members!$A:$C,2,FALSE)</f>
        <v>Naveen</v>
      </c>
      <c r="C32" s="376" t="str">
        <f>X32</f>
        <v>RPD-53</v>
      </c>
      <c r="D32" s="376" t="str">
        <f>AB32</f>
        <v>Done</v>
      </c>
      <c r="E32" s="378">
        <f>AU32</f>
        <v>45981</v>
      </c>
      <c r="F32" s="376" t="str">
        <f>W32</f>
        <v>Base table - injection tool options decision (e.g. IDMC / Openflow)</v>
      </c>
      <c r="G32" s="376" t="str">
        <f>AX32</f>
        <v>[~sin0404]  / [~knxn12]  / [~tha0073]  to reach out architect to make a decision on tool options between idmc vs. openflow_x000D_
_x000D_
[~ngu0018]  / [~tig0002]  to make a decision which tool will be used for MDM, SADB/ORACLE, AZURE, AWS. AND SAP BW, GIS, to be added/documented once decision is made_x000D_
_x000D_
[~cvps10]  to reflect data setting changes into technical document._x000D_
_x000D_
 _x000D_
_x000D_
 </v>
      </c>
      <c r="H32" s="376"/>
      <c r="I32" s="376"/>
      <c r="J32" s="376"/>
      <c r="K32" s="376"/>
      <c r="L32" s="376"/>
      <c r="M32" s="376"/>
      <c r="N32" s="376"/>
      <c r="O32" s="376"/>
      <c r="P32" s="376"/>
      <c r="Q32" s="376"/>
      <c r="R32" s="376"/>
      <c r="S32" s="376"/>
      <c r="T32" s="376"/>
      <c r="U32" s="376"/>
      <c r="V32" s="376"/>
      <c r="W32" s="381" t="s">
        <v>1192</v>
      </c>
      <c r="X32" s="381" t="s">
        <v>1193</v>
      </c>
      <c r="Y32" s="381">
        <v>188630</v>
      </c>
      <c r="Z32" s="381">
        <v>188628</v>
      </c>
      <c r="AA32" s="381" t="s">
        <v>978</v>
      </c>
      <c r="AB32" s="381" t="s">
        <v>1061</v>
      </c>
      <c r="AC32" s="381" t="s">
        <v>980</v>
      </c>
      <c r="AD32" s="381" t="s">
        <v>981</v>
      </c>
      <c r="AE32" s="381" t="s">
        <v>982</v>
      </c>
      <c r="AF32" s="381" t="s">
        <v>983</v>
      </c>
      <c r="AG32" s="381"/>
      <c r="AH32" s="381"/>
      <c r="AI32" s="381" t="s">
        <v>984</v>
      </c>
      <c r="AJ32" s="381" t="s">
        <v>1061</v>
      </c>
      <c r="AK32" s="381" t="s">
        <v>994</v>
      </c>
      <c r="AL32" s="381" t="s">
        <v>986</v>
      </c>
      <c r="AM32" s="381" t="s">
        <v>986</v>
      </c>
      <c r="AN32" s="382">
        <v>45981.475694444445</v>
      </c>
      <c r="AO32" s="382">
        <v>45982.467361111114</v>
      </c>
      <c r="AP32" s="382">
        <v>45982.467361111114</v>
      </c>
      <c r="AQ32" s="382">
        <v>45982.467361111114</v>
      </c>
      <c r="AR32" s="381"/>
      <c r="AS32" s="381"/>
      <c r="AT32" s="381"/>
      <c r="AU32" s="382">
        <v>45981</v>
      </c>
      <c r="AV32" s="381">
        <v>0</v>
      </c>
      <c r="AW32" s="381" t="s">
        <v>987</v>
      </c>
      <c r="AX32" s="381" t="s">
        <v>1194</v>
      </c>
      <c r="AY32" s="381" t="s">
        <v>986</v>
      </c>
      <c r="AZ32" s="381"/>
      <c r="BA32" s="381"/>
      <c r="BB32" s="381"/>
      <c r="BC32" s="381"/>
      <c r="BD32" s="381"/>
      <c r="BE32" s="381"/>
      <c r="BF32" s="381"/>
      <c r="BG32" s="381"/>
      <c r="BH32" s="381"/>
      <c r="BI32" s="381"/>
      <c r="BJ32" s="381"/>
      <c r="BK32" s="381"/>
      <c r="BL32" s="381"/>
      <c r="BM32" s="381"/>
      <c r="BN32" s="381"/>
      <c r="BO32" s="381"/>
      <c r="BP32" s="381"/>
      <c r="BQ32" s="381"/>
      <c r="BR32" s="381"/>
      <c r="BS32" s="381"/>
      <c r="BT32" s="381"/>
      <c r="BU32" s="381"/>
      <c r="BV32" s="381"/>
      <c r="BW32" s="381"/>
      <c r="BX32" s="381"/>
      <c r="BY32" s="381"/>
      <c r="BZ32" s="381"/>
      <c r="CA32" s="381"/>
      <c r="CB32" s="381" t="s">
        <v>1195</v>
      </c>
      <c r="CC32" s="381"/>
      <c r="CD32" s="381"/>
      <c r="CE32" s="381"/>
      <c r="CF32" s="381"/>
      <c r="CG32" s="381"/>
      <c r="CH32" s="381"/>
      <c r="CI32" s="381"/>
      <c r="CJ32" s="381" t="s">
        <v>1196</v>
      </c>
      <c r="CK32" s="381" t="s">
        <v>1197</v>
      </c>
      <c r="CL32" s="381" t="s">
        <v>1198</v>
      </c>
      <c r="CM32" s="381" t="s">
        <v>1199</v>
      </c>
      <c r="CN32" s="381"/>
      <c r="CO32" s="381"/>
      <c r="CP32" s="381"/>
      <c r="CQ32" s="381"/>
    </row>
    <row r="33" spans="1:95" ht="15" customHeight="1">
      <c r="A33" s="375" t="str">
        <f>VLOOKUP(AK33,members!$A:$C,3,FALSE)</f>
        <v>ETL</v>
      </c>
      <c r="B33" s="376" t="str">
        <f>VLOOKUP(AK33,members!$A:$C,2,FALSE)</f>
        <v>Naveen</v>
      </c>
      <c r="C33" s="376" t="str">
        <f>X33</f>
        <v>RPD-61</v>
      </c>
      <c r="D33" s="376" t="str">
        <f>AB33</f>
        <v>Done</v>
      </c>
      <c r="E33" s="378">
        <f>AU33</f>
        <v>45989</v>
      </c>
      <c r="F33" s="376" t="str">
        <f>W33</f>
        <v>Create PROD secure agent (second)</v>
      </c>
      <c r="G33" s="376">
        <f>AX33</f>
        <v>0</v>
      </c>
      <c r="H33" s="376"/>
      <c r="I33" s="376"/>
      <c r="J33" s="376"/>
      <c r="K33" s="376"/>
      <c r="L33" s="376"/>
      <c r="M33" s="376"/>
      <c r="N33" s="376"/>
      <c r="O33" s="376"/>
      <c r="P33" s="376"/>
      <c r="Q33" s="376"/>
      <c r="R33" s="376"/>
      <c r="S33" s="376"/>
      <c r="T33" s="376"/>
      <c r="U33" s="376"/>
      <c r="V33" s="376"/>
      <c r="W33" s="381" t="s">
        <v>1200</v>
      </c>
      <c r="X33" s="381" t="s">
        <v>1201</v>
      </c>
      <c r="Y33" s="381">
        <v>188700</v>
      </c>
      <c r="Z33" s="381">
        <v>188654</v>
      </c>
      <c r="AA33" s="381" t="s">
        <v>978</v>
      </c>
      <c r="AB33" s="381" t="s">
        <v>1061</v>
      </c>
      <c r="AC33" s="381" t="s">
        <v>980</v>
      </c>
      <c r="AD33" s="381" t="s">
        <v>981</v>
      </c>
      <c r="AE33" s="381" t="s">
        <v>982</v>
      </c>
      <c r="AF33" s="381" t="s">
        <v>983</v>
      </c>
      <c r="AG33" s="381"/>
      <c r="AH33" s="381"/>
      <c r="AI33" s="381" t="s">
        <v>984</v>
      </c>
      <c r="AJ33" s="381" t="s">
        <v>1061</v>
      </c>
      <c r="AK33" s="381" t="s">
        <v>994</v>
      </c>
      <c r="AL33" s="381" t="s">
        <v>986</v>
      </c>
      <c r="AM33" s="381" t="s">
        <v>986</v>
      </c>
      <c r="AN33" s="382">
        <v>45982.464583333334</v>
      </c>
      <c r="AO33" s="382">
        <v>45987.468055555553</v>
      </c>
      <c r="AP33" s="382">
        <v>45982.464583333334</v>
      </c>
      <c r="AQ33" s="382">
        <v>45987.468055555553</v>
      </c>
      <c r="AR33" s="381"/>
      <c r="AS33" s="381"/>
      <c r="AT33" s="381"/>
      <c r="AU33" s="382">
        <v>45989</v>
      </c>
      <c r="AV33" s="381">
        <v>0</v>
      </c>
      <c r="AW33" s="381" t="s">
        <v>987</v>
      </c>
      <c r="AX33" s="381"/>
      <c r="AY33" s="381" t="s">
        <v>986</v>
      </c>
      <c r="AZ33" s="381"/>
      <c r="BA33" s="381"/>
      <c r="BB33" s="381"/>
      <c r="BC33" s="381"/>
      <c r="BD33" s="381"/>
      <c r="BE33" s="381"/>
      <c r="BF33" s="381"/>
      <c r="BG33" s="381"/>
      <c r="BH33" s="383"/>
      <c r="BI33" s="381"/>
      <c r="BJ33" s="381"/>
      <c r="BK33" s="381"/>
      <c r="BL33" s="381"/>
      <c r="BM33" s="381"/>
      <c r="BN33" s="381"/>
      <c r="BO33" s="381"/>
      <c r="BP33" s="381"/>
      <c r="BQ33" s="381"/>
      <c r="BR33" s="381"/>
      <c r="BS33" s="381"/>
      <c r="BT33" s="381"/>
      <c r="BU33" s="381"/>
      <c r="BV33" s="381"/>
      <c r="BW33" s="381"/>
      <c r="BX33" s="381"/>
      <c r="BY33" s="381"/>
      <c r="BZ33" s="381"/>
      <c r="CA33" s="381"/>
      <c r="CB33" s="381" t="s">
        <v>1202</v>
      </c>
      <c r="CC33" s="381"/>
      <c r="CD33" s="381"/>
      <c r="CE33" s="381"/>
      <c r="CF33" s="381"/>
      <c r="CG33" s="381"/>
      <c r="CH33" s="381"/>
      <c r="CI33" s="381"/>
      <c r="CJ33" s="381"/>
      <c r="CK33" s="381"/>
      <c r="CL33" s="381"/>
      <c r="CM33" s="381"/>
      <c r="CN33" s="381"/>
      <c r="CO33" s="381"/>
      <c r="CP33" s="381"/>
      <c r="CQ33" s="381"/>
    </row>
    <row r="34" spans="1:95" ht="15" customHeight="1">
      <c r="A34" s="375" t="str">
        <f>VLOOKUP(AK34,members!$A:$C,3,FALSE)</f>
        <v>ETL</v>
      </c>
      <c r="B34" s="376" t="str">
        <f>VLOOKUP(AK34,members!$A:$C,2,FALSE)</f>
        <v>Naveen</v>
      </c>
      <c r="C34" s="376" t="str">
        <f>X34</f>
        <v>RPD-60</v>
      </c>
      <c r="D34" s="376" t="str">
        <f>AB34</f>
        <v>In Progress</v>
      </c>
      <c r="E34" s="378">
        <f>AU34</f>
        <v>45986</v>
      </c>
      <c r="F34" s="376" t="str">
        <f>W34</f>
        <v>Create DEV secure agent (first)</v>
      </c>
      <c r="G34" s="376">
        <f>AX34</f>
        <v>0</v>
      </c>
      <c r="H34" s="376"/>
      <c r="I34" s="376"/>
      <c r="J34" s="376"/>
      <c r="K34" s="376"/>
      <c r="L34" s="376"/>
      <c r="M34" s="376"/>
      <c r="N34" s="376"/>
      <c r="O34" s="376"/>
      <c r="P34" s="376"/>
      <c r="Q34" s="376"/>
      <c r="R34" s="376"/>
      <c r="S34" s="376"/>
      <c r="T34" s="376"/>
      <c r="U34" s="376"/>
      <c r="V34" s="376"/>
      <c r="W34" s="381" t="s">
        <v>1203</v>
      </c>
      <c r="X34" s="381" t="s">
        <v>1204</v>
      </c>
      <c r="Y34" s="381">
        <v>188699</v>
      </c>
      <c r="Z34" s="381">
        <v>188654</v>
      </c>
      <c r="AA34" s="381" t="s">
        <v>978</v>
      </c>
      <c r="AB34" s="381" t="s">
        <v>993</v>
      </c>
      <c r="AC34" s="381" t="s">
        <v>980</v>
      </c>
      <c r="AD34" s="381" t="s">
        <v>981</v>
      </c>
      <c r="AE34" s="381" t="s">
        <v>982</v>
      </c>
      <c r="AF34" s="381" t="s">
        <v>983</v>
      </c>
      <c r="AG34" s="381"/>
      <c r="AH34" s="381"/>
      <c r="AI34" s="381" t="s">
        <v>984</v>
      </c>
      <c r="AJ34" s="381"/>
      <c r="AK34" s="381" t="s">
        <v>994</v>
      </c>
      <c r="AL34" s="381" t="s">
        <v>986</v>
      </c>
      <c r="AM34" s="381" t="s">
        <v>986</v>
      </c>
      <c r="AN34" s="382">
        <v>45982.464583333334</v>
      </c>
      <c r="AO34" s="382">
        <v>45987.467361111114</v>
      </c>
      <c r="AP34" s="382">
        <v>45982.464583333334</v>
      </c>
      <c r="AQ34" s="381"/>
      <c r="AR34" s="381"/>
      <c r="AS34" s="381"/>
      <c r="AT34" s="381"/>
      <c r="AU34" s="382">
        <v>45986</v>
      </c>
      <c r="AV34" s="381">
        <v>0</v>
      </c>
      <c r="AW34" s="381" t="s">
        <v>987</v>
      </c>
      <c r="AX34" s="381"/>
      <c r="AY34" s="381" t="s">
        <v>986</v>
      </c>
      <c r="AZ34" s="381"/>
      <c r="BA34" s="381"/>
      <c r="BB34" s="381"/>
      <c r="BC34" s="381"/>
      <c r="BD34" s="381"/>
      <c r="BE34" s="381"/>
      <c r="BF34" s="381"/>
      <c r="BG34" s="381"/>
      <c r="BH34" s="381"/>
      <c r="BI34" s="381"/>
      <c r="BJ34" s="381"/>
      <c r="BK34" s="381"/>
      <c r="BL34" s="381"/>
      <c r="BM34" s="381"/>
      <c r="BN34" s="381"/>
      <c r="BO34" s="381"/>
      <c r="BP34" s="381"/>
      <c r="BQ34" s="381"/>
      <c r="BR34" s="381"/>
      <c r="BS34" s="381"/>
      <c r="BT34" s="381"/>
      <c r="BU34" s="381"/>
      <c r="BV34" s="381"/>
      <c r="BW34" s="381"/>
      <c r="BX34" s="381"/>
      <c r="BY34" s="381"/>
      <c r="BZ34" s="381"/>
      <c r="CA34" s="381"/>
      <c r="CB34" s="381" t="s">
        <v>1205</v>
      </c>
      <c r="CC34" s="381"/>
      <c r="CD34" s="381"/>
      <c r="CE34" s="381"/>
      <c r="CF34" s="381"/>
      <c r="CG34" s="381"/>
      <c r="CH34" s="381"/>
      <c r="CI34" s="381"/>
      <c r="CJ34" s="381"/>
      <c r="CK34" s="381"/>
      <c r="CL34" s="381"/>
      <c r="CM34" s="381"/>
      <c r="CN34" s="381"/>
      <c r="CO34" s="381"/>
      <c r="CP34" s="381"/>
      <c r="CQ34" s="381"/>
    </row>
    <row r="35" spans="1:95" ht="15" customHeight="1">
      <c r="A35" s="375" t="str">
        <f>VLOOKUP(AK35,members!$A:$C,3,FALSE)</f>
        <v>BDA</v>
      </c>
      <c r="B35" s="376" t="str">
        <f>VLOOKUP(AK35,members!$A:$C,2,FALSE)</f>
        <v>Sangtae</v>
      </c>
      <c r="C35" s="376" t="str">
        <f>X35</f>
        <v>RPD-39</v>
      </c>
      <c r="D35" s="376" t="str">
        <f>AB35</f>
        <v>Done</v>
      </c>
      <c r="E35" s="378">
        <f>AU35</f>
        <v>0</v>
      </c>
      <c r="F35" s="376" t="str">
        <f>W35</f>
        <v xml:space="preserve">Buisness Glossary </v>
      </c>
      <c r="G35" s="376" t="str">
        <f>AX35</f>
        <v>Need to Create  Business Glossary for for Phase 1 with details.</v>
      </c>
      <c r="H35" s="376"/>
      <c r="I35" s="376"/>
      <c r="J35" s="376"/>
      <c r="K35" s="376"/>
      <c r="L35" s="376"/>
      <c r="M35" s="376"/>
      <c r="N35" s="376"/>
      <c r="O35" s="376"/>
      <c r="P35" s="376"/>
      <c r="Q35" s="376"/>
      <c r="R35" s="376"/>
      <c r="S35" s="376"/>
      <c r="T35" s="376"/>
      <c r="U35" s="376"/>
      <c r="V35" s="376"/>
      <c r="W35" s="381" t="s">
        <v>1206</v>
      </c>
      <c r="X35" s="381" t="s">
        <v>1207</v>
      </c>
      <c r="Y35" s="381">
        <v>187245</v>
      </c>
      <c r="Z35" s="381"/>
      <c r="AA35" s="381" t="s">
        <v>992</v>
      </c>
      <c r="AB35" s="381" t="s">
        <v>1061</v>
      </c>
      <c r="AC35" s="381" t="s">
        <v>980</v>
      </c>
      <c r="AD35" s="381" t="s">
        <v>981</v>
      </c>
      <c r="AE35" s="381" t="s">
        <v>982</v>
      </c>
      <c r="AF35" s="381" t="s">
        <v>983</v>
      </c>
      <c r="AG35" s="381"/>
      <c r="AH35" s="381"/>
      <c r="AI35" s="381" t="s">
        <v>1208</v>
      </c>
      <c r="AJ35" s="381" t="s">
        <v>1061</v>
      </c>
      <c r="AK35" s="381" t="s">
        <v>986</v>
      </c>
      <c r="AL35" s="381" t="s">
        <v>1035</v>
      </c>
      <c r="AM35" s="381" t="s">
        <v>1035</v>
      </c>
      <c r="AN35" s="382">
        <v>45965.472222222219</v>
      </c>
      <c r="AO35" s="382">
        <v>45982.462500000001</v>
      </c>
      <c r="AP35" s="382">
        <v>45982.462500000001</v>
      </c>
      <c r="AQ35" s="382">
        <v>45982.462500000001</v>
      </c>
      <c r="AR35" s="381"/>
      <c r="AS35" s="381"/>
      <c r="AT35" s="381"/>
      <c r="AU35" s="382"/>
      <c r="AV35" s="381">
        <v>0</v>
      </c>
      <c r="AW35" s="381"/>
      <c r="AX35" s="381" t="s">
        <v>1209</v>
      </c>
      <c r="AY35" s="381" t="s">
        <v>1035</v>
      </c>
      <c r="AZ35" s="381" t="s">
        <v>986</v>
      </c>
      <c r="BA35" s="381"/>
      <c r="BB35" s="381"/>
      <c r="BC35" s="381"/>
      <c r="BD35" s="381"/>
      <c r="BE35" s="381"/>
      <c r="BF35" s="381"/>
      <c r="BG35" s="381"/>
      <c r="BH35" s="381"/>
      <c r="BI35" s="381"/>
      <c r="BJ35" s="381"/>
      <c r="BK35" s="381"/>
      <c r="BL35" s="381"/>
      <c r="BM35" s="381"/>
      <c r="BN35" s="381"/>
      <c r="BO35" s="381"/>
      <c r="BP35" s="381"/>
      <c r="BQ35" s="381"/>
      <c r="BR35" s="381"/>
      <c r="BS35" s="381"/>
      <c r="BT35" s="381"/>
      <c r="BU35" s="381"/>
      <c r="BV35" s="381"/>
      <c r="BW35" s="381"/>
      <c r="BX35" s="381"/>
      <c r="BY35" s="381"/>
      <c r="BZ35" s="381"/>
      <c r="CA35" s="381"/>
      <c r="CB35" s="381" t="s">
        <v>1210</v>
      </c>
      <c r="CC35" s="381"/>
      <c r="CD35" s="381"/>
      <c r="CE35" s="381"/>
      <c r="CF35" s="381"/>
      <c r="CG35" s="381"/>
      <c r="CH35" s="381"/>
      <c r="CI35" s="381"/>
      <c r="CJ35" s="381" t="s">
        <v>1211</v>
      </c>
      <c r="CK35" s="381"/>
      <c r="CL35" s="381"/>
      <c r="CM35" s="381"/>
      <c r="CN35" s="381"/>
      <c r="CO35" s="381"/>
      <c r="CP35" s="381"/>
      <c r="CQ35" s="381"/>
    </row>
    <row r="36" spans="1:95" ht="15" customHeight="1">
      <c r="A36" s="375" t="str">
        <f>VLOOKUP(AK36,members!$A:$C,3,FALSE)</f>
        <v>BDA</v>
      </c>
      <c r="B36" s="376" t="str">
        <f>VLOOKUP(AK36,members!$A:$C,2,FALSE)</f>
        <v>Ron</v>
      </c>
      <c r="C36" s="376" t="str">
        <f>X36</f>
        <v>RPD-48</v>
      </c>
      <c r="D36" s="376" t="str">
        <f>AB36</f>
        <v>Done</v>
      </c>
      <c r="E36" s="378">
        <f>AU36</f>
        <v>45975</v>
      </c>
      <c r="F36" s="376" t="str">
        <f>W36</f>
        <v>Share the work and complete with Ron and Pankaj for Business Glossary</v>
      </c>
      <c r="G36" s="376" t="str">
        <f>AX36</f>
        <v>[~woo0234]  work with [~mok0002]  and [~ana0017]  till 11/14._x000D_
_x000D_
 _x000D_
_x000D_
[Product_PoC_V1.xlsx|https://cpkcrail.sharepoint.com/:x:/r/teams/3_22025InformationServices/_layouts/15/Doc.aspx?sourcedoc=%7BCC2A6CF5-D39D-42E6-91B0-00C454B1916A%7D&amp;file=Product_PoC_V1.xlsx&amp;action=default&amp;mobileredirect=true]_x000D_
_x000D_
in tab data dictionary.</v>
      </c>
      <c r="H36" s="376"/>
      <c r="I36" s="376"/>
      <c r="J36" s="376"/>
      <c r="K36" s="376"/>
      <c r="L36" s="376"/>
      <c r="M36" s="376"/>
      <c r="N36" s="376"/>
      <c r="O36" s="376"/>
      <c r="P36" s="376"/>
      <c r="Q36" s="376"/>
      <c r="R36" s="376"/>
      <c r="S36" s="376"/>
      <c r="T36" s="376"/>
      <c r="U36" s="376"/>
      <c r="V36" s="376"/>
      <c r="W36" s="381" t="s">
        <v>1212</v>
      </c>
      <c r="X36" s="381" t="s">
        <v>1213</v>
      </c>
      <c r="Y36" s="381">
        <v>187803</v>
      </c>
      <c r="Z36" s="381">
        <v>187245</v>
      </c>
      <c r="AA36" s="381" t="s">
        <v>978</v>
      </c>
      <c r="AB36" s="381" t="s">
        <v>1061</v>
      </c>
      <c r="AC36" s="381" t="s">
        <v>980</v>
      </c>
      <c r="AD36" s="381" t="s">
        <v>981</v>
      </c>
      <c r="AE36" s="381" t="s">
        <v>982</v>
      </c>
      <c r="AF36" s="381" t="s">
        <v>983</v>
      </c>
      <c r="AG36" s="381"/>
      <c r="AH36" s="381"/>
      <c r="AI36" s="381" t="s">
        <v>984</v>
      </c>
      <c r="AJ36" s="381" t="s">
        <v>1061</v>
      </c>
      <c r="AK36" s="381" t="s">
        <v>1214</v>
      </c>
      <c r="AL36" s="381" t="s">
        <v>986</v>
      </c>
      <c r="AM36" s="381" t="s">
        <v>986</v>
      </c>
      <c r="AN36" s="382">
        <v>45971.48333333333</v>
      </c>
      <c r="AO36" s="382">
        <v>45982.462500000001</v>
      </c>
      <c r="AP36" s="382">
        <v>45982.462500000001</v>
      </c>
      <c r="AQ36" s="382">
        <v>45982.462500000001</v>
      </c>
      <c r="AR36" s="381"/>
      <c r="AS36" s="381"/>
      <c r="AT36" s="381"/>
      <c r="AU36" s="382">
        <v>45975</v>
      </c>
      <c r="AV36" s="381">
        <v>0</v>
      </c>
      <c r="AW36" s="381"/>
      <c r="AX36" s="381" t="s">
        <v>1215</v>
      </c>
      <c r="AY36" s="381" t="s">
        <v>1035</v>
      </c>
      <c r="AZ36" s="381" t="s">
        <v>1001</v>
      </c>
      <c r="BA36" s="381" t="s">
        <v>986</v>
      </c>
      <c r="BB36" s="381"/>
      <c r="BC36" s="381"/>
      <c r="BD36" s="381"/>
      <c r="BE36" s="381"/>
      <c r="BF36" s="381"/>
      <c r="BG36" s="381"/>
      <c r="BH36" s="381"/>
      <c r="BI36" s="381"/>
      <c r="BJ36" s="381"/>
      <c r="BK36" s="381"/>
      <c r="BL36" s="381"/>
      <c r="BM36" s="381"/>
      <c r="BN36" s="381"/>
      <c r="BO36" s="381"/>
      <c r="BP36" s="381"/>
      <c r="BQ36" s="381"/>
      <c r="BR36" s="381"/>
      <c r="BS36" s="381"/>
      <c r="BT36" s="381"/>
      <c r="BU36" s="381"/>
      <c r="BV36" s="381"/>
      <c r="BW36" s="381"/>
      <c r="BX36" s="381"/>
      <c r="BY36" s="381"/>
      <c r="BZ36" s="381"/>
      <c r="CA36" s="381"/>
      <c r="CB36" s="381" t="s">
        <v>1216</v>
      </c>
      <c r="CC36" s="381"/>
      <c r="CD36" s="381"/>
      <c r="CE36" s="381"/>
      <c r="CF36" s="381"/>
      <c r="CG36" s="381"/>
      <c r="CH36" s="381"/>
      <c r="CI36" s="381"/>
      <c r="CJ36" s="381" t="s">
        <v>1217</v>
      </c>
      <c r="CK36" s="381" t="s">
        <v>1218</v>
      </c>
      <c r="CL36" s="381" t="s">
        <v>1219</v>
      </c>
      <c r="CM36" s="381"/>
      <c r="CN36" s="381"/>
      <c r="CO36" s="381"/>
      <c r="CP36" s="381"/>
      <c r="CQ36" s="381"/>
    </row>
    <row r="37" spans="1:95" ht="15" customHeight="1">
      <c r="A37" s="375" t="str">
        <f>VLOOKUP(AK37,members!$A:$C,3,FALSE)</f>
        <v>BDA</v>
      </c>
      <c r="B37" s="376" t="str">
        <f>VLOOKUP(AK37,members!$A:$C,2,FALSE)</f>
        <v>VPS</v>
      </c>
      <c r="C37" s="376" t="str">
        <f>X37</f>
        <v>RPD-57</v>
      </c>
      <c r="D37" s="376" t="str">
        <f>AB37</f>
        <v>Done</v>
      </c>
      <c r="E37" s="378">
        <f>AU37</f>
        <v>45981</v>
      </c>
      <c r="F37" s="376" t="str">
        <f>W37</f>
        <v>P220 System to Bronze detail to fill up</v>
      </c>
      <c r="G37" s="376" t="str">
        <f>AX37</f>
        <v>while awaiting for bronze to gold, complete system to bronze P220</v>
      </c>
      <c r="H37" s="376"/>
      <c r="I37" s="376"/>
      <c r="J37" s="376"/>
      <c r="K37" s="376"/>
      <c r="L37" s="376"/>
      <c r="M37" s="376"/>
      <c r="N37" s="376"/>
      <c r="O37" s="376"/>
      <c r="P37" s="376"/>
      <c r="Q37" s="376"/>
      <c r="R37" s="376"/>
      <c r="S37" s="376"/>
      <c r="T37" s="376"/>
      <c r="U37" s="376"/>
      <c r="V37" s="376"/>
      <c r="W37" s="381" t="s">
        <v>1220</v>
      </c>
      <c r="X37" s="381" t="s">
        <v>1221</v>
      </c>
      <c r="Y37" s="381">
        <v>188645</v>
      </c>
      <c r="Z37" s="381">
        <v>186079</v>
      </c>
      <c r="AA37" s="381" t="s">
        <v>978</v>
      </c>
      <c r="AB37" s="381" t="s">
        <v>1061</v>
      </c>
      <c r="AC37" s="381" t="s">
        <v>980</v>
      </c>
      <c r="AD37" s="381" t="s">
        <v>981</v>
      </c>
      <c r="AE37" s="381" t="s">
        <v>982</v>
      </c>
      <c r="AF37" s="381" t="s">
        <v>983</v>
      </c>
      <c r="AG37" s="381"/>
      <c r="AH37" s="381"/>
      <c r="AI37" s="381" t="s">
        <v>984</v>
      </c>
      <c r="AJ37" s="381" t="s">
        <v>1061</v>
      </c>
      <c r="AK37" s="381" t="s">
        <v>1001</v>
      </c>
      <c r="AL37" s="381" t="s">
        <v>986</v>
      </c>
      <c r="AM37" s="381" t="s">
        <v>986</v>
      </c>
      <c r="AN37" s="382">
        <v>45981.491666666669</v>
      </c>
      <c r="AO37" s="382">
        <v>45987.476388888892</v>
      </c>
      <c r="AP37" s="382">
        <v>45982.462500000001</v>
      </c>
      <c r="AQ37" s="382">
        <v>45987.476388888892</v>
      </c>
      <c r="AR37" s="381"/>
      <c r="AS37" s="381"/>
      <c r="AT37" s="381"/>
      <c r="AU37" s="382">
        <v>45981</v>
      </c>
      <c r="AV37" s="381">
        <v>0</v>
      </c>
      <c r="AW37" s="381" t="s">
        <v>987</v>
      </c>
      <c r="AX37" s="381" t="s">
        <v>1222</v>
      </c>
      <c r="AY37" s="381" t="s">
        <v>986</v>
      </c>
      <c r="AZ37" s="381"/>
      <c r="BA37" s="381"/>
      <c r="BB37" s="381"/>
      <c r="BC37" s="381"/>
      <c r="BD37" s="381"/>
      <c r="BE37" s="381"/>
      <c r="BF37" s="381"/>
      <c r="BG37" s="381"/>
      <c r="BH37" s="381"/>
      <c r="BI37" s="381"/>
      <c r="BJ37" s="381"/>
      <c r="BK37" s="381"/>
      <c r="BL37" s="381"/>
      <c r="BM37" s="381"/>
      <c r="BN37" s="381"/>
      <c r="BO37" s="381"/>
      <c r="BP37" s="381"/>
      <c r="BQ37" s="381"/>
      <c r="BR37" s="381"/>
      <c r="BS37" s="381"/>
      <c r="BT37" s="381"/>
      <c r="BU37" s="381"/>
      <c r="BV37" s="381"/>
      <c r="BW37" s="381"/>
      <c r="BX37" s="381"/>
      <c r="BY37" s="381"/>
      <c r="BZ37" s="381"/>
      <c r="CA37" s="381"/>
      <c r="CB37" s="381" t="s">
        <v>1223</v>
      </c>
      <c r="CC37" s="381"/>
      <c r="CD37" s="381"/>
      <c r="CE37" s="381"/>
      <c r="CF37" s="381"/>
      <c r="CG37" s="381"/>
      <c r="CH37" s="381"/>
      <c r="CI37" s="381"/>
      <c r="CJ37" s="381" t="s">
        <v>1224</v>
      </c>
      <c r="CK37" s="381" t="s">
        <v>1225</v>
      </c>
      <c r="CL37" s="381"/>
      <c r="CM37" s="381"/>
      <c r="CN37" s="381"/>
      <c r="CO37" s="381"/>
      <c r="CP37" s="381"/>
      <c r="CQ37" s="381"/>
    </row>
    <row r="38" spans="1:95" ht="15" customHeight="1">
      <c r="A38" s="375" t="str">
        <f>VLOOKUP(AK38,members!$A:$C,3,FALSE)</f>
        <v>ETL</v>
      </c>
      <c r="B38" s="376" t="str">
        <f>VLOOKUP(AK38,members!$A:$C,2,FALSE)</f>
        <v>Naveen</v>
      </c>
      <c r="C38" s="376" t="str">
        <f>X38</f>
        <v>RPD-6</v>
      </c>
      <c r="D38" s="376" t="str">
        <f>AB38</f>
        <v>Done</v>
      </c>
      <c r="E38" s="378">
        <f>AU38</f>
        <v>45965</v>
      </c>
      <c r="F38" s="376" t="str">
        <f>W38</f>
        <v>P220 Prep Work - Initial data process review</v>
      </c>
      <c r="G38" s="376" t="str">
        <f>AX38</f>
        <v>P220 Prep Work - Initial data process review (include a complete diagram and target tables) - more technical / naming convention / architects_x000D_
adding more to reflect the platform changes, MDM composition, and preliminary requirement for regulatory tonnage data_x000D_
 _x000D_
Co work to be done by both ETL and Analysts</v>
      </c>
      <c r="H38" s="376"/>
      <c r="I38" s="376"/>
      <c r="J38" s="376"/>
      <c r="K38" s="376"/>
      <c r="L38" s="376"/>
      <c r="M38" s="376"/>
      <c r="N38" s="376"/>
      <c r="O38" s="376"/>
      <c r="P38" s="376"/>
      <c r="Q38" s="376"/>
      <c r="R38" s="376"/>
      <c r="S38" s="376"/>
      <c r="T38" s="376"/>
      <c r="U38" s="376"/>
      <c r="V38" s="376"/>
      <c r="W38" s="381" t="s">
        <v>1226</v>
      </c>
      <c r="X38" s="381" t="s">
        <v>1227</v>
      </c>
      <c r="Y38" s="381">
        <v>186079</v>
      </c>
      <c r="Z38" s="381"/>
      <c r="AA38" s="381" t="s">
        <v>992</v>
      </c>
      <c r="AB38" s="381" t="s">
        <v>1061</v>
      </c>
      <c r="AC38" s="381" t="s">
        <v>980</v>
      </c>
      <c r="AD38" s="381" t="s">
        <v>981</v>
      </c>
      <c r="AE38" s="381" t="s">
        <v>982</v>
      </c>
      <c r="AF38" s="381" t="s">
        <v>983</v>
      </c>
      <c r="AG38" s="381"/>
      <c r="AH38" s="381"/>
      <c r="AI38" s="381" t="s">
        <v>984</v>
      </c>
      <c r="AJ38" s="381" t="s">
        <v>1061</v>
      </c>
      <c r="AK38" s="381" t="s">
        <v>1228</v>
      </c>
      <c r="AL38" s="381" t="s">
        <v>986</v>
      </c>
      <c r="AM38" s="381" t="s">
        <v>986</v>
      </c>
      <c r="AN38" s="382">
        <v>45951.579861111109</v>
      </c>
      <c r="AO38" s="382">
        <v>45987.474999999999</v>
      </c>
      <c r="AP38" s="382">
        <v>45981.490277777775</v>
      </c>
      <c r="AQ38" s="382">
        <v>45987.474999999999</v>
      </c>
      <c r="AR38" s="381"/>
      <c r="AS38" s="381"/>
      <c r="AT38" s="381"/>
      <c r="AU38" s="382">
        <v>45965</v>
      </c>
      <c r="AV38" s="381">
        <v>0</v>
      </c>
      <c r="AW38" s="381" t="s">
        <v>987</v>
      </c>
      <c r="AX38" s="381" t="s">
        <v>1229</v>
      </c>
      <c r="AY38" s="381" t="s">
        <v>1035</v>
      </c>
      <c r="AZ38" s="381" t="s">
        <v>986</v>
      </c>
      <c r="BA38" s="381"/>
      <c r="BB38" s="381"/>
      <c r="BC38" s="381"/>
      <c r="BD38" s="381"/>
      <c r="BE38" s="381">
        <v>144000</v>
      </c>
      <c r="BF38" s="381">
        <v>144000</v>
      </c>
      <c r="BG38" s="381"/>
      <c r="BH38" s="383">
        <v>0</v>
      </c>
      <c r="BI38" s="381">
        <v>144000</v>
      </c>
      <c r="BJ38" s="381">
        <v>144000</v>
      </c>
      <c r="BK38" s="381"/>
      <c r="BL38" s="381"/>
      <c r="BM38" s="381"/>
      <c r="BN38" s="381"/>
      <c r="BO38" s="381"/>
      <c r="BP38" s="381"/>
      <c r="BQ38" s="381"/>
      <c r="BR38" s="381"/>
      <c r="BS38" s="381"/>
      <c r="BT38" s="381"/>
      <c r="BU38" s="381"/>
      <c r="BV38" s="381"/>
      <c r="BW38" s="381"/>
      <c r="BX38" s="381"/>
      <c r="BY38" s="381"/>
      <c r="BZ38" s="381"/>
      <c r="CA38" s="381"/>
      <c r="CB38" s="381" t="s">
        <v>1230</v>
      </c>
      <c r="CC38" s="381"/>
      <c r="CD38" s="381"/>
      <c r="CE38" s="381"/>
      <c r="CF38" s="381"/>
      <c r="CG38" s="381"/>
      <c r="CH38" s="381"/>
      <c r="CI38" s="381"/>
      <c r="CJ38" s="381" t="s">
        <v>1231</v>
      </c>
      <c r="CK38" s="381" t="s">
        <v>1232</v>
      </c>
      <c r="CL38" s="381"/>
      <c r="CM38" s="381"/>
      <c r="CN38" s="381"/>
      <c r="CO38" s="381"/>
      <c r="CP38" s="381"/>
      <c r="CQ38" s="381"/>
    </row>
    <row r="39" spans="1:95" ht="15" customHeight="1">
      <c r="A39" s="375" t="str">
        <f>VLOOKUP(AK39,members!$A:$C,3,FALSE)</f>
        <v>PM</v>
      </c>
      <c r="B39" s="376" t="str">
        <f>VLOOKUP(AK39,members!$A:$C,2,FALSE)</f>
        <v>Robert</v>
      </c>
      <c r="C39" s="376" t="str">
        <f>X39</f>
        <v>RPD-44</v>
      </c>
      <c r="D39" s="376" t="str">
        <f>AB39</f>
        <v>Done</v>
      </c>
      <c r="E39" s="378">
        <f>AU39</f>
        <v>45971</v>
      </c>
      <c r="F39" s="376" t="str">
        <f>W39</f>
        <v>Data quality strategy draft v1</v>
      </c>
      <c r="G39" s="376" t="str">
        <f>AX39</f>
        <v>[~sel0052]  to strategize data quality structure (backbone)_x000D_
_x000D_
discussed about layer based approach_x000D_
_x000D_
work with [~sid0070]  as well._x000D_
_x000D_
eventuall will work with business to weigh in after our review on 10th of Nov.</v>
      </c>
      <c r="H39" s="376"/>
      <c r="I39" s="376"/>
      <c r="J39" s="376"/>
      <c r="K39" s="376"/>
      <c r="L39" s="376"/>
      <c r="M39" s="376"/>
      <c r="N39" s="376"/>
      <c r="O39" s="376"/>
      <c r="P39" s="376"/>
      <c r="Q39" s="376"/>
      <c r="R39" s="376"/>
      <c r="S39" s="376"/>
      <c r="T39" s="376"/>
      <c r="U39" s="376"/>
      <c r="V39" s="376"/>
      <c r="W39" s="381" t="s">
        <v>1233</v>
      </c>
      <c r="X39" s="381" t="s">
        <v>1234</v>
      </c>
      <c r="Y39" s="381">
        <v>187445</v>
      </c>
      <c r="Z39" s="381">
        <v>186087</v>
      </c>
      <c r="AA39" s="381" t="s">
        <v>978</v>
      </c>
      <c r="AB39" s="381" t="s">
        <v>1061</v>
      </c>
      <c r="AC39" s="381" t="s">
        <v>980</v>
      </c>
      <c r="AD39" s="381" t="s">
        <v>981</v>
      </c>
      <c r="AE39" s="381" t="s">
        <v>982</v>
      </c>
      <c r="AF39" s="381" t="s">
        <v>983</v>
      </c>
      <c r="AG39" s="381"/>
      <c r="AH39" s="381"/>
      <c r="AI39" s="381" t="s">
        <v>984</v>
      </c>
      <c r="AJ39" s="381" t="s">
        <v>1061</v>
      </c>
      <c r="AK39" s="381" t="s">
        <v>983</v>
      </c>
      <c r="AL39" s="381" t="s">
        <v>986</v>
      </c>
      <c r="AM39" s="381" t="s">
        <v>986</v>
      </c>
      <c r="AN39" s="382">
        <v>45967.474999999999</v>
      </c>
      <c r="AO39" s="382">
        <v>45987.484722222223</v>
      </c>
      <c r="AP39" s="382">
        <v>45971.477777777778</v>
      </c>
      <c r="AQ39" s="382">
        <v>45987.484722222223</v>
      </c>
      <c r="AR39" s="381"/>
      <c r="AS39" s="381"/>
      <c r="AT39" s="381"/>
      <c r="AU39" s="382">
        <v>45971</v>
      </c>
      <c r="AV39" s="381">
        <v>0</v>
      </c>
      <c r="AW39" s="381" t="s">
        <v>987</v>
      </c>
      <c r="AX39" s="381" t="s">
        <v>1235</v>
      </c>
      <c r="AY39" s="381" t="s">
        <v>986</v>
      </c>
      <c r="AZ39" s="381"/>
      <c r="BA39" s="381"/>
      <c r="BB39" s="381"/>
      <c r="BC39" s="381"/>
      <c r="BD39" s="381"/>
      <c r="BE39" s="381"/>
      <c r="BF39" s="381"/>
      <c r="BG39" s="381"/>
      <c r="BH39" s="381"/>
      <c r="BI39" s="381"/>
      <c r="BJ39" s="381"/>
      <c r="BK39" s="381"/>
      <c r="BL39" s="381"/>
      <c r="BM39" s="381"/>
      <c r="BN39" s="381"/>
      <c r="BO39" s="381"/>
      <c r="BP39" s="381"/>
      <c r="BQ39" s="381"/>
      <c r="BR39" s="381"/>
      <c r="BS39" s="381"/>
      <c r="BT39" s="381"/>
      <c r="BU39" s="381"/>
      <c r="BV39" s="381"/>
      <c r="BW39" s="381"/>
      <c r="BX39" s="381"/>
      <c r="BY39" s="381"/>
      <c r="BZ39" s="381"/>
      <c r="CA39" s="381"/>
      <c r="CB39" s="381" t="s">
        <v>1236</v>
      </c>
      <c r="CC39" s="381"/>
      <c r="CD39" s="381"/>
      <c r="CE39" s="381"/>
      <c r="CF39" s="381"/>
      <c r="CG39" s="381"/>
      <c r="CH39" s="381"/>
      <c r="CI39" s="381"/>
      <c r="CJ39" s="381"/>
      <c r="CK39" s="381"/>
      <c r="CL39" s="381"/>
      <c r="CM39" s="381"/>
      <c r="CN39" s="381"/>
      <c r="CO39" s="381"/>
      <c r="CP39" s="381"/>
      <c r="CQ39" s="381"/>
    </row>
    <row r="40" spans="1:95" ht="15" customHeight="1">
      <c r="A40" s="375" t="str">
        <f>VLOOKUP(AK40,members!$A:$C,3,FALSE)</f>
        <v>Cloud</v>
      </c>
      <c r="B40" s="376" t="str">
        <f>VLOOKUP(AK40,members!$A:$C,2,FALSE)</f>
        <v>Ruben</v>
      </c>
      <c r="C40" s="376" t="str">
        <f>X40</f>
        <v>RPD-47</v>
      </c>
      <c r="D40" s="376" t="str">
        <f>AB40</f>
        <v>Done</v>
      </c>
      <c r="E40" s="378">
        <f>AU40</f>
        <v>45973</v>
      </c>
      <c r="F40" s="376" t="str">
        <f>W40</f>
        <v>Access to build Foundation of Bronze Layer for Squadron</v>
      </c>
      <c r="G40" s="376" t="str">
        <f>AX40</f>
        <v>Establishment of all data systems into Bronze Layer _x000D_
_x000D_
e.g. temp admin access for informatica set up. Need Admin Access for Squadron team._x000D_
_x000D_
 _x000D_
_x000D_
[~las0044]  will follow up with [~gue0154]  for Squadron team ([~dan0243]   / [~hel0063]  / [~tha0073] ..)</v>
      </c>
      <c r="H40" s="376"/>
      <c r="I40" s="376"/>
      <c r="J40" s="376"/>
      <c r="K40" s="376"/>
      <c r="L40" s="376"/>
      <c r="M40" s="376"/>
      <c r="N40" s="376"/>
      <c r="O40" s="376"/>
      <c r="P40" s="376"/>
      <c r="Q40" s="376"/>
      <c r="R40" s="376"/>
      <c r="S40" s="376"/>
      <c r="T40" s="376"/>
      <c r="U40" s="376"/>
      <c r="V40" s="376"/>
      <c r="W40" s="381" t="s">
        <v>1237</v>
      </c>
      <c r="X40" s="381" t="s">
        <v>1238</v>
      </c>
      <c r="Y40" s="381">
        <v>187790</v>
      </c>
      <c r="Z40" s="381"/>
      <c r="AA40" s="381" t="s">
        <v>992</v>
      </c>
      <c r="AB40" s="381" t="s">
        <v>1061</v>
      </c>
      <c r="AC40" s="381" t="s">
        <v>980</v>
      </c>
      <c r="AD40" s="381" t="s">
        <v>981</v>
      </c>
      <c r="AE40" s="381" t="s">
        <v>982</v>
      </c>
      <c r="AF40" s="381" t="s">
        <v>983</v>
      </c>
      <c r="AG40" s="381"/>
      <c r="AH40" s="381"/>
      <c r="AI40" s="381" t="s">
        <v>1239</v>
      </c>
      <c r="AJ40" s="381" t="s">
        <v>1061</v>
      </c>
      <c r="AK40" s="381" t="s">
        <v>1062</v>
      </c>
      <c r="AL40" s="381" t="s">
        <v>986</v>
      </c>
      <c r="AM40" s="381" t="s">
        <v>986</v>
      </c>
      <c r="AN40" s="382">
        <v>45971.476388888892</v>
      </c>
      <c r="AO40" s="382">
        <v>45987.48541666667</v>
      </c>
      <c r="AP40" s="382">
        <v>45971.477083333331</v>
      </c>
      <c r="AQ40" s="382">
        <v>45987.48541666667</v>
      </c>
      <c r="AR40" s="381"/>
      <c r="AS40" s="381"/>
      <c r="AT40" s="381"/>
      <c r="AU40" s="382">
        <v>45973</v>
      </c>
      <c r="AV40" s="381">
        <v>0</v>
      </c>
      <c r="AW40" s="381" t="s">
        <v>987</v>
      </c>
      <c r="AX40" s="381" t="s">
        <v>1240</v>
      </c>
      <c r="AY40" s="381" t="s">
        <v>1035</v>
      </c>
      <c r="AZ40" s="381" t="s">
        <v>986</v>
      </c>
      <c r="BA40" s="381"/>
      <c r="BB40" s="381"/>
      <c r="BC40" s="381"/>
      <c r="BD40" s="381"/>
      <c r="BE40" s="381"/>
      <c r="BF40" s="381"/>
      <c r="BG40" s="381"/>
      <c r="BH40" s="383"/>
      <c r="BI40" s="381"/>
      <c r="BJ40" s="381"/>
      <c r="BK40" s="381"/>
      <c r="BL40" s="381"/>
      <c r="BM40" s="381"/>
      <c r="BN40" s="381"/>
      <c r="BO40" s="381"/>
      <c r="BP40" s="381"/>
      <c r="BQ40" s="381"/>
      <c r="BR40" s="381"/>
      <c r="BS40" s="381"/>
      <c r="BT40" s="381"/>
      <c r="BU40" s="381"/>
      <c r="BV40" s="381"/>
      <c r="BW40" s="381"/>
      <c r="BX40" s="381"/>
      <c r="BY40" s="381"/>
      <c r="BZ40" s="381"/>
      <c r="CA40" s="381"/>
      <c r="CB40" s="381" t="s">
        <v>1241</v>
      </c>
      <c r="CC40" s="381"/>
      <c r="CD40" s="381"/>
      <c r="CE40" s="381"/>
      <c r="CF40" s="381"/>
      <c r="CG40" s="381"/>
      <c r="CH40" s="381"/>
      <c r="CI40" s="381"/>
      <c r="CJ40" s="381" t="s">
        <v>1242</v>
      </c>
      <c r="CK40" s="381" t="s">
        <v>1243</v>
      </c>
      <c r="CL40" s="381" t="s">
        <v>1244</v>
      </c>
      <c r="CM40" s="381"/>
      <c r="CN40" s="381"/>
      <c r="CO40" s="381"/>
      <c r="CP40" s="381"/>
      <c r="CQ40" s="381"/>
    </row>
    <row r="41" spans="1:95" ht="15" customHeight="1">
      <c r="A41" s="375" t="str">
        <f>VLOOKUP(AK41,members!$A:$C,3,FALSE)</f>
        <v>ETL</v>
      </c>
      <c r="B41" s="376" t="str">
        <f>VLOOKUP(AK41,members!$A:$C,2,FALSE)</f>
        <v>Vicky</v>
      </c>
      <c r="C41" s="376" t="str">
        <f>X41</f>
        <v>RPD-10</v>
      </c>
      <c r="D41" s="376" t="str">
        <f>AB41</f>
        <v>In Progress</v>
      </c>
      <c r="E41" s="378">
        <f>AU41</f>
        <v>45957</v>
      </c>
      <c r="F41" s="376" t="str">
        <f>W41</f>
        <v>SADB / MDW / EDW / Azure / Snowflake</v>
      </c>
      <c r="G41" s="376" t="str">
        <f>AX41</f>
        <v>[~mor0460]  to initiate / grant access details in _x000D_
_x000D_
[Rail360 Categorized_Timeline_with_Transcript_Tasks_V1.xlsx|https://cpkcrail.sharepoint.com/:x:/r/teams/3_22025InformationServices/_layouts/15/Doc.aspx?sourcedoc=%7BB98E5961-DAB0-4579-82A0-99B223DB130E%7D&amp;file=Rail360%20Categorized_Timeline_with_Transcript_Tasks_V1.xlsx&amp;action=default&amp;mobileredirect=true] tab Access</v>
      </c>
      <c r="H41" s="376"/>
      <c r="I41" s="376"/>
      <c r="J41" s="376"/>
      <c r="K41" s="376"/>
      <c r="L41" s="376"/>
      <c r="M41" s="376"/>
      <c r="N41" s="376"/>
      <c r="O41" s="376"/>
      <c r="P41" s="376"/>
      <c r="Q41" s="376"/>
      <c r="R41" s="376"/>
      <c r="S41" s="376"/>
      <c r="T41" s="376"/>
      <c r="U41" s="376"/>
      <c r="V41" s="376"/>
      <c r="W41" s="381" t="s">
        <v>1245</v>
      </c>
      <c r="X41" s="381" t="s">
        <v>1246</v>
      </c>
      <c r="Y41" s="381">
        <v>186086</v>
      </c>
      <c r="Z41" s="381"/>
      <c r="AA41" s="381" t="s">
        <v>992</v>
      </c>
      <c r="AB41" s="381" t="s">
        <v>993</v>
      </c>
      <c r="AC41" s="381" t="s">
        <v>980</v>
      </c>
      <c r="AD41" s="381" t="s">
        <v>981</v>
      </c>
      <c r="AE41" s="381" t="s">
        <v>982</v>
      </c>
      <c r="AF41" s="381" t="s">
        <v>983</v>
      </c>
      <c r="AG41" s="381"/>
      <c r="AH41" s="381"/>
      <c r="AI41" s="381" t="s">
        <v>984</v>
      </c>
      <c r="AJ41" s="381"/>
      <c r="AK41" s="381" t="s">
        <v>1247</v>
      </c>
      <c r="AL41" s="381" t="s">
        <v>986</v>
      </c>
      <c r="AM41" s="381" t="s">
        <v>986</v>
      </c>
      <c r="AN41" s="382">
        <v>45951.609722222223</v>
      </c>
      <c r="AO41" s="382">
        <v>45995.47152777778</v>
      </c>
      <c r="AP41" s="382">
        <v>45971.470138888886</v>
      </c>
      <c r="AQ41" s="381"/>
      <c r="AR41" s="381"/>
      <c r="AS41" s="381"/>
      <c r="AT41" s="381"/>
      <c r="AU41" s="382">
        <v>45957</v>
      </c>
      <c r="AV41" s="381">
        <v>0</v>
      </c>
      <c r="AW41" s="381" t="s">
        <v>987</v>
      </c>
      <c r="AX41" s="381" t="s">
        <v>1248</v>
      </c>
      <c r="AY41" s="381" t="s">
        <v>1035</v>
      </c>
      <c r="AZ41" s="381" t="s">
        <v>1130</v>
      </c>
      <c r="BA41" s="381" t="s">
        <v>986</v>
      </c>
      <c r="BB41" s="381"/>
      <c r="BC41" s="381"/>
      <c r="BD41" s="381"/>
      <c r="BE41" s="381"/>
      <c r="BF41" s="381"/>
      <c r="BG41" s="381"/>
      <c r="BH41" s="381"/>
      <c r="BI41" s="381"/>
      <c r="BJ41" s="381"/>
      <c r="BK41" s="381"/>
      <c r="BL41" s="381"/>
      <c r="BM41" s="381"/>
      <c r="BN41" s="381"/>
      <c r="BO41" s="381"/>
      <c r="BP41" s="381"/>
      <c r="BQ41" s="381"/>
      <c r="BR41" s="381"/>
      <c r="BS41" s="381"/>
      <c r="BT41" s="381"/>
      <c r="BU41" s="381"/>
      <c r="BV41" s="381"/>
      <c r="BW41" s="381"/>
      <c r="BX41" s="381"/>
      <c r="BY41" s="381"/>
      <c r="BZ41" s="381"/>
      <c r="CA41" s="381"/>
      <c r="CB41" s="381" t="s">
        <v>1249</v>
      </c>
      <c r="CC41" s="381"/>
      <c r="CD41" s="381"/>
      <c r="CE41" s="381"/>
      <c r="CF41" s="381"/>
      <c r="CG41" s="381"/>
      <c r="CH41" s="381"/>
      <c r="CI41" s="381"/>
      <c r="CJ41" s="381" t="s">
        <v>1250</v>
      </c>
      <c r="CK41" s="381" t="s">
        <v>1251</v>
      </c>
      <c r="CL41" s="381" t="s">
        <v>1252</v>
      </c>
      <c r="CM41" s="381" t="s">
        <v>1253</v>
      </c>
      <c r="CN41" s="381"/>
      <c r="CO41" s="381"/>
      <c r="CP41" s="381"/>
      <c r="CQ41" s="381"/>
    </row>
    <row r="42" spans="1:95" ht="15" customHeight="1">
      <c r="A42" s="375" t="str">
        <f>VLOOKUP(AK42,members!$A:$C,3,FALSE)</f>
        <v>Business</v>
      </c>
      <c r="B42" s="376" t="str">
        <f>VLOOKUP(AK42,members!$A:$C,2,FALSE)</f>
        <v>Paul</v>
      </c>
      <c r="C42" s="376" t="str">
        <f>X42</f>
        <v>RPD-11</v>
      </c>
      <c r="D42" s="376" t="str">
        <f>AB42</f>
        <v>In Progress</v>
      </c>
      <c r="E42" s="378">
        <f>AU42</f>
        <v>45975</v>
      </c>
      <c r="F42" s="376" t="str">
        <f>W42</f>
        <v>Data Quality Rules to complete</v>
      </c>
      <c r="G42" s="376" t="str">
        <f>AX42</f>
        <v>this will be joint efforts among QA ([~sel0052]  / [~sid0070] ) and Business team ([~ste0370]  / [~ten0025] ) and analysts will engage during the process._x000D_
_x000D_
tentative time attached.</v>
      </c>
      <c r="H42" s="376"/>
      <c r="I42" s="376"/>
      <c r="J42" s="376"/>
      <c r="K42" s="376"/>
      <c r="L42" s="376"/>
      <c r="M42" s="376"/>
      <c r="N42" s="376"/>
      <c r="O42" s="376"/>
      <c r="P42" s="376"/>
      <c r="Q42" s="376"/>
      <c r="R42" s="376"/>
      <c r="S42" s="376"/>
      <c r="T42" s="376"/>
      <c r="U42" s="376"/>
      <c r="V42" s="376"/>
      <c r="W42" s="381" t="s">
        <v>1254</v>
      </c>
      <c r="X42" s="381" t="s">
        <v>1255</v>
      </c>
      <c r="Y42" s="381">
        <v>186087</v>
      </c>
      <c r="Z42" s="381"/>
      <c r="AA42" s="381" t="s">
        <v>992</v>
      </c>
      <c r="AB42" s="381" t="s">
        <v>993</v>
      </c>
      <c r="AC42" s="381" t="s">
        <v>980</v>
      </c>
      <c r="AD42" s="381" t="s">
        <v>981</v>
      </c>
      <c r="AE42" s="381" t="s">
        <v>982</v>
      </c>
      <c r="AF42" s="381" t="s">
        <v>983</v>
      </c>
      <c r="AG42" s="381"/>
      <c r="AH42" s="381"/>
      <c r="AI42" s="381" t="s">
        <v>984</v>
      </c>
      <c r="AJ42" s="381"/>
      <c r="AK42" s="381" t="s">
        <v>1256</v>
      </c>
      <c r="AL42" s="381" t="s">
        <v>986</v>
      </c>
      <c r="AM42" s="381" t="s">
        <v>986</v>
      </c>
      <c r="AN42" s="382">
        <v>45951.609722222223</v>
      </c>
      <c r="AO42" s="382">
        <v>45993.479861111111</v>
      </c>
      <c r="AP42" s="382">
        <v>45968.468055555553</v>
      </c>
      <c r="AQ42" s="381"/>
      <c r="AR42" s="381"/>
      <c r="AS42" s="381"/>
      <c r="AT42" s="381"/>
      <c r="AU42" s="382">
        <v>45975</v>
      </c>
      <c r="AV42" s="381">
        <v>0</v>
      </c>
      <c r="AW42" s="381" t="s">
        <v>987</v>
      </c>
      <c r="AX42" s="381" t="s">
        <v>1257</v>
      </c>
      <c r="AY42" s="381" t="s">
        <v>1001</v>
      </c>
      <c r="AZ42" s="381" t="s">
        <v>1130</v>
      </c>
      <c r="BA42" s="381" t="s">
        <v>986</v>
      </c>
      <c r="BB42" s="381"/>
      <c r="BC42" s="381"/>
      <c r="BD42" s="381"/>
      <c r="BE42" s="381"/>
      <c r="BF42" s="381"/>
      <c r="BG42" s="381"/>
      <c r="BH42" s="381"/>
      <c r="BI42" s="381"/>
      <c r="BJ42" s="381"/>
      <c r="BK42" s="381"/>
      <c r="BL42" s="381"/>
      <c r="BM42" s="381"/>
      <c r="BN42" s="381"/>
      <c r="BO42" s="381"/>
      <c r="BP42" s="381"/>
      <c r="BQ42" s="381"/>
      <c r="BR42" s="381"/>
      <c r="BS42" s="381"/>
      <c r="BT42" s="381"/>
      <c r="BU42" s="381"/>
      <c r="BV42" s="381"/>
      <c r="BW42" s="381"/>
      <c r="BX42" s="381"/>
      <c r="BY42" s="381"/>
      <c r="BZ42" s="381"/>
      <c r="CA42" s="381"/>
      <c r="CB42" s="381" t="s">
        <v>1258</v>
      </c>
      <c r="CC42" s="381"/>
      <c r="CD42" s="381"/>
      <c r="CE42" s="381"/>
      <c r="CF42" s="381"/>
      <c r="CG42" s="381"/>
      <c r="CH42" s="381"/>
      <c r="CI42" s="381"/>
      <c r="CJ42" s="381" t="s">
        <v>1259</v>
      </c>
      <c r="CK42" s="381" t="s">
        <v>1260</v>
      </c>
      <c r="CL42" s="381"/>
      <c r="CM42" s="381"/>
      <c r="CN42" s="381"/>
      <c r="CO42" s="381"/>
      <c r="CP42" s="381"/>
      <c r="CQ42" s="381"/>
    </row>
    <row r="43" spans="1:95" ht="15" customHeight="1">
      <c r="A43" s="375" t="str">
        <f>VLOOKUP(AK43,members!$A:$C,3,FALSE)</f>
        <v>QE</v>
      </c>
      <c r="B43" s="376" t="str">
        <f>VLOOKUP(AK43,members!$A:$C,2,FALSE)</f>
        <v>Raheel</v>
      </c>
      <c r="C43" s="376" t="str">
        <f>X43</f>
        <v>RPD-34</v>
      </c>
      <c r="D43" s="376" t="str">
        <f>AB43</f>
        <v>Done</v>
      </c>
      <c r="E43" s="378">
        <f>AU43</f>
        <v>45961</v>
      </c>
      <c r="F43" s="376" t="str">
        <f>W43</f>
        <v>recap and summary of test case phase 1 draft document</v>
      </c>
      <c r="G43" s="376" t="str">
        <f>AX43</f>
        <v>for harleen and key stakeholders.</v>
      </c>
      <c r="H43" s="376"/>
      <c r="I43" s="376"/>
      <c r="J43" s="376"/>
      <c r="K43" s="376"/>
      <c r="L43" s="376"/>
      <c r="M43" s="376"/>
      <c r="N43" s="376"/>
      <c r="O43" s="376"/>
      <c r="P43" s="376"/>
      <c r="Q43" s="376"/>
      <c r="R43" s="376"/>
      <c r="S43" s="376"/>
      <c r="T43" s="376"/>
      <c r="U43" s="376"/>
      <c r="V43" s="376"/>
      <c r="W43" s="381" t="s">
        <v>1261</v>
      </c>
      <c r="X43" s="381" t="s">
        <v>1262</v>
      </c>
      <c r="Y43" s="381">
        <v>186587</v>
      </c>
      <c r="Z43" s="381"/>
      <c r="AA43" s="381" t="s">
        <v>992</v>
      </c>
      <c r="AB43" s="381" t="s">
        <v>1061</v>
      </c>
      <c r="AC43" s="381" t="s">
        <v>980</v>
      </c>
      <c r="AD43" s="381" t="s">
        <v>981</v>
      </c>
      <c r="AE43" s="381" t="s">
        <v>982</v>
      </c>
      <c r="AF43" s="381" t="s">
        <v>983</v>
      </c>
      <c r="AG43" s="381"/>
      <c r="AH43" s="381"/>
      <c r="AI43" s="381" t="s">
        <v>984</v>
      </c>
      <c r="AJ43" s="381" t="s">
        <v>1061</v>
      </c>
      <c r="AK43" s="381" t="s">
        <v>1069</v>
      </c>
      <c r="AL43" s="381" t="s">
        <v>986</v>
      </c>
      <c r="AM43" s="381" t="s">
        <v>986</v>
      </c>
      <c r="AN43" s="382">
        <v>45958.46597222222</v>
      </c>
      <c r="AO43" s="382">
        <v>45967.475694444445</v>
      </c>
      <c r="AP43" s="382">
        <v>45967.475694444445</v>
      </c>
      <c r="AQ43" s="382">
        <v>45967.475694444445</v>
      </c>
      <c r="AR43" s="381"/>
      <c r="AS43" s="381"/>
      <c r="AT43" s="381"/>
      <c r="AU43" s="382">
        <v>45961</v>
      </c>
      <c r="AV43" s="381">
        <v>0</v>
      </c>
      <c r="AW43" s="381" t="s">
        <v>987</v>
      </c>
      <c r="AX43" s="381" t="s">
        <v>1263</v>
      </c>
      <c r="AY43" s="381" t="s">
        <v>1035</v>
      </c>
      <c r="AZ43" s="381" t="s">
        <v>986</v>
      </c>
      <c r="BA43" s="381"/>
      <c r="BB43" s="381"/>
      <c r="BC43" s="381"/>
      <c r="BD43" s="381"/>
      <c r="BE43" s="381"/>
      <c r="BF43" s="381"/>
      <c r="BG43" s="381"/>
      <c r="BH43" s="381"/>
      <c r="BI43" s="381"/>
      <c r="BJ43" s="381"/>
      <c r="BK43" s="381"/>
      <c r="BL43" s="381"/>
      <c r="BM43" s="381"/>
      <c r="BN43" s="381"/>
      <c r="BO43" s="381"/>
      <c r="BP43" s="381"/>
      <c r="BQ43" s="381"/>
      <c r="BR43" s="381"/>
      <c r="BS43" s="381"/>
      <c r="BT43" s="381"/>
      <c r="BU43" s="381"/>
      <c r="BV43" s="381"/>
      <c r="BW43" s="381"/>
      <c r="BX43" s="381"/>
      <c r="BY43" s="381"/>
      <c r="BZ43" s="381"/>
      <c r="CA43" s="381"/>
      <c r="CB43" s="381" t="s">
        <v>1264</v>
      </c>
      <c r="CC43" s="381"/>
      <c r="CD43" s="381"/>
      <c r="CE43" s="381"/>
      <c r="CF43" s="381"/>
      <c r="CG43" s="381"/>
      <c r="CH43" s="381"/>
      <c r="CI43" s="381"/>
      <c r="CJ43" s="381" t="s">
        <v>1265</v>
      </c>
      <c r="CK43" s="381"/>
      <c r="CL43" s="381"/>
      <c r="CM43" s="381"/>
      <c r="CN43" s="381"/>
      <c r="CO43" s="381"/>
      <c r="CP43" s="381"/>
      <c r="CQ43" s="381"/>
    </row>
    <row r="44" spans="1:95" ht="15" customHeight="1">
      <c r="A44" s="375" t="str">
        <f>VLOOKUP(AK44,members!$A:$C,3,FALSE)</f>
        <v>Squadron</v>
      </c>
      <c r="B44" s="376" t="str">
        <f>VLOOKUP(AK44,members!$A:$C,2,FALSE)</f>
        <v>Babu</v>
      </c>
      <c r="C44" s="376" t="str">
        <f>X44</f>
        <v>RPD-43</v>
      </c>
      <c r="D44" s="376" t="str">
        <f>AB44</f>
        <v>Done</v>
      </c>
      <c r="E44" s="378">
        <f>AU44</f>
        <v>45967</v>
      </c>
      <c r="F44" s="376" t="str">
        <f>W44</f>
        <v>P220 - subtask to identify data points with Squadron team</v>
      </c>
      <c r="G44" s="376" t="str">
        <f>AX44</f>
        <v>requires design overview update for table level detail between CPKC DA's/ETL's and Squadron_x000D_
_x000D_
allocation of data points by layers _x000D_
_x000D_
[~tha0073] / [~cvps10]  / [~kvxg11]  / [~dan0243]  to follow up</v>
      </c>
      <c r="H44" s="376"/>
      <c r="I44" s="376"/>
      <c r="J44" s="376"/>
      <c r="K44" s="376"/>
      <c r="L44" s="376"/>
      <c r="M44" s="376"/>
      <c r="N44" s="376"/>
      <c r="O44" s="376"/>
      <c r="P44" s="376"/>
      <c r="Q44" s="376"/>
      <c r="R44" s="376"/>
      <c r="S44" s="376"/>
      <c r="T44" s="376"/>
      <c r="U44" s="376"/>
      <c r="V44" s="376"/>
      <c r="W44" s="381" t="s">
        <v>1266</v>
      </c>
      <c r="X44" s="381" t="s">
        <v>1267</v>
      </c>
      <c r="Y44" s="381">
        <v>187426</v>
      </c>
      <c r="Z44" s="381">
        <v>186079</v>
      </c>
      <c r="AA44" s="381" t="s">
        <v>978</v>
      </c>
      <c r="AB44" s="381" t="s">
        <v>1061</v>
      </c>
      <c r="AC44" s="381" t="s">
        <v>980</v>
      </c>
      <c r="AD44" s="381" t="s">
        <v>981</v>
      </c>
      <c r="AE44" s="381" t="s">
        <v>982</v>
      </c>
      <c r="AF44" s="381" t="s">
        <v>983</v>
      </c>
      <c r="AG44" s="381"/>
      <c r="AH44" s="381"/>
      <c r="AI44" s="381" t="s">
        <v>984</v>
      </c>
      <c r="AJ44" s="381" t="s">
        <v>1061</v>
      </c>
      <c r="AK44" s="381" t="s">
        <v>1094</v>
      </c>
      <c r="AL44" s="381" t="s">
        <v>986</v>
      </c>
      <c r="AM44" s="381" t="s">
        <v>986</v>
      </c>
      <c r="AN44" s="382">
        <v>45967.463194444441</v>
      </c>
      <c r="AO44" s="382">
        <v>45993.475694444445</v>
      </c>
      <c r="AP44" s="382">
        <v>45967.46597222222</v>
      </c>
      <c r="AQ44" s="382">
        <v>45993.475694444445</v>
      </c>
      <c r="AR44" s="381"/>
      <c r="AS44" s="381"/>
      <c r="AT44" s="381"/>
      <c r="AU44" s="382">
        <v>45967</v>
      </c>
      <c r="AV44" s="381">
        <v>0</v>
      </c>
      <c r="AW44" s="381" t="s">
        <v>987</v>
      </c>
      <c r="AX44" s="381" t="s">
        <v>1268</v>
      </c>
      <c r="AY44" s="381" t="s">
        <v>1035</v>
      </c>
      <c r="AZ44" s="381" t="s">
        <v>1001</v>
      </c>
      <c r="BA44" s="381" t="s">
        <v>1130</v>
      </c>
      <c r="BB44" s="381" t="s">
        <v>986</v>
      </c>
      <c r="BC44" s="381"/>
      <c r="BD44" s="381"/>
      <c r="BE44" s="381"/>
      <c r="BF44" s="381"/>
      <c r="BG44" s="381"/>
      <c r="BH44" s="383"/>
      <c r="BI44" s="381"/>
      <c r="BJ44" s="381"/>
      <c r="BK44" s="381"/>
      <c r="BL44" s="381"/>
      <c r="BM44" s="381"/>
      <c r="BN44" s="381"/>
      <c r="BO44" s="381"/>
      <c r="BP44" s="381"/>
      <c r="BQ44" s="381"/>
      <c r="BR44" s="381"/>
      <c r="BS44" s="381"/>
      <c r="BT44" s="381"/>
      <c r="BU44" s="381"/>
      <c r="BV44" s="381"/>
      <c r="BW44" s="381"/>
      <c r="BX44" s="381"/>
      <c r="BY44" s="381"/>
      <c r="BZ44" s="381"/>
      <c r="CA44" s="381"/>
      <c r="CB44" s="381" t="s">
        <v>1269</v>
      </c>
      <c r="CC44" s="381"/>
      <c r="CD44" s="381"/>
      <c r="CE44" s="381"/>
      <c r="CF44" s="381"/>
      <c r="CG44" s="381"/>
      <c r="CH44" s="381"/>
      <c r="CI44" s="381"/>
      <c r="CJ44" s="381" t="s">
        <v>1270</v>
      </c>
      <c r="CK44" s="381" t="s">
        <v>1271</v>
      </c>
      <c r="CL44" s="381" t="s">
        <v>1272</v>
      </c>
      <c r="CM44" s="381" t="s">
        <v>1273</v>
      </c>
      <c r="CN44" s="381" t="s">
        <v>1274</v>
      </c>
      <c r="CO44" s="381"/>
      <c r="CP44" s="381"/>
      <c r="CQ44" s="381"/>
    </row>
    <row r="45" spans="1:95" ht="15" customHeight="1">
      <c r="A45" s="375" t="str">
        <f>VLOOKUP(AK45,members!$A:$C,3,FALSE)</f>
        <v>ETL</v>
      </c>
      <c r="B45" s="376" t="str">
        <f>VLOOKUP(AK45,members!$A:$C,2,FALSE)</f>
        <v>Vicky</v>
      </c>
      <c r="C45" s="376" t="str">
        <f>X45</f>
        <v>RPD-7</v>
      </c>
      <c r="D45" s="376" t="str">
        <f>AB45</f>
        <v>Done</v>
      </c>
      <c r="E45" s="378">
        <f>AU45</f>
        <v>45953</v>
      </c>
      <c r="F45" s="376" t="str">
        <f>W45</f>
        <v>Set Out / Lift update (Vicky)</v>
      </c>
      <c r="G45" s="376" t="str">
        <f>AX45</f>
        <v>*Understanding lift / set out data along with work order for equipment on train or in yard. (TYES)*_x000D_
- architecture review with Kishore_x000D_
- review with TYES team (Ronald)_x000D_
- review with SADB to confirm data unavailability (that we don't have it)</v>
      </c>
      <c r="H45" s="376"/>
      <c r="I45" s="376"/>
      <c r="J45" s="376"/>
      <c r="K45" s="376"/>
      <c r="L45" s="376"/>
      <c r="M45" s="376"/>
      <c r="N45" s="376"/>
      <c r="O45" s="376"/>
      <c r="P45" s="376"/>
      <c r="Q45" s="376"/>
      <c r="R45" s="376"/>
      <c r="S45" s="376"/>
      <c r="T45" s="376"/>
      <c r="U45" s="376"/>
      <c r="V45" s="376"/>
      <c r="W45" s="381" t="s">
        <v>1275</v>
      </c>
      <c r="X45" s="381" t="s">
        <v>1276</v>
      </c>
      <c r="Y45" s="381">
        <v>186080</v>
      </c>
      <c r="Z45" s="381"/>
      <c r="AA45" s="381" t="s">
        <v>992</v>
      </c>
      <c r="AB45" s="381" t="s">
        <v>1061</v>
      </c>
      <c r="AC45" s="381" t="s">
        <v>980</v>
      </c>
      <c r="AD45" s="381" t="s">
        <v>981</v>
      </c>
      <c r="AE45" s="381" t="s">
        <v>982</v>
      </c>
      <c r="AF45" s="381" t="s">
        <v>983</v>
      </c>
      <c r="AG45" s="381"/>
      <c r="AH45" s="381"/>
      <c r="AI45" s="381" t="s">
        <v>984</v>
      </c>
      <c r="AJ45" s="381" t="s">
        <v>1061</v>
      </c>
      <c r="AK45" s="381" t="s">
        <v>1247</v>
      </c>
      <c r="AL45" s="381" t="s">
        <v>986</v>
      </c>
      <c r="AM45" s="381" t="s">
        <v>986</v>
      </c>
      <c r="AN45" s="382">
        <v>45951.582638888889</v>
      </c>
      <c r="AO45" s="382">
        <v>45967.463194444441</v>
      </c>
      <c r="AP45" s="382">
        <v>45967.463194444441</v>
      </c>
      <c r="AQ45" s="382">
        <v>45967.463194444441</v>
      </c>
      <c r="AR45" s="381"/>
      <c r="AS45" s="381"/>
      <c r="AT45" s="381"/>
      <c r="AU45" s="382">
        <v>45953</v>
      </c>
      <c r="AV45" s="381">
        <v>0</v>
      </c>
      <c r="AW45" s="381" t="s">
        <v>987</v>
      </c>
      <c r="AX45" s="381" t="s">
        <v>1277</v>
      </c>
      <c r="AY45" s="381" t="s">
        <v>986</v>
      </c>
      <c r="AZ45" s="381"/>
      <c r="BA45" s="381"/>
      <c r="BB45" s="381"/>
      <c r="BC45" s="381"/>
      <c r="BD45" s="381"/>
      <c r="BE45" s="381"/>
      <c r="BF45" s="381"/>
      <c r="BG45" s="381"/>
      <c r="BH45" s="381"/>
      <c r="BI45" s="381"/>
      <c r="BJ45" s="381"/>
      <c r="BK45" s="381"/>
      <c r="BL45" s="381"/>
      <c r="BM45" s="381"/>
      <c r="BN45" s="381"/>
      <c r="BO45" s="381"/>
      <c r="BP45" s="381"/>
      <c r="BQ45" s="381"/>
      <c r="BR45" s="381"/>
      <c r="BS45" s="381"/>
      <c r="BT45" s="381"/>
      <c r="BU45" s="381"/>
      <c r="BV45" s="381"/>
      <c r="BW45" s="381"/>
      <c r="BX45" s="381"/>
      <c r="BY45" s="381"/>
      <c r="BZ45" s="381"/>
      <c r="CA45" s="381"/>
      <c r="CB45" s="381" t="s">
        <v>1278</v>
      </c>
      <c r="CC45" s="381"/>
      <c r="CD45" s="381"/>
      <c r="CE45" s="381"/>
      <c r="CF45" s="381"/>
      <c r="CG45" s="381"/>
      <c r="CH45" s="381"/>
      <c r="CI45" s="381"/>
      <c r="CJ45" s="381" t="s">
        <v>1279</v>
      </c>
      <c r="CK45" s="381" t="s">
        <v>1280</v>
      </c>
      <c r="CL45" s="381"/>
      <c r="CM45" s="381"/>
      <c r="CN45" s="381"/>
      <c r="CO45" s="381"/>
      <c r="CP45" s="381"/>
      <c r="CQ45" s="381"/>
    </row>
    <row r="46" spans="1:95" ht="15" customHeight="1">
      <c r="A46" s="375" t="str">
        <f>VLOOKUP(AK46,members!$A:$C,3,FALSE)</f>
        <v>ETL</v>
      </c>
      <c r="B46" s="376" t="str">
        <f>VLOOKUP(AK46,members!$A:$C,2,FALSE)</f>
        <v>Vicky</v>
      </c>
      <c r="C46" s="376" t="str">
        <f t="shared" ref="C46:C53" si="0">X46</f>
        <v>RPD-28</v>
      </c>
      <c r="D46" s="376" t="str">
        <f t="shared" ref="D46:D53" si="1">AB46</f>
        <v>Done</v>
      </c>
      <c r="E46" s="378">
        <f t="shared" ref="E46:E53" si="2">AU46</f>
        <v>45957</v>
      </c>
      <c r="F46" s="376" t="str">
        <f t="shared" ref="F46:F53" si="3">W46</f>
        <v>Set Out / Lift update (identify datapoint within SADB in house first)</v>
      </c>
      <c r="G46" s="376" t="str">
        <f t="shared" ref="G46:G53" si="4">AX46</f>
        <v>if it requires further investigation, [~ana0017]  and [~woo0234]  will validate_x000D_
_x000D_
and [~ana0017]  will weigh in with Neeraj_x000D_
_x000D_
 _x000D_
_x000D_
 </v>
      </c>
      <c r="H46" s="376"/>
      <c r="I46" s="376"/>
      <c r="J46" s="376"/>
      <c r="K46" s="376"/>
      <c r="L46" s="376"/>
      <c r="M46" s="376"/>
      <c r="N46" s="376"/>
      <c r="O46" s="376"/>
      <c r="P46" s="376"/>
      <c r="Q46" s="376"/>
      <c r="R46" s="376"/>
      <c r="S46" s="376"/>
      <c r="T46" s="376"/>
      <c r="U46" s="376"/>
      <c r="V46" s="376"/>
      <c r="W46" s="381" t="s">
        <v>1281</v>
      </c>
      <c r="X46" s="381" t="s">
        <v>1282</v>
      </c>
      <c r="Y46" s="381">
        <v>186286</v>
      </c>
      <c r="Z46" s="381">
        <v>186080</v>
      </c>
      <c r="AA46" s="381" t="s">
        <v>978</v>
      </c>
      <c r="AB46" s="381" t="s">
        <v>1061</v>
      </c>
      <c r="AC46" s="381" t="s">
        <v>980</v>
      </c>
      <c r="AD46" s="381" t="s">
        <v>981</v>
      </c>
      <c r="AE46" s="381" t="s">
        <v>982</v>
      </c>
      <c r="AF46" s="381" t="s">
        <v>983</v>
      </c>
      <c r="AG46" s="381"/>
      <c r="AH46" s="381"/>
      <c r="AI46" s="381" t="s">
        <v>984</v>
      </c>
      <c r="AJ46" s="381" t="s">
        <v>1061</v>
      </c>
      <c r="AK46" s="381" t="s">
        <v>1247</v>
      </c>
      <c r="AL46" s="381" t="s">
        <v>986</v>
      </c>
      <c r="AM46" s="381" t="s">
        <v>986</v>
      </c>
      <c r="AN46" s="382">
        <v>45954.474999999999</v>
      </c>
      <c r="AO46" s="382">
        <v>45967.463194444441</v>
      </c>
      <c r="AP46" s="382">
        <v>45967.463194444441</v>
      </c>
      <c r="AQ46" s="382">
        <v>45967.463194444441</v>
      </c>
      <c r="AR46" s="381"/>
      <c r="AS46" s="381"/>
      <c r="AT46" s="381"/>
      <c r="AU46" s="382">
        <v>45957</v>
      </c>
      <c r="AV46" s="381">
        <v>0</v>
      </c>
      <c r="AW46" s="381" t="s">
        <v>987</v>
      </c>
      <c r="AX46" s="381" t="s">
        <v>1283</v>
      </c>
      <c r="AY46" s="381" t="s">
        <v>1035</v>
      </c>
      <c r="AZ46" s="381" t="s">
        <v>1247</v>
      </c>
      <c r="BA46" s="381" t="s">
        <v>986</v>
      </c>
      <c r="BB46" s="381"/>
      <c r="BC46" s="381"/>
      <c r="BD46" s="381"/>
      <c r="BE46" s="381"/>
      <c r="BF46" s="381"/>
      <c r="BG46" s="381"/>
      <c r="BH46" s="381"/>
      <c r="BI46" s="381"/>
      <c r="BJ46" s="381"/>
      <c r="BK46" s="381"/>
      <c r="BL46" s="381"/>
      <c r="BM46" s="381"/>
      <c r="BN46" s="381"/>
      <c r="BO46" s="381"/>
      <c r="BP46" s="381"/>
      <c r="BQ46" s="381"/>
      <c r="BR46" s="381"/>
      <c r="BS46" s="381"/>
      <c r="BT46" s="381"/>
      <c r="BU46" s="381"/>
      <c r="BV46" s="381"/>
      <c r="BW46" s="381"/>
      <c r="BX46" s="381"/>
      <c r="BY46" s="381"/>
      <c r="BZ46" s="381"/>
      <c r="CA46" s="381"/>
      <c r="CB46" s="381" t="s">
        <v>1284</v>
      </c>
      <c r="CC46" s="381"/>
      <c r="CD46" s="381"/>
      <c r="CE46" s="381"/>
      <c r="CF46" s="381"/>
      <c r="CG46" s="381"/>
      <c r="CH46" s="381"/>
      <c r="CI46" s="381"/>
      <c r="CJ46" s="381" t="s">
        <v>1285</v>
      </c>
      <c r="CK46" s="381" t="s">
        <v>1286</v>
      </c>
      <c r="CL46" s="381" t="s">
        <v>1287</v>
      </c>
      <c r="CM46" s="381" t="s">
        <v>1288</v>
      </c>
      <c r="CN46" s="381"/>
      <c r="CO46" s="381"/>
      <c r="CP46" s="381"/>
      <c r="CQ46" s="381"/>
    </row>
    <row r="47" spans="1:95" ht="15" customHeight="1">
      <c r="A47" s="375" t="str">
        <f>VLOOKUP(AK47,members!$A:$C,3,FALSE)</f>
        <v>BDA</v>
      </c>
      <c r="B47" s="376" t="str">
        <f>VLOOKUP(AK47,members!$A:$C,2,FALSE)</f>
        <v>Pankaj</v>
      </c>
      <c r="C47" s="376" t="str">
        <f t="shared" si="0"/>
        <v>RPD-3</v>
      </c>
      <c r="D47" s="376" t="str">
        <f t="shared" si="1"/>
        <v>Done</v>
      </c>
      <c r="E47" s="378">
        <f t="shared" si="2"/>
        <v>45951</v>
      </c>
      <c r="F47" s="376" t="str">
        <f t="shared" si="3"/>
        <v>P140 creation</v>
      </c>
      <c r="G47" s="376" t="str">
        <f t="shared" si="4"/>
        <v>Obtaining approval for P140_x000D_
 - revising / updating P140 to reflect the platform changes, MDM composition, and preliminary requirement for regulatory tonnage data</v>
      </c>
      <c r="H47" s="376"/>
      <c r="I47" s="376"/>
      <c r="J47" s="376"/>
      <c r="K47" s="376"/>
      <c r="L47" s="376"/>
      <c r="M47" s="376"/>
      <c r="N47" s="376"/>
      <c r="O47" s="376"/>
      <c r="P47" s="376"/>
      <c r="Q47" s="376"/>
      <c r="R47" s="376"/>
      <c r="S47" s="376"/>
      <c r="T47" s="376"/>
      <c r="U47" s="376"/>
      <c r="V47" s="376"/>
      <c r="W47" s="384" t="s">
        <v>1289</v>
      </c>
      <c r="X47" s="384" t="s">
        <v>1290</v>
      </c>
      <c r="Y47" s="384">
        <v>186074</v>
      </c>
      <c r="Z47" s="385"/>
      <c r="AA47" s="386" t="s">
        <v>992</v>
      </c>
      <c r="AB47" s="385" t="s">
        <v>1061</v>
      </c>
      <c r="AC47" s="385" t="s">
        <v>980</v>
      </c>
      <c r="AD47" s="387" t="s">
        <v>981</v>
      </c>
      <c r="AE47" s="387" t="s">
        <v>982</v>
      </c>
      <c r="AF47" s="387" t="s">
        <v>983</v>
      </c>
      <c r="AI47" s="387" t="s">
        <v>984</v>
      </c>
      <c r="AJ47" s="388" t="s">
        <v>1061</v>
      </c>
      <c r="AK47" s="388" t="s">
        <v>1035</v>
      </c>
      <c r="AL47" s="387" t="s">
        <v>986</v>
      </c>
      <c r="AM47" s="387" t="s">
        <v>986</v>
      </c>
      <c r="AN47" s="403">
        <v>45951.574305555558</v>
      </c>
      <c r="AO47" s="403">
        <v>45967.459722222222</v>
      </c>
      <c r="AP47" s="403">
        <v>45967.459722222222</v>
      </c>
      <c r="AQ47" s="403">
        <v>45967.459722222222</v>
      </c>
      <c r="AU47" s="403">
        <v>45951</v>
      </c>
      <c r="AV47" s="387">
        <v>0</v>
      </c>
      <c r="AW47" s="387" t="s">
        <v>987</v>
      </c>
      <c r="AX47" s="404" t="s">
        <v>1291</v>
      </c>
      <c r="AY47" s="387" t="s">
        <v>986</v>
      </c>
      <c r="BE47" s="387">
        <v>28800</v>
      </c>
      <c r="BF47" s="387">
        <v>28800</v>
      </c>
      <c r="BH47" s="405">
        <v>0</v>
      </c>
      <c r="BI47" s="387">
        <v>28800</v>
      </c>
      <c r="BJ47" s="387">
        <v>28800</v>
      </c>
      <c r="CB47" s="387" t="s">
        <v>1292</v>
      </c>
      <c r="CJ47" s="387" t="s">
        <v>1293</v>
      </c>
    </row>
    <row r="48" spans="1:95" ht="15" customHeight="1">
      <c r="A48" s="375" t="str">
        <f>VLOOKUP(AK48,members!$A:$C,3,FALSE)</f>
        <v>PM</v>
      </c>
      <c r="B48" s="376" t="str">
        <f>VLOOKUP(AK48,members!$A:$C,2,FALSE)</f>
        <v>Robert</v>
      </c>
      <c r="C48" s="376" t="str">
        <f t="shared" si="0"/>
        <v>RPD-40</v>
      </c>
      <c r="D48" s="376" t="str">
        <f t="shared" si="1"/>
        <v>Done</v>
      </c>
      <c r="E48" s="378">
        <f t="shared" si="2"/>
        <v>45967</v>
      </c>
      <c r="F48" s="376" t="str">
        <f t="shared" si="3"/>
        <v>P140 draft review with Sangtae</v>
      </c>
      <c r="G48" s="376" t="str">
        <f t="shared" si="4"/>
        <v>draft is crafted by [~pat0582]  and [~ana0017] </v>
      </c>
      <c r="H48" s="376"/>
      <c r="I48" s="376"/>
      <c r="J48" s="376"/>
      <c r="K48" s="376"/>
      <c r="L48" s="376"/>
      <c r="M48" s="376"/>
      <c r="N48" s="376"/>
      <c r="O48" s="376"/>
      <c r="P48" s="376"/>
      <c r="Q48" s="376"/>
      <c r="R48" s="376"/>
      <c r="S48" s="376"/>
      <c r="T48" s="376"/>
      <c r="U48" s="376"/>
      <c r="V48" s="376"/>
      <c r="W48" s="384" t="s">
        <v>1294</v>
      </c>
      <c r="X48" s="384" t="s">
        <v>1295</v>
      </c>
      <c r="Y48" s="384">
        <v>187290</v>
      </c>
      <c r="Z48" s="385">
        <v>186074</v>
      </c>
      <c r="AA48" s="386" t="s">
        <v>978</v>
      </c>
      <c r="AB48" s="385" t="s">
        <v>1061</v>
      </c>
      <c r="AC48" s="385" t="s">
        <v>980</v>
      </c>
      <c r="AD48" s="387" t="s">
        <v>981</v>
      </c>
      <c r="AE48" s="387" t="s">
        <v>982</v>
      </c>
      <c r="AF48" s="387" t="s">
        <v>983</v>
      </c>
      <c r="AI48" s="387" t="s">
        <v>984</v>
      </c>
      <c r="AJ48" s="388" t="s">
        <v>1061</v>
      </c>
      <c r="AK48" s="388" t="s">
        <v>983</v>
      </c>
      <c r="AL48" s="387" t="s">
        <v>986</v>
      </c>
      <c r="AM48" s="387" t="s">
        <v>986</v>
      </c>
      <c r="AN48" s="403">
        <v>45966.469444444447</v>
      </c>
      <c r="AO48" s="403">
        <v>45967.459722222222</v>
      </c>
      <c r="AP48" s="403">
        <v>45967.459722222222</v>
      </c>
      <c r="AQ48" s="403">
        <v>45967.459722222222</v>
      </c>
      <c r="AU48" s="403">
        <v>45967</v>
      </c>
      <c r="AV48" s="387">
        <v>0</v>
      </c>
      <c r="AX48" s="387" t="s">
        <v>1296</v>
      </c>
      <c r="AY48" s="387" t="s">
        <v>986</v>
      </c>
      <c r="CB48" s="387" t="s">
        <v>1297</v>
      </c>
    </row>
    <row r="49" spans="1:98" ht="15" customHeight="1">
      <c r="A49" s="375" t="str">
        <f>VLOOKUP(AK49,members!$A:$C,3,FALSE)</f>
        <v>Architect</v>
      </c>
      <c r="B49" s="376" t="str">
        <f>VLOOKUP(AK49,members!$A:$C,2,FALSE)</f>
        <v>David</v>
      </c>
      <c r="C49" s="376" t="str">
        <f t="shared" si="0"/>
        <v>RPD-27</v>
      </c>
      <c r="D49" s="376" t="str">
        <f t="shared" si="1"/>
        <v>In Progress</v>
      </c>
      <c r="E49" s="378">
        <f t="shared" si="2"/>
        <v>46010</v>
      </c>
      <c r="F49" s="376" t="str">
        <f t="shared" si="3"/>
        <v>P219- update and details</v>
      </c>
      <c r="G49" s="376" t="str">
        <f t="shared" si="4"/>
        <v>Just a follow up task for P219 document in daily scrum meeting.</v>
      </c>
      <c r="H49" s="376"/>
      <c r="I49" s="376"/>
      <c r="J49" s="376"/>
      <c r="K49" s="376"/>
      <c r="L49" s="376"/>
      <c r="M49" s="376"/>
      <c r="N49" s="376"/>
      <c r="O49" s="376"/>
      <c r="P49" s="376"/>
      <c r="Q49" s="376"/>
      <c r="R49" s="376"/>
      <c r="S49" s="376"/>
      <c r="T49" s="376"/>
      <c r="U49" s="376"/>
      <c r="V49" s="376"/>
      <c r="W49" s="384" t="s">
        <v>1298</v>
      </c>
      <c r="X49" s="389" t="s">
        <v>1299</v>
      </c>
      <c r="Y49" s="389">
        <v>186240</v>
      </c>
      <c r="Z49" s="390"/>
      <c r="AA49" s="386" t="s">
        <v>992</v>
      </c>
      <c r="AB49" s="385" t="s">
        <v>993</v>
      </c>
      <c r="AC49" s="385" t="s">
        <v>980</v>
      </c>
      <c r="AD49" s="387" t="s">
        <v>981</v>
      </c>
      <c r="AE49" s="387" t="s">
        <v>982</v>
      </c>
      <c r="AF49" s="387" t="s">
        <v>983</v>
      </c>
      <c r="AI49" s="387" t="s">
        <v>984</v>
      </c>
      <c r="AJ49" s="388"/>
      <c r="AK49" s="388" t="s">
        <v>1075</v>
      </c>
      <c r="AL49" s="387" t="s">
        <v>1035</v>
      </c>
      <c r="AM49" s="387" t="s">
        <v>1035</v>
      </c>
      <c r="AN49" s="403">
        <v>45953.472916666666</v>
      </c>
      <c r="AO49" s="403">
        <v>46001.431250000001</v>
      </c>
      <c r="AP49" s="403">
        <v>45966.484722222223</v>
      </c>
      <c r="AU49" s="403">
        <v>46010</v>
      </c>
      <c r="AV49" s="387">
        <v>0</v>
      </c>
      <c r="AX49" s="387" t="s">
        <v>1300</v>
      </c>
      <c r="AY49" s="387" t="s">
        <v>1035</v>
      </c>
      <c r="AZ49" s="387" t="s">
        <v>1001</v>
      </c>
      <c r="BA49" s="387" t="s">
        <v>1075</v>
      </c>
      <c r="BB49" s="387" t="s">
        <v>986</v>
      </c>
      <c r="CB49" s="387" t="s">
        <v>1301</v>
      </c>
      <c r="CJ49" s="387" t="s">
        <v>1302</v>
      </c>
      <c r="CK49" s="387" t="s">
        <v>1303</v>
      </c>
      <c r="CL49" s="404" t="s">
        <v>1304</v>
      </c>
      <c r="CM49" s="387" t="s">
        <v>1305</v>
      </c>
      <c r="CN49" s="387" t="s">
        <v>1306</v>
      </c>
      <c r="CO49" s="404" t="s">
        <v>1307</v>
      </c>
      <c r="CP49" s="404" t="s">
        <v>1308</v>
      </c>
      <c r="CQ49" s="387" t="s">
        <v>1309</v>
      </c>
      <c r="CR49" t="s">
        <v>1310</v>
      </c>
      <c r="CS49" t="s">
        <v>1311</v>
      </c>
      <c r="CT49" t="s">
        <v>1312</v>
      </c>
    </row>
    <row r="50" spans="1:98" ht="15" customHeight="1">
      <c r="A50" s="375" t="str">
        <f>VLOOKUP(AK50,members!$A:$C,3,FALSE)</f>
        <v>BDA</v>
      </c>
      <c r="B50" s="376" t="str">
        <f>VLOOKUP(AK50,members!$A:$C,2,FALSE)</f>
        <v>Sangtae</v>
      </c>
      <c r="C50" s="376" t="str">
        <f t="shared" si="0"/>
        <v>RPD-15</v>
      </c>
      <c r="D50" s="376" t="str">
        <f t="shared" si="1"/>
        <v>Done</v>
      </c>
      <c r="E50" s="378">
        <f t="shared" si="2"/>
        <v>45954</v>
      </c>
      <c r="F50" s="376" t="str">
        <f t="shared" si="3"/>
        <v>Interview with Stakeholders for Product Design</v>
      </c>
      <c r="G50" s="376" t="str">
        <f t="shared" si="4"/>
        <v>Product design, user interfaces, and self service analytics requirement gathering from key stakeholders with departments leaders including operating analytics, mechanical, engineering, finance, and regulatory teams (key user groups)</v>
      </c>
      <c r="H50" s="376"/>
      <c r="I50" s="376"/>
      <c r="J50" s="376"/>
      <c r="K50" s="376"/>
      <c r="L50" s="376"/>
      <c r="M50" s="376"/>
      <c r="N50" s="376"/>
      <c r="O50" s="376"/>
      <c r="P50" s="376"/>
      <c r="Q50" s="376"/>
      <c r="R50" s="376"/>
      <c r="S50" s="376"/>
      <c r="T50" s="376"/>
      <c r="U50" s="376"/>
      <c r="V50" s="376"/>
      <c r="W50" s="384" t="s">
        <v>1313</v>
      </c>
      <c r="X50" s="384" t="s">
        <v>1314</v>
      </c>
      <c r="Y50" s="384">
        <v>186091</v>
      </c>
      <c r="Z50" s="385"/>
      <c r="AA50" s="386" t="s">
        <v>992</v>
      </c>
      <c r="AB50" s="385" t="s">
        <v>1061</v>
      </c>
      <c r="AC50" s="385" t="s">
        <v>980</v>
      </c>
      <c r="AD50" s="387" t="s">
        <v>981</v>
      </c>
      <c r="AE50" s="387" t="s">
        <v>982</v>
      </c>
      <c r="AF50" s="387" t="s">
        <v>983</v>
      </c>
      <c r="AI50" s="387" t="s">
        <v>984</v>
      </c>
      <c r="AJ50" s="388" t="s">
        <v>1061</v>
      </c>
      <c r="AK50" s="388" t="s">
        <v>986</v>
      </c>
      <c r="AL50" s="387" t="s">
        <v>986</v>
      </c>
      <c r="AM50" s="387" t="s">
        <v>986</v>
      </c>
      <c r="AN50" s="403">
        <v>45951.618055555555</v>
      </c>
      <c r="AO50" s="403">
        <v>45958.724999999999</v>
      </c>
      <c r="AP50" s="403">
        <v>45958.724999999999</v>
      </c>
      <c r="AQ50" s="403">
        <v>45958.724999999999</v>
      </c>
      <c r="AU50" s="403">
        <v>45954</v>
      </c>
      <c r="AV50" s="387">
        <v>0</v>
      </c>
      <c r="AW50" s="387" t="s">
        <v>987</v>
      </c>
      <c r="AX50" s="387" t="s">
        <v>1315</v>
      </c>
      <c r="AY50" s="387" t="s">
        <v>986</v>
      </c>
      <c r="BI50" s="387">
        <v>720</v>
      </c>
      <c r="BJ50" s="387">
        <v>720</v>
      </c>
      <c r="BL50" s="387" t="s">
        <v>1316</v>
      </c>
      <c r="CB50" s="387" t="s">
        <v>1317</v>
      </c>
    </row>
    <row r="51" spans="1:98" ht="15" customHeight="1">
      <c r="A51" s="375" t="str">
        <f>VLOOKUP(AK51,members!$A:$C,3,FALSE)</f>
        <v>BDA</v>
      </c>
      <c r="B51" s="376" t="str">
        <f>VLOOKUP(AK51,members!$A:$C,2,FALSE)</f>
        <v>Sangtae</v>
      </c>
      <c r="C51" s="376" t="str">
        <f t="shared" si="0"/>
        <v>RPD-19</v>
      </c>
      <c r="D51" s="376" t="str">
        <f t="shared" si="1"/>
        <v>Done</v>
      </c>
      <c r="E51" s="378">
        <f t="shared" si="2"/>
        <v>45958</v>
      </c>
      <c r="F51" s="376" t="str">
        <f t="shared" si="3"/>
        <v>Interview - Finance</v>
      </c>
      <c r="G51" s="376" t="str">
        <f t="shared" si="4"/>
        <v>Interview - Finance</v>
      </c>
      <c r="H51" s="376"/>
      <c r="I51" s="376"/>
      <c r="J51" s="376"/>
      <c r="K51" s="376"/>
      <c r="L51" s="376"/>
      <c r="M51" s="376"/>
      <c r="N51" s="376"/>
      <c r="O51" s="376"/>
      <c r="P51" s="376"/>
      <c r="Q51" s="376"/>
      <c r="R51" s="376"/>
      <c r="S51" s="376"/>
      <c r="T51" s="376"/>
      <c r="U51" s="376"/>
      <c r="V51" s="376"/>
      <c r="W51" s="384" t="s">
        <v>1318</v>
      </c>
      <c r="X51" s="384" t="s">
        <v>1319</v>
      </c>
      <c r="Y51" s="384">
        <v>186095</v>
      </c>
      <c r="Z51" s="385">
        <v>186091</v>
      </c>
      <c r="AA51" s="386" t="s">
        <v>978</v>
      </c>
      <c r="AB51" s="385" t="s">
        <v>1061</v>
      </c>
      <c r="AC51" s="385" t="s">
        <v>980</v>
      </c>
      <c r="AD51" s="387" t="s">
        <v>981</v>
      </c>
      <c r="AE51" s="387" t="s">
        <v>982</v>
      </c>
      <c r="AF51" s="387" t="s">
        <v>983</v>
      </c>
      <c r="AI51" s="387" t="s">
        <v>984</v>
      </c>
      <c r="AJ51" s="388" t="s">
        <v>1061</v>
      </c>
      <c r="AK51" s="388" t="s">
        <v>986</v>
      </c>
      <c r="AL51" s="387" t="s">
        <v>986</v>
      </c>
      <c r="AM51" s="387" t="s">
        <v>986</v>
      </c>
      <c r="AN51" s="403">
        <v>45951.620833333334</v>
      </c>
      <c r="AO51" s="403">
        <v>45958.724999999999</v>
      </c>
      <c r="AP51" s="403">
        <v>45958.724999999999</v>
      </c>
      <c r="AQ51" s="403">
        <v>45958.724999999999</v>
      </c>
      <c r="AU51" s="403">
        <v>45958</v>
      </c>
      <c r="AV51" s="387">
        <v>0</v>
      </c>
      <c r="AW51" s="387" t="s">
        <v>987</v>
      </c>
      <c r="AX51" s="387" t="s">
        <v>1318</v>
      </c>
      <c r="AY51" s="387" t="s">
        <v>986</v>
      </c>
      <c r="BE51" s="387">
        <v>180</v>
      </c>
      <c r="BF51" s="387">
        <v>180</v>
      </c>
      <c r="BH51" s="405">
        <v>0</v>
      </c>
      <c r="BI51" s="387">
        <v>180</v>
      </c>
      <c r="BJ51" s="387">
        <v>180</v>
      </c>
      <c r="CB51" s="387" t="s">
        <v>1320</v>
      </c>
      <c r="CJ51" s="387" t="s">
        <v>1321</v>
      </c>
    </row>
    <row r="52" spans="1:98" ht="15" customHeight="1">
      <c r="A52" s="375" t="str">
        <f>VLOOKUP(AK52,members!$A:$C,3,FALSE)</f>
        <v>PM</v>
      </c>
      <c r="B52" s="376" t="str">
        <f>VLOOKUP(AK52,members!$A:$C,2,FALSE)</f>
        <v>Robert</v>
      </c>
      <c r="C52" s="376" t="str">
        <f t="shared" si="0"/>
        <v>RPD-38</v>
      </c>
      <c r="D52" s="376" t="str">
        <f t="shared" si="1"/>
        <v>Done</v>
      </c>
      <c r="E52" s="378">
        <f t="shared" si="2"/>
        <v>45961</v>
      </c>
      <c r="F52" s="376" t="str">
        <f t="shared" si="3"/>
        <v>R4J document to be done by PM</v>
      </c>
      <c r="G52" s="376" t="str">
        <f t="shared" si="4"/>
        <v>[~ana0017]  already have approved P140 document and details can be entered back into system by [~las0044] </v>
      </c>
      <c r="H52" s="376"/>
      <c r="I52" s="376"/>
      <c r="J52" s="376"/>
      <c r="K52" s="376"/>
      <c r="L52" s="376"/>
      <c r="M52" s="376"/>
      <c r="N52" s="376"/>
      <c r="O52" s="376"/>
      <c r="P52" s="376"/>
      <c r="Q52" s="376"/>
      <c r="R52" s="376"/>
      <c r="S52" s="376"/>
      <c r="T52" s="376"/>
      <c r="U52" s="376"/>
      <c r="V52" s="376"/>
      <c r="W52" s="384" t="s">
        <v>1322</v>
      </c>
      <c r="X52" s="384" t="s">
        <v>1323</v>
      </c>
      <c r="Y52" s="384">
        <v>186600</v>
      </c>
      <c r="Z52" s="385"/>
      <c r="AA52" s="386" t="s">
        <v>992</v>
      </c>
      <c r="AB52" s="385" t="s">
        <v>1061</v>
      </c>
      <c r="AC52" s="385" t="s">
        <v>980</v>
      </c>
      <c r="AD52" s="387" t="s">
        <v>981</v>
      </c>
      <c r="AE52" s="387" t="s">
        <v>982</v>
      </c>
      <c r="AF52" s="387" t="s">
        <v>983</v>
      </c>
      <c r="AI52" s="387" t="s">
        <v>984</v>
      </c>
      <c r="AJ52" s="388" t="s">
        <v>1061</v>
      </c>
      <c r="AK52" s="388" t="s">
        <v>983</v>
      </c>
      <c r="AL52" s="387" t="s">
        <v>986</v>
      </c>
      <c r="AM52" s="387" t="s">
        <v>986</v>
      </c>
      <c r="AN52" s="403">
        <v>45958.509027777778</v>
      </c>
      <c r="AO52" s="403">
        <v>45964.463194444441</v>
      </c>
      <c r="AP52" s="403">
        <v>45958.509027777778</v>
      </c>
      <c r="AQ52" s="403">
        <v>45964.463194444441</v>
      </c>
      <c r="AU52" s="403">
        <v>45961</v>
      </c>
      <c r="AV52" s="387">
        <v>0</v>
      </c>
      <c r="AW52" s="387" t="s">
        <v>987</v>
      </c>
      <c r="AX52" s="387" t="s">
        <v>1324</v>
      </c>
      <c r="AY52" s="387" t="s">
        <v>986</v>
      </c>
      <c r="CB52" s="387" t="s">
        <v>1325</v>
      </c>
    </row>
    <row r="53" spans="1:98" ht="15" customHeight="1">
      <c r="A53" s="375" t="str">
        <f>VLOOKUP(AK53,members!$A:$C,3,FALSE)</f>
        <v>BDA</v>
      </c>
      <c r="B53" s="376" t="str">
        <f>VLOOKUP(AK53,members!$A:$C,2,FALSE)</f>
        <v>Pankaj</v>
      </c>
      <c r="C53" s="376" t="str">
        <f t="shared" si="0"/>
        <v>RPD-37</v>
      </c>
      <c r="D53" s="376" t="str">
        <f t="shared" si="1"/>
        <v>Done</v>
      </c>
      <c r="E53" s="378">
        <f t="shared" si="2"/>
        <v>45961</v>
      </c>
      <c r="F53" s="376" t="str">
        <f t="shared" si="3"/>
        <v>business transformation document (revised for issue type change)</v>
      </c>
      <c r="G53" s="376" t="str">
        <f t="shared" si="4"/>
        <v>Updated:4 days ago 10:27 AM_x000D_
h3. Description_x000D_
Document Business rules - get the code from ETL and Qlik and convert them into plain English for Squadron team._x000D_
explain in plain English for business rule_x000D_
 _x000D_
Try to put plain English in OUR (CPKC Employee's) understanding then fabricate with A.I._x000D_
do not start with A.I. </v>
      </c>
      <c r="H53" s="376"/>
      <c r="I53" s="376"/>
      <c r="J53" s="376"/>
      <c r="K53" s="376"/>
      <c r="L53" s="376"/>
      <c r="M53" s="376"/>
      <c r="N53" s="376"/>
      <c r="O53" s="376"/>
      <c r="P53" s="376"/>
      <c r="Q53" s="376"/>
      <c r="R53" s="376"/>
      <c r="S53" s="376"/>
      <c r="T53" s="376"/>
      <c r="U53" s="376"/>
      <c r="V53" s="376"/>
      <c r="W53" s="384" t="s">
        <v>1326</v>
      </c>
      <c r="X53" s="384" t="s">
        <v>1327</v>
      </c>
      <c r="Y53" s="384">
        <v>186599</v>
      </c>
      <c r="Z53" s="385"/>
      <c r="AA53" s="386" t="s">
        <v>992</v>
      </c>
      <c r="AB53" s="385" t="s">
        <v>1061</v>
      </c>
      <c r="AC53" s="385" t="s">
        <v>980</v>
      </c>
      <c r="AD53" s="387" t="s">
        <v>981</v>
      </c>
      <c r="AE53" s="387" t="s">
        <v>982</v>
      </c>
      <c r="AF53" s="387" t="s">
        <v>983</v>
      </c>
      <c r="AI53" s="387" t="s">
        <v>984</v>
      </c>
      <c r="AJ53" s="388" t="s">
        <v>1061</v>
      </c>
      <c r="AK53" s="388" t="s">
        <v>1035</v>
      </c>
      <c r="AL53" s="387" t="s">
        <v>986</v>
      </c>
      <c r="AM53" s="387" t="s">
        <v>986</v>
      </c>
      <c r="AN53" s="403">
        <v>45958.508333333331</v>
      </c>
      <c r="AO53" s="403">
        <v>45964.429166666669</v>
      </c>
      <c r="AP53" s="403">
        <v>45958.508333333331</v>
      </c>
      <c r="AQ53" s="403">
        <v>45964.429166666669</v>
      </c>
      <c r="AU53" s="403">
        <v>45961</v>
      </c>
      <c r="AV53" s="387">
        <v>0</v>
      </c>
      <c r="AW53" s="387" t="s">
        <v>987</v>
      </c>
      <c r="AX53" s="404" t="s">
        <v>1328</v>
      </c>
      <c r="AY53" s="387" t="s">
        <v>1035</v>
      </c>
      <c r="AZ53" s="387" t="s">
        <v>986</v>
      </c>
      <c r="CB53" s="387" t="s">
        <v>1329</v>
      </c>
      <c r="CJ53" s="387" t="s">
        <v>1330</v>
      </c>
      <c r="CK53" s="387" t="s">
        <v>1331</v>
      </c>
    </row>
    <row r="54" spans="1:98" ht="15" customHeight="1">
      <c r="B54" s="376"/>
      <c r="C54" s="376"/>
      <c r="D54" s="376"/>
      <c r="E54" s="376"/>
      <c r="F54" s="376"/>
      <c r="G54" s="376"/>
      <c r="H54" s="376"/>
      <c r="I54" s="376"/>
      <c r="J54" s="376"/>
      <c r="K54" s="376"/>
      <c r="L54" s="376"/>
      <c r="M54" s="376"/>
      <c r="N54" s="376"/>
      <c r="O54" s="376"/>
      <c r="P54" s="376"/>
      <c r="Q54" s="376"/>
      <c r="R54" s="376"/>
      <c r="S54" s="376"/>
      <c r="T54" s="376"/>
      <c r="U54" s="376"/>
      <c r="V54" s="376"/>
      <c r="W54" s="384"/>
      <c r="X54" s="384"/>
      <c r="Y54" s="384"/>
      <c r="Z54" s="385"/>
      <c r="AA54" s="386"/>
      <c r="AB54" s="385"/>
      <c r="AC54" s="385"/>
      <c r="AJ54" s="388"/>
      <c r="AK54" s="388"/>
    </row>
    <row r="55" spans="1:98" ht="15" customHeight="1">
      <c r="B55" s="376"/>
      <c r="C55" s="376"/>
      <c r="D55" s="376"/>
      <c r="E55" s="376"/>
      <c r="F55" s="376"/>
      <c r="G55" s="376"/>
      <c r="H55" s="376"/>
      <c r="I55" s="376"/>
      <c r="J55" s="376"/>
      <c r="K55" s="376"/>
      <c r="L55" s="376"/>
      <c r="M55" s="376"/>
      <c r="N55" s="376"/>
      <c r="O55" s="376"/>
      <c r="P55" s="376"/>
      <c r="Q55" s="376"/>
      <c r="R55" s="376"/>
      <c r="S55" s="376"/>
      <c r="T55" s="376"/>
      <c r="U55" s="376"/>
      <c r="V55" s="376"/>
      <c r="W55" s="384"/>
      <c r="X55" s="384"/>
      <c r="Y55" s="384"/>
      <c r="Z55" s="385"/>
      <c r="AA55" s="386"/>
      <c r="AB55" s="385"/>
      <c r="AC55" s="385"/>
      <c r="AJ55" s="388"/>
      <c r="AK55" s="388"/>
    </row>
    <row r="56" spans="1:98" ht="15" customHeight="1">
      <c r="B56" s="376"/>
      <c r="C56" s="376"/>
      <c r="D56" s="376"/>
      <c r="E56" s="376"/>
      <c r="F56" s="376"/>
      <c r="G56" s="376"/>
      <c r="H56" s="376"/>
      <c r="I56" s="376"/>
      <c r="J56" s="376"/>
      <c r="K56" s="376"/>
      <c r="L56" s="376"/>
      <c r="M56" s="376"/>
      <c r="N56" s="376"/>
      <c r="O56" s="376"/>
      <c r="P56" s="376"/>
      <c r="Q56" s="376"/>
      <c r="R56" s="376"/>
      <c r="S56" s="376"/>
      <c r="T56" s="376"/>
      <c r="U56" s="376"/>
      <c r="V56" s="376"/>
      <c r="W56" s="384"/>
      <c r="X56" s="389"/>
      <c r="Y56" s="389"/>
      <c r="Z56" s="385"/>
      <c r="AA56" s="386"/>
      <c r="AB56" s="385"/>
      <c r="AC56" s="385"/>
      <c r="AJ56" s="388"/>
      <c r="AK56" s="388"/>
    </row>
    <row r="57" spans="1:98" ht="15" customHeight="1">
      <c r="B57" s="376"/>
      <c r="C57" s="376"/>
      <c r="D57" s="376"/>
      <c r="E57" s="376"/>
      <c r="F57" s="376"/>
      <c r="G57" s="376"/>
      <c r="H57" s="376"/>
      <c r="I57" s="376"/>
      <c r="J57" s="376"/>
      <c r="K57" s="376"/>
      <c r="L57" s="376"/>
      <c r="M57" s="376"/>
      <c r="N57" s="376"/>
      <c r="O57" s="376"/>
      <c r="P57" s="376"/>
      <c r="Q57" s="376"/>
      <c r="R57" s="376"/>
      <c r="S57" s="376"/>
      <c r="T57" s="376"/>
      <c r="U57" s="376"/>
      <c r="V57" s="376"/>
      <c r="W57" s="384"/>
      <c r="X57" s="389"/>
      <c r="Y57" s="389"/>
      <c r="Z57" s="385"/>
      <c r="AA57" s="386"/>
      <c r="AB57" s="385"/>
      <c r="AC57" s="385"/>
      <c r="AJ57" s="388"/>
      <c r="AK57" s="388"/>
    </row>
    <row r="58" spans="1:98" ht="15" customHeight="1">
      <c r="B58" s="376"/>
      <c r="C58" s="376"/>
      <c r="D58" s="376"/>
      <c r="E58" s="376"/>
      <c r="F58" s="376"/>
      <c r="G58" s="376"/>
      <c r="H58" s="376"/>
      <c r="I58" s="376"/>
      <c r="J58" s="376"/>
      <c r="K58" s="376"/>
      <c r="L58" s="376"/>
      <c r="M58" s="376"/>
      <c r="N58" s="376"/>
      <c r="O58" s="376"/>
      <c r="P58" s="376"/>
      <c r="Q58" s="376"/>
      <c r="R58" s="376"/>
      <c r="S58" s="376"/>
      <c r="T58" s="376"/>
      <c r="U58" s="376"/>
      <c r="V58" s="376"/>
      <c r="W58" s="384"/>
      <c r="X58" s="384"/>
      <c r="Y58" s="384"/>
      <c r="Z58" s="385"/>
      <c r="AA58" s="386"/>
      <c r="AB58" s="385"/>
      <c r="AC58" s="385"/>
      <c r="AJ58" s="388"/>
      <c r="AK58" s="388"/>
    </row>
    <row r="59" spans="1:98" ht="15" customHeight="1">
      <c r="B59" s="376"/>
      <c r="C59" s="376"/>
      <c r="D59" s="376"/>
      <c r="E59" s="376"/>
      <c r="F59" s="376"/>
      <c r="G59" s="376"/>
      <c r="H59" s="376"/>
      <c r="I59" s="376"/>
      <c r="J59" s="376"/>
      <c r="K59" s="376"/>
      <c r="L59" s="376"/>
      <c r="M59" s="376"/>
      <c r="N59" s="376"/>
      <c r="O59" s="376"/>
      <c r="P59" s="376"/>
      <c r="Q59" s="376"/>
      <c r="R59" s="376"/>
      <c r="S59" s="376"/>
      <c r="T59" s="376"/>
      <c r="U59" s="376"/>
      <c r="V59" s="376"/>
      <c r="W59" s="384"/>
      <c r="X59" s="384"/>
      <c r="Y59" s="384"/>
      <c r="Z59" s="385"/>
      <c r="AA59" s="386"/>
      <c r="AB59" s="385"/>
      <c r="AC59" s="385"/>
      <c r="AJ59" s="388"/>
      <c r="AK59" s="388"/>
    </row>
    <row r="60" spans="1:98" ht="15" customHeight="1">
      <c r="B60" s="376"/>
      <c r="C60" s="376"/>
      <c r="D60" s="376"/>
      <c r="E60" s="376"/>
      <c r="F60" s="376"/>
      <c r="G60" s="376"/>
      <c r="H60" s="376"/>
      <c r="I60" s="376"/>
      <c r="J60" s="376"/>
      <c r="K60" s="376"/>
      <c r="L60" s="376"/>
      <c r="M60" s="376"/>
      <c r="N60" s="376"/>
      <c r="O60" s="376"/>
      <c r="P60" s="376"/>
      <c r="Q60" s="376"/>
      <c r="R60" s="376"/>
      <c r="S60" s="376"/>
      <c r="T60" s="376"/>
      <c r="U60" s="376"/>
      <c r="V60" s="376"/>
      <c r="W60" s="384"/>
      <c r="X60" s="384"/>
      <c r="Y60" s="384"/>
      <c r="Z60" s="385"/>
      <c r="AA60" s="386"/>
      <c r="AB60" s="385"/>
      <c r="AC60" s="385"/>
      <c r="AJ60" s="388"/>
      <c r="AK60" s="388"/>
    </row>
    <row r="61" spans="1:98" ht="15" customHeight="1">
      <c r="B61" s="376"/>
      <c r="C61" s="376"/>
      <c r="D61" s="376"/>
      <c r="E61" s="376"/>
      <c r="F61" s="376"/>
      <c r="G61" s="376"/>
      <c r="H61" s="376"/>
      <c r="I61" s="376"/>
      <c r="J61" s="376"/>
      <c r="K61" s="376"/>
      <c r="L61" s="376"/>
      <c r="M61" s="376"/>
      <c r="N61" s="376"/>
      <c r="O61" s="376"/>
      <c r="P61" s="376"/>
      <c r="Q61" s="376"/>
      <c r="R61" s="376"/>
      <c r="S61" s="376"/>
      <c r="T61" s="376"/>
      <c r="U61" s="376"/>
      <c r="V61" s="376"/>
      <c r="W61" s="384"/>
      <c r="X61" s="384"/>
      <c r="Y61" s="384"/>
      <c r="Z61" s="385"/>
      <c r="AA61" s="386"/>
      <c r="AB61" s="385"/>
      <c r="AC61" s="385"/>
      <c r="AJ61" s="388"/>
      <c r="AK61" s="388"/>
    </row>
    <row r="62" spans="1:98" ht="15" customHeight="1">
      <c r="B62" s="376"/>
      <c r="C62" s="376"/>
      <c r="D62" s="376"/>
      <c r="E62" s="376"/>
      <c r="F62" s="376"/>
      <c r="G62" s="376"/>
      <c r="H62" s="376"/>
      <c r="I62" s="376"/>
      <c r="J62" s="376"/>
      <c r="K62" s="376"/>
      <c r="L62" s="376"/>
      <c r="M62" s="376"/>
      <c r="N62" s="376"/>
      <c r="O62" s="376"/>
      <c r="P62" s="376"/>
      <c r="Q62" s="376"/>
      <c r="R62" s="376"/>
      <c r="S62" s="376"/>
      <c r="T62" s="376"/>
      <c r="U62" s="376"/>
      <c r="V62" s="376"/>
      <c r="W62" s="384"/>
      <c r="X62" s="384"/>
      <c r="Y62" s="384"/>
      <c r="Z62" s="385"/>
      <c r="AA62" s="386"/>
      <c r="AB62" s="385"/>
      <c r="AC62" s="385"/>
      <c r="AJ62" s="388"/>
      <c r="AK62" s="388"/>
    </row>
    <row r="63" spans="1:98" ht="15" customHeight="1">
      <c r="B63" s="376"/>
      <c r="C63" s="376"/>
      <c r="D63" s="376"/>
      <c r="E63" s="376"/>
      <c r="F63" s="376"/>
      <c r="G63" s="376"/>
      <c r="H63" s="376"/>
      <c r="I63" s="376"/>
      <c r="J63" s="376"/>
      <c r="K63" s="376"/>
      <c r="L63" s="376"/>
      <c r="M63" s="376"/>
      <c r="N63" s="376"/>
      <c r="O63" s="376"/>
      <c r="P63" s="376"/>
      <c r="Q63" s="376"/>
      <c r="R63" s="376"/>
      <c r="S63" s="376"/>
      <c r="T63" s="376"/>
      <c r="U63" s="376"/>
      <c r="V63" s="376"/>
      <c r="W63" s="384"/>
      <c r="X63" s="384"/>
      <c r="Y63" s="384"/>
      <c r="Z63" s="385"/>
      <c r="AA63" s="386"/>
      <c r="AB63" s="385"/>
      <c r="AC63" s="385"/>
      <c r="AJ63" s="388"/>
      <c r="AK63" s="388"/>
    </row>
    <row r="64" spans="1:98" ht="15" customHeight="1">
      <c r="B64" s="376"/>
      <c r="C64" s="376"/>
      <c r="D64" s="376"/>
      <c r="E64" s="376"/>
      <c r="F64" s="376"/>
      <c r="G64" s="376"/>
      <c r="H64" s="376"/>
      <c r="I64" s="376"/>
      <c r="J64" s="376"/>
      <c r="K64" s="376"/>
      <c r="L64" s="376"/>
      <c r="M64" s="376"/>
      <c r="N64" s="376"/>
      <c r="O64" s="376"/>
      <c r="P64" s="376"/>
      <c r="Q64" s="376"/>
      <c r="R64" s="376"/>
      <c r="S64" s="376"/>
      <c r="T64" s="376"/>
      <c r="U64" s="376"/>
      <c r="V64" s="376"/>
      <c r="W64" s="384"/>
      <c r="X64" s="389"/>
      <c r="Y64" s="389"/>
      <c r="Z64" s="385"/>
      <c r="AA64" s="386"/>
      <c r="AB64" s="385"/>
      <c r="AC64" s="385"/>
      <c r="AJ64" s="388"/>
      <c r="AK64" s="388"/>
    </row>
    <row r="65" spans="2:37" ht="15" customHeight="1">
      <c r="B65" s="376"/>
      <c r="C65" s="376"/>
      <c r="D65" s="376"/>
      <c r="E65" s="376"/>
      <c r="F65" s="376"/>
      <c r="G65" s="376"/>
      <c r="H65" s="376"/>
      <c r="I65" s="376"/>
      <c r="J65" s="376"/>
      <c r="K65" s="376"/>
      <c r="L65" s="376"/>
      <c r="M65" s="376"/>
      <c r="N65" s="376"/>
      <c r="O65" s="376"/>
      <c r="P65" s="376"/>
      <c r="Q65" s="376"/>
      <c r="R65" s="376"/>
      <c r="S65" s="376"/>
      <c r="T65" s="376"/>
      <c r="U65" s="376"/>
      <c r="V65" s="376"/>
      <c r="W65" s="384"/>
      <c r="X65" s="389"/>
      <c r="Y65" s="389"/>
      <c r="Z65" s="385"/>
      <c r="AA65" s="386"/>
      <c r="AB65" s="385"/>
      <c r="AC65" s="385"/>
      <c r="AJ65" s="388"/>
      <c r="AK65" s="388"/>
    </row>
    <row r="66" spans="2:37" ht="15" customHeight="1">
      <c r="B66" s="376"/>
      <c r="C66" s="376"/>
      <c r="D66" s="376"/>
      <c r="E66" s="376"/>
      <c r="F66" s="376"/>
      <c r="G66" s="376"/>
      <c r="H66" s="376"/>
      <c r="I66" s="376"/>
      <c r="J66" s="376"/>
      <c r="K66" s="376"/>
      <c r="L66" s="376"/>
      <c r="M66" s="376"/>
      <c r="N66" s="376"/>
      <c r="O66" s="376"/>
      <c r="P66" s="376"/>
      <c r="Q66" s="376"/>
      <c r="R66" s="376"/>
      <c r="S66" s="376"/>
      <c r="T66" s="376"/>
      <c r="U66" s="376"/>
      <c r="V66" s="376"/>
      <c r="W66" s="384"/>
      <c r="X66" s="389"/>
      <c r="Y66" s="389"/>
      <c r="Z66" s="385"/>
      <c r="AA66" s="386"/>
      <c r="AB66" s="385"/>
      <c r="AC66" s="385"/>
      <c r="AJ66" s="388"/>
      <c r="AK66" s="388"/>
    </row>
    <row r="67" spans="2:37" ht="15" customHeight="1">
      <c r="B67" s="376"/>
      <c r="C67" s="376"/>
      <c r="D67" s="376"/>
      <c r="E67" s="376"/>
      <c r="F67" s="376"/>
      <c r="G67" s="376"/>
      <c r="H67" s="376"/>
      <c r="I67" s="376"/>
      <c r="J67" s="376"/>
      <c r="K67" s="376"/>
      <c r="L67" s="376"/>
      <c r="M67" s="376"/>
      <c r="N67" s="376"/>
      <c r="O67" s="376"/>
      <c r="P67" s="376"/>
      <c r="Q67" s="376"/>
      <c r="R67" s="376"/>
      <c r="S67" s="376"/>
      <c r="T67" s="376"/>
      <c r="U67" s="376"/>
      <c r="V67" s="376"/>
      <c r="W67" s="384"/>
      <c r="X67" s="389"/>
      <c r="Y67" s="389"/>
      <c r="Z67" s="385"/>
      <c r="AA67" s="386"/>
      <c r="AB67" s="385"/>
      <c r="AC67" s="385"/>
      <c r="AJ67" s="388"/>
      <c r="AK67" s="388"/>
    </row>
    <row r="68" spans="2:37" ht="15" customHeight="1">
      <c r="B68" s="376"/>
      <c r="C68" s="376"/>
      <c r="D68" s="376"/>
      <c r="E68" s="376"/>
      <c r="F68" s="376"/>
      <c r="G68" s="376"/>
      <c r="H68" s="376"/>
      <c r="I68" s="376"/>
      <c r="J68" s="376"/>
      <c r="K68" s="376"/>
      <c r="L68" s="376"/>
      <c r="M68" s="376"/>
      <c r="N68" s="376"/>
      <c r="O68" s="376"/>
      <c r="P68" s="376"/>
      <c r="Q68" s="376"/>
      <c r="R68" s="376"/>
      <c r="S68" s="376"/>
      <c r="T68" s="376"/>
      <c r="U68" s="376"/>
      <c r="V68" s="376"/>
      <c r="W68" s="384"/>
      <c r="X68" s="389"/>
      <c r="Y68" s="389"/>
      <c r="Z68" s="385"/>
      <c r="AA68" s="386"/>
      <c r="AB68" s="385"/>
      <c r="AC68" s="385"/>
      <c r="AJ68" s="388"/>
      <c r="AK68" s="388"/>
    </row>
    <row r="69" spans="2:37" ht="15" customHeight="1">
      <c r="B69" s="376"/>
      <c r="C69" s="376"/>
      <c r="D69" s="376"/>
      <c r="E69" s="376"/>
      <c r="F69" s="376"/>
      <c r="G69" s="376"/>
      <c r="H69" s="376"/>
      <c r="I69" s="376"/>
      <c r="J69" s="376"/>
      <c r="K69" s="376"/>
      <c r="L69" s="376"/>
      <c r="M69" s="376"/>
      <c r="N69" s="376"/>
      <c r="O69" s="376"/>
      <c r="P69" s="376"/>
      <c r="Q69" s="376"/>
      <c r="R69" s="376"/>
      <c r="S69" s="376"/>
      <c r="T69" s="376"/>
      <c r="U69" s="376"/>
      <c r="V69" s="376"/>
      <c r="W69" s="384"/>
      <c r="X69" s="384"/>
      <c r="Y69" s="384"/>
      <c r="Z69" s="385"/>
      <c r="AA69" s="386"/>
      <c r="AB69" s="385"/>
      <c r="AC69" s="385"/>
      <c r="AJ69" s="388"/>
      <c r="AK69" s="388"/>
    </row>
    <row r="70" spans="2:37" ht="15" customHeight="1">
      <c r="B70" s="376"/>
      <c r="C70" s="376"/>
      <c r="D70" s="376"/>
      <c r="E70" s="376"/>
      <c r="F70" s="376"/>
      <c r="G70" s="376"/>
      <c r="H70" s="376"/>
      <c r="I70" s="376"/>
      <c r="J70" s="376"/>
      <c r="K70" s="376"/>
      <c r="L70" s="376"/>
      <c r="M70" s="376"/>
      <c r="N70" s="376"/>
      <c r="O70" s="376"/>
      <c r="P70" s="376"/>
      <c r="Q70" s="376"/>
      <c r="R70" s="376"/>
      <c r="S70" s="376"/>
      <c r="T70" s="376"/>
      <c r="U70" s="376"/>
      <c r="V70" s="376"/>
      <c r="W70" s="384"/>
      <c r="X70" s="384"/>
      <c r="Y70" s="384"/>
      <c r="Z70" s="385"/>
      <c r="AA70" s="386"/>
      <c r="AB70" s="385"/>
      <c r="AC70" s="385"/>
      <c r="AJ70" s="388"/>
      <c r="AK70" s="388"/>
    </row>
    <row r="71" spans="2:37" ht="15" customHeight="1">
      <c r="B71" s="376"/>
      <c r="C71" s="376"/>
      <c r="D71" s="376"/>
      <c r="E71" s="376"/>
      <c r="F71" s="376"/>
      <c r="G71" s="376"/>
      <c r="H71" s="376"/>
      <c r="I71" s="376"/>
      <c r="J71" s="376"/>
      <c r="K71" s="376"/>
      <c r="L71" s="376"/>
      <c r="M71" s="376"/>
      <c r="N71" s="376"/>
      <c r="O71" s="376"/>
      <c r="P71" s="376"/>
      <c r="Q71" s="376"/>
      <c r="R71" s="376"/>
      <c r="S71" s="376"/>
      <c r="T71" s="376"/>
      <c r="U71" s="376"/>
      <c r="V71" s="376"/>
      <c r="W71" s="384"/>
      <c r="X71" s="384"/>
      <c r="Y71" s="384"/>
      <c r="Z71" s="385"/>
      <c r="AA71" s="386"/>
      <c r="AB71" s="385"/>
      <c r="AC71" s="385"/>
      <c r="AJ71" s="388"/>
      <c r="AK71" s="388"/>
    </row>
    <row r="72" spans="2:37" ht="15" customHeight="1">
      <c r="B72" s="376"/>
      <c r="C72" s="376"/>
      <c r="D72" s="376"/>
      <c r="E72" s="376"/>
      <c r="F72" s="376"/>
      <c r="G72" s="376"/>
      <c r="H72" s="376"/>
      <c r="I72" s="376"/>
      <c r="J72" s="376"/>
      <c r="K72" s="376"/>
      <c r="L72" s="376"/>
      <c r="M72" s="376"/>
      <c r="N72" s="376"/>
      <c r="O72" s="376"/>
      <c r="P72" s="376"/>
      <c r="Q72" s="376"/>
      <c r="R72" s="376"/>
      <c r="S72" s="376"/>
      <c r="T72" s="376"/>
      <c r="U72" s="376"/>
      <c r="V72" s="376"/>
      <c r="W72" s="384"/>
      <c r="X72" s="384"/>
      <c r="Y72" s="384"/>
      <c r="Z72" s="385"/>
      <c r="AA72" s="386"/>
      <c r="AB72" s="385"/>
      <c r="AC72" s="385"/>
      <c r="AJ72" s="388"/>
      <c r="AK72" s="388"/>
    </row>
    <row r="73" spans="2:37" ht="15" customHeight="1">
      <c r="B73" s="376"/>
      <c r="C73" s="376"/>
      <c r="D73" s="376"/>
      <c r="E73" s="376"/>
      <c r="F73" s="376"/>
      <c r="G73" s="376"/>
      <c r="H73" s="376"/>
      <c r="I73" s="376"/>
      <c r="J73" s="376"/>
      <c r="K73" s="376"/>
      <c r="L73" s="376"/>
      <c r="M73" s="376"/>
      <c r="N73" s="376"/>
      <c r="O73" s="376"/>
      <c r="P73" s="376"/>
      <c r="Q73" s="376"/>
      <c r="R73" s="376"/>
      <c r="S73" s="376"/>
      <c r="T73" s="376"/>
      <c r="U73" s="376"/>
      <c r="V73" s="376"/>
      <c r="W73" s="384"/>
      <c r="X73" s="384"/>
      <c r="Y73" s="384"/>
      <c r="Z73" s="385"/>
      <c r="AA73" s="386"/>
      <c r="AB73" s="385"/>
      <c r="AC73" s="385"/>
      <c r="AJ73" s="388"/>
      <c r="AK73" s="388"/>
    </row>
    <row r="74" spans="2:37" ht="15" customHeight="1">
      <c r="B74" s="376"/>
      <c r="C74" s="376"/>
      <c r="D74" s="376"/>
      <c r="E74" s="376"/>
      <c r="F74" s="376"/>
      <c r="G74" s="376"/>
      <c r="H74" s="376"/>
      <c r="I74" s="376"/>
      <c r="J74" s="376"/>
      <c r="K74" s="376"/>
      <c r="L74" s="376"/>
      <c r="M74" s="376"/>
      <c r="N74" s="376"/>
      <c r="O74" s="376"/>
      <c r="P74" s="376"/>
      <c r="Q74" s="376"/>
      <c r="R74" s="376"/>
      <c r="S74" s="376"/>
      <c r="T74" s="376"/>
      <c r="U74" s="376"/>
      <c r="V74" s="376"/>
      <c r="W74" s="384"/>
      <c r="X74" s="384"/>
      <c r="Y74" s="384"/>
      <c r="Z74" s="385"/>
      <c r="AA74" s="386"/>
      <c r="AB74" s="385"/>
      <c r="AC74" s="385"/>
      <c r="AJ74" s="388"/>
      <c r="AK74" s="388"/>
    </row>
    <row r="75" spans="2:37" ht="15" customHeight="1">
      <c r="B75" s="376"/>
      <c r="C75" s="376"/>
      <c r="D75" s="376"/>
      <c r="E75" s="376"/>
      <c r="F75" s="376"/>
      <c r="G75" s="376"/>
      <c r="H75" s="376"/>
      <c r="I75" s="376"/>
      <c r="J75" s="376"/>
      <c r="K75" s="376"/>
      <c r="L75" s="376"/>
      <c r="M75" s="376"/>
      <c r="N75" s="376"/>
      <c r="O75" s="376"/>
      <c r="P75" s="376"/>
      <c r="Q75" s="376"/>
      <c r="R75" s="376"/>
      <c r="S75" s="376"/>
      <c r="T75" s="376"/>
      <c r="U75" s="376"/>
      <c r="V75" s="376"/>
      <c r="W75" s="384"/>
      <c r="X75" s="391"/>
      <c r="Y75" s="391"/>
      <c r="Z75" s="385"/>
      <c r="AA75" s="386"/>
      <c r="AB75" s="385"/>
      <c r="AC75" s="385"/>
      <c r="AJ75" s="388"/>
      <c r="AK75" s="388"/>
    </row>
    <row r="76" spans="2:37" ht="15" customHeight="1">
      <c r="B76" s="376"/>
      <c r="C76" s="376"/>
      <c r="D76" s="376"/>
      <c r="E76" s="376"/>
      <c r="F76" s="376"/>
      <c r="G76" s="376"/>
      <c r="H76" s="376"/>
      <c r="I76" s="376"/>
      <c r="J76" s="376"/>
      <c r="K76" s="376"/>
      <c r="L76" s="376"/>
      <c r="M76" s="376"/>
      <c r="N76" s="376"/>
      <c r="O76" s="376"/>
      <c r="P76" s="376"/>
      <c r="Q76" s="376"/>
      <c r="R76" s="376"/>
      <c r="S76" s="376"/>
      <c r="T76" s="376"/>
      <c r="U76" s="376"/>
      <c r="V76" s="376"/>
      <c r="W76" s="384"/>
      <c r="X76" s="391"/>
      <c r="Y76" s="391"/>
      <c r="Z76" s="385"/>
      <c r="AA76" s="386"/>
      <c r="AB76" s="385"/>
      <c r="AC76" s="385"/>
      <c r="AJ76" s="388"/>
      <c r="AK76" s="388"/>
    </row>
    <row r="77" spans="2:37" ht="15" customHeight="1">
      <c r="B77" s="376"/>
      <c r="C77" s="376"/>
      <c r="D77" s="376"/>
      <c r="E77" s="376"/>
      <c r="F77" s="376"/>
      <c r="G77" s="376"/>
      <c r="H77" s="376"/>
      <c r="I77" s="376"/>
      <c r="J77" s="376"/>
      <c r="K77" s="376"/>
      <c r="L77" s="376"/>
      <c r="M77" s="376"/>
      <c r="N77" s="376"/>
      <c r="O77" s="376"/>
      <c r="P77" s="376"/>
      <c r="Q77" s="376"/>
      <c r="R77" s="376"/>
      <c r="S77" s="376"/>
      <c r="T77" s="376"/>
      <c r="U77" s="376"/>
      <c r="V77" s="376"/>
      <c r="W77" s="384"/>
      <c r="X77" s="384"/>
      <c r="Y77" s="384"/>
      <c r="Z77" s="390"/>
      <c r="AA77" s="386"/>
      <c r="AB77" s="385"/>
      <c r="AC77" s="385"/>
      <c r="AJ77" s="388"/>
      <c r="AK77" s="388"/>
    </row>
    <row r="78" spans="2:37" ht="15" customHeight="1">
      <c r="B78" s="376"/>
      <c r="C78" s="376"/>
      <c r="D78" s="376"/>
      <c r="E78" s="376"/>
      <c r="F78" s="376"/>
      <c r="G78" s="376"/>
      <c r="H78" s="376"/>
      <c r="I78" s="376"/>
      <c r="J78" s="376"/>
      <c r="K78" s="376"/>
      <c r="L78" s="376"/>
      <c r="M78" s="376"/>
      <c r="N78" s="376"/>
      <c r="O78" s="376"/>
      <c r="P78" s="376"/>
      <c r="Q78" s="376"/>
      <c r="R78" s="376"/>
      <c r="S78" s="376"/>
      <c r="T78" s="376"/>
      <c r="U78" s="376"/>
      <c r="V78" s="376"/>
      <c r="W78" s="384"/>
      <c r="X78" s="384"/>
      <c r="Y78" s="384"/>
      <c r="Z78" s="390"/>
      <c r="AA78" s="386"/>
      <c r="AB78" s="385"/>
      <c r="AC78" s="385"/>
      <c r="AJ78" s="388"/>
      <c r="AK78" s="388"/>
    </row>
    <row r="79" spans="2:37" ht="15" customHeight="1">
      <c r="B79" s="376"/>
      <c r="C79" s="376"/>
      <c r="D79" s="376"/>
      <c r="E79" s="376"/>
      <c r="F79" s="376"/>
      <c r="G79" s="376"/>
      <c r="H79" s="376"/>
      <c r="I79" s="376"/>
      <c r="J79" s="376"/>
      <c r="K79" s="376"/>
      <c r="L79" s="376"/>
      <c r="M79" s="376"/>
      <c r="N79" s="376"/>
      <c r="O79" s="376"/>
      <c r="P79" s="376"/>
      <c r="Q79" s="376"/>
      <c r="R79" s="376"/>
      <c r="S79" s="376"/>
      <c r="T79" s="376"/>
      <c r="U79" s="376"/>
      <c r="V79" s="376"/>
      <c r="W79" s="384"/>
      <c r="X79" s="384"/>
      <c r="Y79" s="384"/>
      <c r="Z79" s="385"/>
      <c r="AA79" s="386"/>
      <c r="AB79" s="385"/>
      <c r="AC79" s="385"/>
      <c r="AJ79" s="388"/>
      <c r="AK79" s="388"/>
    </row>
    <row r="80" spans="2:37" ht="15" customHeight="1">
      <c r="B80" s="376"/>
      <c r="C80" s="376"/>
      <c r="D80" s="376"/>
      <c r="E80" s="376"/>
      <c r="F80" s="376"/>
      <c r="G80" s="376"/>
      <c r="H80" s="376"/>
      <c r="I80" s="376"/>
      <c r="J80" s="376"/>
      <c r="K80" s="376"/>
      <c r="L80" s="376"/>
      <c r="M80" s="376"/>
      <c r="N80" s="376"/>
      <c r="O80" s="376"/>
      <c r="P80" s="376"/>
      <c r="Q80" s="376"/>
      <c r="R80" s="376"/>
      <c r="S80" s="376"/>
      <c r="T80" s="376"/>
      <c r="U80" s="376"/>
      <c r="V80" s="376"/>
      <c r="W80" s="384"/>
      <c r="X80" s="392"/>
      <c r="Y80" s="389"/>
      <c r="Z80" s="385"/>
      <c r="AA80" s="386"/>
      <c r="AB80" s="385"/>
      <c r="AC80" s="385"/>
      <c r="AJ80" s="388"/>
      <c r="AK80" s="388"/>
    </row>
    <row r="81" spans="2:37" ht="15" customHeight="1">
      <c r="B81" s="376"/>
      <c r="C81" s="376"/>
      <c r="D81" s="376"/>
      <c r="E81" s="376"/>
      <c r="F81" s="376"/>
      <c r="G81" s="376"/>
      <c r="H81" s="376"/>
      <c r="I81" s="376"/>
      <c r="J81" s="376"/>
      <c r="K81" s="376"/>
      <c r="L81" s="376"/>
      <c r="M81" s="376"/>
      <c r="N81" s="376"/>
      <c r="O81" s="376"/>
      <c r="P81" s="376"/>
      <c r="Q81" s="376"/>
      <c r="R81" s="376"/>
      <c r="S81" s="376"/>
      <c r="T81" s="376"/>
      <c r="U81" s="376"/>
      <c r="V81" s="376"/>
      <c r="W81" s="384"/>
      <c r="X81" s="389"/>
      <c r="Y81" s="389"/>
      <c r="Z81" s="385"/>
      <c r="AA81" s="386"/>
      <c r="AB81" s="385"/>
      <c r="AC81" s="385"/>
      <c r="AJ81" s="388"/>
      <c r="AK81" s="388"/>
    </row>
    <row r="82" spans="2:37" ht="15" customHeight="1">
      <c r="B82" s="376"/>
      <c r="C82" s="376"/>
      <c r="D82" s="376"/>
      <c r="E82" s="376"/>
      <c r="F82" s="376"/>
      <c r="G82" s="376"/>
      <c r="H82" s="376"/>
      <c r="I82" s="376"/>
      <c r="J82" s="376"/>
      <c r="K82" s="376"/>
      <c r="L82" s="376"/>
      <c r="M82" s="376"/>
      <c r="N82" s="376"/>
      <c r="O82" s="376"/>
      <c r="P82" s="376"/>
      <c r="Q82" s="376"/>
      <c r="R82" s="376"/>
      <c r="S82" s="376"/>
      <c r="T82" s="376"/>
      <c r="U82" s="376"/>
      <c r="V82" s="376"/>
      <c r="W82" s="384"/>
      <c r="X82" s="384"/>
      <c r="Y82" s="384"/>
      <c r="Z82" s="385"/>
      <c r="AA82" s="386"/>
      <c r="AB82" s="385"/>
      <c r="AC82" s="385"/>
      <c r="AJ82" s="388"/>
      <c r="AK82" s="388"/>
    </row>
    <row r="83" spans="2:37" ht="15" customHeight="1">
      <c r="B83" s="376"/>
      <c r="C83" s="376"/>
      <c r="D83" s="376"/>
      <c r="E83" s="376"/>
      <c r="F83" s="376"/>
      <c r="G83" s="376"/>
      <c r="H83" s="376"/>
      <c r="I83" s="376"/>
      <c r="J83" s="376"/>
      <c r="K83" s="376"/>
      <c r="L83" s="376"/>
      <c r="M83" s="376"/>
      <c r="N83" s="376"/>
      <c r="O83" s="376"/>
      <c r="P83" s="376"/>
      <c r="Q83" s="376"/>
      <c r="R83" s="376"/>
      <c r="S83" s="376"/>
      <c r="T83" s="376"/>
      <c r="U83" s="376"/>
      <c r="V83" s="376"/>
      <c r="W83" s="384"/>
      <c r="X83" s="384"/>
      <c r="Y83" s="384"/>
      <c r="Z83" s="385"/>
      <c r="AA83" s="386"/>
      <c r="AB83" s="385"/>
      <c r="AC83" s="385"/>
      <c r="AJ83" s="388"/>
      <c r="AK83" s="388"/>
    </row>
    <row r="84" spans="2:37" ht="15" customHeight="1">
      <c r="B84" s="376"/>
      <c r="C84" s="376"/>
      <c r="D84" s="376"/>
      <c r="E84" s="376"/>
      <c r="F84" s="376"/>
      <c r="G84" s="376"/>
      <c r="H84" s="376"/>
      <c r="I84" s="376"/>
      <c r="J84" s="376"/>
      <c r="K84" s="376"/>
      <c r="L84" s="376"/>
      <c r="M84" s="376"/>
      <c r="N84" s="376"/>
      <c r="O84" s="376"/>
      <c r="P84" s="376"/>
      <c r="Q84" s="376"/>
      <c r="R84" s="376"/>
      <c r="S84" s="376"/>
      <c r="T84" s="376"/>
      <c r="U84" s="376"/>
      <c r="V84" s="376"/>
      <c r="W84" s="384"/>
      <c r="X84" s="384"/>
      <c r="Y84" s="384"/>
      <c r="Z84" s="385"/>
      <c r="AA84" s="386"/>
      <c r="AB84" s="385"/>
      <c r="AC84" s="385"/>
      <c r="AJ84" s="388"/>
      <c r="AK84" s="388"/>
    </row>
    <row r="85" spans="2:37" ht="15" customHeight="1">
      <c r="B85" s="376"/>
      <c r="C85" s="376"/>
      <c r="D85" s="376"/>
      <c r="E85" s="376"/>
      <c r="F85" s="376"/>
      <c r="G85" s="376"/>
      <c r="H85" s="376"/>
      <c r="I85" s="376"/>
      <c r="J85" s="376"/>
      <c r="K85" s="376"/>
      <c r="L85" s="376"/>
      <c r="M85" s="376"/>
      <c r="N85" s="376"/>
      <c r="O85" s="376"/>
      <c r="P85" s="376"/>
      <c r="Q85" s="376"/>
      <c r="R85" s="376"/>
      <c r="S85" s="376"/>
      <c r="T85" s="376"/>
      <c r="U85" s="376"/>
      <c r="V85" s="376"/>
      <c r="W85" s="384"/>
      <c r="X85" s="384"/>
      <c r="Y85" s="384"/>
      <c r="Z85" s="385"/>
      <c r="AA85" s="386"/>
      <c r="AB85" s="385"/>
      <c r="AC85" s="385"/>
      <c r="AJ85" s="388"/>
      <c r="AK85" s="388"/>
    </row>
    <row r="86" spans="2:37" ht="15" customHeight="1">
      <c r="B86" s="376"/>
      <c r="C86" s="376"/>
      <c r="D86" s="376"/>
      <c r="E86" s="376"/>
      <c r="F86" s="376"/>
      <c r="G86" s="376"/>
      <c r="H86" s="376"/>
      <c r="I86" s="376"/>
      <c r="J86" s="376"/>
      <c r="K86" s="376"/>
      <c r="L86" s="376"/>
      <c r="M86" s="376"/>
      <c r="N86" s="376"/>
      <c r="O86" s="376"/>
      <c r="P86" s="376"/>
      <c r="Q86" s="376"/>
      <c r="R86" s="376"/>
      <c r="S86" s="376"/>
      <c r="T86" s="376"/>
      <c r="U86" s="376"/>
      <c r="V86" s="376"/>
      <c r="W86" s="384"/>
      <c r="X86" s="389"/>
      <c r="Y86" s="389"/>
      <c r="Z86" s="385"/>
      <c r="AA86" s="386"/>
      <c r="AB86" s="385"/>
      <c r="AC86" s="385"/>
      <c r="AJ86" s="388"/>
      <c r="AK86" s="388"/>
    </row>
    <row r="87" spans="2:37" ht="15" customHeight="1">
      <c r="B87" s="376"/>
      <c r="C87" s="376"/>
      <c r="D87" s="376"/>
      <c r="E87" s="376"/>
      <c r="F87" s="376"/>
      <c r="G87" s="376"/>
      <c r="H87" s="376"/>
      <c r="I87" s="376"/>
      <c r="J87" s="376"/>
      <c r="K87" s="376"/>
      <c r="L87" s="376"/>
      <c r="M87" s="376"/>
      <c r="N87" s="376"/>
      <c r="O87" s="376"/>
      <c r="P87" s="376"/>
      <c r="Q87" s="376"/>
      <c r="R87" s="376"/>
      <c r="S87" s="376"/>
      <c r="T87" s="376"/>
      <c r="U87" s="376"/>
      <c r="V87" s="376"/>
      <c r="W87" s="384"/>
      <c r="X87" s="389"/>
      <c r="Y87" s="389"/>
      <c r="Z87" s="385"/>
      <c r="AA87" s="386"/>
      <c r="AB87" s="385"/>
      <c r="AC87" s="385"/>
      <c r="AJ87" s="388"/>
      <c r="AK87" s="388"/>
    </row>
    <row r="88" spans="2:37" ht="15" customHeight="1">
      <c r="B88" s="376"/>
      <c r="C88" s="376"/>
      <c r="D88" s="376"/>
      <c r="E88" s="376"/>
      <c r="F88" s="376"/>
      <c r="G88" s="376"/>
      <c r="H88" s="376"/>
      <c r="I88" s="376"/>
      <c r="J88" s="376"/>
      <c r="K88" s="376"/>
      <c r="L88" s="376"/>
      <c r="M88" s="376"/>
      <c r="N88" s="376"/>
      <c r="O88" s="376"/>
      <c r="P88" s="376"/>
      <c r="Q88" s="376"/>
      <c r="R88" s="376"/>
      <c r="S88" s="376"/>
      <c r="T88" s="376"/>
      <c r="U88" s="376"/>
      <c r="V88" s="376"/>
      <c r="W88" s="384"/>
      <c r="X88" s="384"/>
      <c r="Y88" s="384"/>
      <c r="Z88" s="385"/>
      <c r="AA88" s="386"/>
      <c r="AB88" s="385"/>
      <c r="AC88" s="385"/>
      <c r="AJ88" s="388"/>
      <c r="AK88" s="388"/>
    </row>
    <row r="89" spans="2:37" ht="15" customHeight="1">
      <c r="B89" s="376"/>
      <c r="C89" s="376"/>
      <c r="D89" s="376"/>
      <c r="E89" s="376"/>
      <c r="F89" s="376"/>
      <c r="G89" s="376"/>
      <c r="H89" s="376"/>
      <c r="I89" s="376"/>
      <c r="J89" s="376"/>
      <c r="K89" s="376"/>
      <c r="L89" s="376"/>
      <c r="M89" s="376"/>
      <c r="N89" s="376"/>
      <c r="O89" s="376"/>
      <c r="P89" s="376"/>
      <c r="Q89" s="376"/>
      <c r="R89" s="376"/>
      <c r="S89" s="376"/>
      <c r="T89" s="376"/>
      <c r="U89" s="376"/>
      <c r="V89" s="376"/>
      <c r="W89" s="384"/>
      <c r="X89" s="384"/>
      <c r="Y89" s="384"/>
      <c r="Z89" s="385"/>
      <c r="AA89" s="386"/>
      <c r="AB89" s="385"/>
      <c r="AC89" s="385"/>
      <c r="AJ89" s="388"/>
      <c r="AK89" s="388"/>
    </row>
    <row r="90" spans="2:37" ht="15" customHeight="1">
      <c r="B90" s="376"/>
      <c r="C90" s="376"/>
      <c r="D90" s="376"/>
      <c r="E90" s="376"/>
      <c r="F90" s="376"/>
      <c r="G90" s="376"/>
      <c r="H90" s="376"/>
      <c r="I90" s="376"/>
      <c r="J90" s="376"/>
      <c r="K90" s="376"/>
      <c r="L90" s="376"/>
      <c r="M90" s="376"/>
      <c r="N90" s="376"/>
      <c r="O90" s="376"/>
      <c r="P90" s="376"/>
      <c r="Q90" s="376"/>
      <c r="R90" s="376"/>
      <c r="S90" s="376"/>
      <c r="T90" s="376"/>
      <c r="U90" s="376"/>
      <c r="V90" s="376"/>
      <c r="W90" s="384"/>
      <c r="X90" s="384"/>
      <c r="Y90" s="384"/>
      <c r="Z90" s="385"/>
      <c r="AA90" s="386"/>
      <c r="AB90" s="385"/>
      <c r="AC90" s="385"/>
      <c r="AJ90" s="388"/>
      <c r="AK90" s="388"/>
    </row>
    <row r="91" spans="2:37" ht="15" customHeight="1">
      <c r="B91" s="376"/>
      <c r="C91" s="376"/>
      <c r="D91" s="376"/>
      <c r="E91" s="376"/>
      <c r="F91" s="376"/>
      <c r="G91" s="376"/>
      <c r="H91" s="376"/>
      <c r="I91" s="376"/>
      <c r="J91" s="376"/>
      <c r="K91" s="376"/>
      <c r="L91" s="376"/>
      <c r="M91" s="376"/>
      <c r="N91" s="376"/>
      <c r="O91" s="376"/>
      <c r="P91" s="376"/>
      <c r="Q91" s="376"/>
      <c r="R91" s="376"/>
      <c r="S91" s="376"/>
      <c r="T91" s="376"/>
      <c r="U91" s="376"/>
      <c r="V91" s="376"/>
      <c r="W91" s="384"/>
      <c r="X91" s="384"/>
      <c r="Y91" s="384"/>
      <c r="Z91" s="385"/>
      <c r="AA91" s="386"/>
      <c r="AB91" s="385"/>
      <c r="AC91" s="385"/>
      <c r="AJ91" s="388"/>
      <c r="AK91" s="388"/>
    </row>
    <row r="92" spans="2:37" ht="15" customHeight="1">
      <c r="B92" s="376"/>
      <c r="C92" s="376"/>
      <c r="D92" s="376"/>
      <c r="E92" s="376"/>
      <c r="F92" s="376"/>
      <c r="G92" s="376"/>
      <c r="H92" s="376"/>
      <c r="I92" s="376"/>
      <c r="J92" s="376"/>
      <c r="K92" s="376"/>
      <c r="L92" s="376"/>
      <c r="M92" s="376"/>
      <c r="N92" s="376"/>
      <c r="O92" s="376"/>
      <c r="P92" s="376"/>
      <c r="Q92" s="376"/>
      <c r="R92" s="376"/>
      <c r="S92" s="376"/>
      <c r="T92" s="376"/>
      <c r="U92" s="376"/>
      <c r="V92" s="376"/>
      <c r="W92" s="384"/>
      <c r="X92" s="384"/>
      <c r="Y92" s="384"/>
      <c r="Z92" s="385"/>
      <c r="AA92" s="386"/>
      <c r="AB92" s="385"/>
      <c r="AC92" s="385"/>
      <c r="AJ92" s="388"/>
      <c r="AK92" s="388"/>
    </row>
    <row r="93" spans="2:37" ht="15" customHeight="1">
      <c r="B93" s="376"/>
      <c r="C93" s="376"/>
      <c r="D93" s="376"/>
      <c r="E93" s="376"/>
      <c r="F93" s="376"/>
      <c r="G93" s="376"/>
      <c r="H93" s="376"/>
      <c r="I93" s="376"/>
      <c r="J93" s="376"/>
      <c r="K93" s="376"/>
      <c r="L93" s="376"/>
      <c r="M93" s="376"/>
      <c r="N93" s="376"/>
      <c r="O93" s="376"/>
      <c r="P93" s="376"/>
      <c r="Q93" s="376"/>
      <c r="R93" s="376"/>
      <c r="S93" s="376"/>
      <c r="T93" s="376"/>
      <c r="U93" s="376"/>
      <c r="V93" s="376"/>
      <c r="W93" s="384"/>
      <c r="X93" s="384"/>
      <c r="Y93" s="384"/>
      <c r="Z93" s="385"/>
      <c r="AA93" s="386"/>
      <c r="AB93" s="385"/>
      <c r="AC93" s="385"/>
      <c r="AJ93" s="388"/>
      <c r="AK93" s="388"/>
    </row>
    <row r="94" spans="2:37" ht="15" customHeight="1">
      <c r="B94" s="376"/>
      <c r="C94" s="376"/>
      <c r="D94" s="376"/>
      <c r="E94" s="376"/>
      <c r="F94" s="376"/>
      <c r="G94" s="376"/>
      <c r="H94" s="376"/>
      <c r="I94" s="376"/>
      <c r="J94" s="376"/>
      <c r="K94" s="376"/>
      <c r="L94" s="376"/>
      <c r="M94" s="376"/>
      <c r="N94" s="376"/>
      <c r="O94" s="376"/>
      <c r="P94" s="376"/>
      <c r="Q94" s="376"/>
      <c r="R94" s="376"/>
      <c r="S94" s="376"/>
      <c r="T94" s="376"/>
      <c r="U94" s="376"/>
      <c r="V94" s="376"/>
      <c r="W94" s="384"/>
      <c r="X94" s="389"/>
      <c r="Y94" s="389"/>
      <c r="Z94" s="385"/>
      <c r="AA94" s="386"/>
      <c r="AB94" s="385"/>
      <c r="AC94" s="385"/>
      <c r="AJ94" s="388"/>
      <c r="AK94" s="388"/>
    </row>
    <row r="95" spans="2:37" ht="15" customHeight="1">
      <c r="B95" s="376"/>
      <c r="C95" s="376"/>
      <c r="D95" s="376"/>
      <c r="E95" s="376"/>
      <c r="F95" s="376"/>
      <c r="G95" s="376"/>
      <c r="H95" s="376"/>
      <c r="I95" s="376"/>
      <c r="J95" s="376"/>
      <c r="K95" s="376"/>
      <c r="L95" s="376"/>
      <c r="M95" s="376"/>
      <c r="N95" s="376"/>
      <c r="O95" s="376"/>
      <c r="P95" s="376"/>
      <c r="Q95" s="376"/>
      <c r="R95" s="376"/>
      <c r="S95" s="376"/>
      <c r="T95" s="376"/>
      <c r="U95" s="376"/>
      <c r="V95" s="376"/>
      <c r="W95" s="384"/>
      <c r="X95" s="389"/>
      <c r="Y95" s="389"/>
      <c r="Z95" s="385"/>
      <c r="AA95" s="386"/>
      <c r="AB95" s="385"/>
      <c r="AC95" s="385"/>
      <c r="AJ95" s="388"/>
      <c r="AK95" s="388"/>
    </row>
    <row r="96" spans="2:37" ht="15" customHeight="1">
      <c r="B96" s="376"/>
      <c r="C96" s="376"/>
      <c r="D96" s="376"/>
      <c r="E96" s="376"/>
      <c r="F96" s="376"/>
      <c r="G96" s="376"/>
      <c r="H96" s="376"/>
      <c r="I96" s="376"/>
      <c r="J96" s="376"/>
      <c r="K96" s="376"/>
      <c r="L96" s="376"/>
      <c r="M96" s="376"/>
      <c r="N96" s="376"/>
      <c r="O96" s="376"/>
      <c r="P96" s="376"/>
      <c r="Q96" s="376"/>
      <c r="R96" s="376"/>
      <c r="S96" s="376"/>
      <c r="T96" s="376"/>
      <c r="U96" s="376"/>
      <c r="V96" s="376"/>
      <c r="W96" s="384"/>
      <c r="X96" s="384"/>
      <c r="Y96" s="384"/>
      <c r="Z96" s="385"/>
      <c r="AA96" s="386"/>
      <c r="AB96" s="385"/>
      <c r="AC96" s="385"/>
      <c r="AJ96" s="388"/>
      <c r="AK96" s="388"/>
    </row>
    <row r="97" spans="2:37" ht="15" customHeight="1">
      <c r="B97" s="376"/>
      <c r="C97" s="376"/>
      <c r="D97" s="376"/>
      <c r="E97" s="376"/>
      <c r="F97" s="376"/>
      <c r="G97" s="376"/>
      <c r="H97" s="376"/>
      <c r="I97" s="376"/>
      <c r="J97" s="376"/>
      <c r="K97" s="376"/>
      <c r="L97" s="376"/>
      <c r="M97" s="376"/>
      <c r="N97" s="376"/>
      <c r="O97" s="376"/>
      <c r="P97" s="376"/>
      <c r="Q97" s="376"/>
      <c r="R97" s="376"/>
      <c r="S97" s="376"/>
      <c r="T97" s="376"/>
      <c r="U97" s="376"/>
      <c r="V97" s="376"/>
      <c r="W97" s="384"/>
      <c r="X97" s="384"/>
      <c r="Y97" s="384"/>
      <c r="Z97" s="385"/>
      <c r="AA97" s="386"/>
      <c r="AB97" s="385"/>
      <c r="AC97" s="385"/>
      <c r="AJ97" s="388"/>
      <c r="AK97" s="388"/>
    </row>
    <row r="98" spans="2:37" ht="15" customHeight="1">
      <c r="B98" s="376"/>
      <c r="C98" s="376"/>
      <c r="D98" s="376"/>
      <c r="E98" s="376"/>
      <c r="F98" s="376"/>
      <c r="G98" s="376"/>
      <c r="H98" s="376"/>
      <c r="I98" s="376"/>
      <c r="J98" s="376"/>
      <c r="K98" s="376"/>
      <c r="L98" s="376"/>
      <c r="M98" s="376"/>
      <c r="N98" s="376"/>
      <c r="O98" s="376"/>
      <c r="P98" s="376"/>
      <c r="Q98" s="376"/>
      <c r="R98" s="376"/>
      <c r="S98" s="376"/>
      <c r="T98" s="376"/>
      <c r="U98" s="376"/>
      <c r="V98" s="376"/>
      <c r="W98" s="384"/>
      <c r="X98" s="389"/>
      <c r="Y98" s="389"/>
      <c r="Z98" s="385"/>
      <c r="AA98" s="386"/>
      <c r="AB98" s="385"/>
      <c r="AC98" s="385"/>
      <c r="AJ98" s="388"/>
      <c r="AK98" s="388"/>
    </row>
    <row r="99" spans="2:37" ht="15" customHeight="1">
      <c r="B99" s="376"/>
      <c r="C99" s="376"/>
      <c r="D99" s="376"/>
      <c r="E99" s="376"/>
      <c r="F99" s="376"/>
      <c r="G99" s="376"/>
      <c r="H99" s="376"/>
      <c r="I99" s="376"/>
      <c r="J99" s="376"/>
      <c r="K99" s="376"/>
      <c r="L99" s="376"/>
      <c r="M99" s="376"/>
      <c r="N99" s="376"/>
      <c r="O99" s="376"/>
      <c r="P99" s="376"/>
      <c r="Q99" s="376"/>
      <c r="R99" s="376"/>
      <c r="S99" s="376"/>
      <c r="T99" s="376"/>
      <c r="U99" s="376"/>
      <c r="V99" s="376"/>
      <c r="W99" s="384"/>
      <c r="X99" s="384"/>
      <c r="Y99" s="384"/>
      <c r="Z99" s="385"/>
      <c r="AA99" s="386"/>
      <c r="AB99" s="385"/>
      <c r="AC99" s="385"/>
      <c r="AJ99" s="388"/>
      <c r="AK99" s="388"/>
    </row>
    <row r="100" spans="2:37" ht="15" customHeight="1">
      <c r="B100" s="376"/>
      <c r="C100" s="376"/>
      <c r="D100" s="376"/>
      <c r="E100" s="376"/>
      <c r="F100" s="376"/>
      <c r="G100" s="376"/>
      <c r="H100" s="376"/>
      <c r="I100" s="376"/>
      <c r="J100" s="376"/>
      <c r="K100" s="376"/>
      <c r="L100" s="376"/>
      <c r="M100" s="376"/>
      <c r="N100" s="376"/>
      <c r="O100" s="376"/>
      <c r="P100" s="376"/>
      <c r="Q100" s="376"/>
      <c r="R100" s="376"/>
      <c r="S100" s="376"/>
      <c r="T100" s="376"/>
      <c r="U100" s="376"/>
      <c r="V100" s="376"/>
      <c r="W100" s="384"/>
      <c r="X100" s="384"/>
      <c r="Y100" s="384"/>
      <c r="Z100" s="385"/>
      <c r="AA100" s="386"/>
      <c r="AB100" s="385"/>
      <c r="AC100" s="385"/>
      <c r="AJ100" s="388"/>
      <c r="AK100" s="388"/>
    </row>
    <row r="101" spans="2:37" ht="15" customHeight="1">
      <c r="B101" s="376"/>
      <c r="C101" s="376"/>
      <c r="D101" s="376"/>
      <c r="E101" s="376"/>
      <c r="F101" s="376"/>
      <c r="G101" s="376"/>
      <c r="H101" s="376"/>
      <c r="I101" s="376"/>
      <c r="J101" s="376"/>
      <c r="K101" s="376"/>
      <c r="L101" s="376"/>
      <c r="M101" s="376"/>
      <c r="N101" s="376"/>
      <c r="O101" s="376"/>
      <c r="P101" s="376"/>
      <c r="Q101" s="376"/>
      <c r="R101" s="376"/>
      <c r="S101" s="376"/>
      <c r="T101" s="376"/>
      <c r="U101" s="376"/>
      <c r="V101" s="376"/>
      <c r="W101" s="384"/>
      <c r="X101" s="389"/>
      <c r="Y101" s="389"/>
      <c r="Z101" s="385"/>
      <c r="AA101" s="386"/>
      <c r="AB101" s="385"/>
      <c r="AC101" s="385"/>
      <c r="AJ101" s="388"/>
      <c r="AK101" s="388"/>
    </row>
    <row r="102" spans="2:37" ht="15" customHeight="1">
      <c r="B102" s="376"/>
      <c r="C102" s="376"/>
      <c r="D102" s="376"/>
      <c r="E102" s="376"/>
      <c r="F102" s="376"/>
      <c r="G102" s="376"/>
      <c r="H102" s="376"/>
      <c r="I102" s="376"/>
      <c r="J102" s="376"/>
      <c r="K102" s="376"/>
      <c r="L102" s="376"/>
      <c r="M102" s="376"/>
      <c r="N102" s="376"/>
      <c r="O102" s="376"/>
      <c r="P102" s="376"/>
      <c r="Q102" s="376"/>
      <c r="R102" s="376"/>
      <c r="S102" s="376"/>
      <c r="T102" s="376"/>
      <c r="U102" s="376"/>
      <c r="V102" s="376"/>
      <c r="W102" s="384"/>
      <c r="X102" s="389"/>
      <c r="Y102" s="389"/>
      <c r="Z102" s="385"/>
      <c r="AA102" s="386"/>
      <c r="AB102" s="385"/>
      <c r="AC102" s="385"/>
      <c r="AJ102" s="388"/>
      <c r="AK102" s="388"/>
    </row>
    <row r="103" spans="2:37" ht="15" customHeight="1">
      <c r="B103" s="376"/>
      <c r="C103" s="376"/>
      <c r="D103" s="376"/>
      <c r="E103" s="376"/>
      <c r="F103" s="376"/>
      <c r="G103" s="376"/>
      <c r="H103" s="376"/>
      <c r="I103" s="376"/>
      <c r="J103" s="376"/>
      <c r="K103" s="376"/>
      <c r="L103" s="376"/>
      <c r="M103" s="376"/>
      <c r="N103" s="376"/>
      <c r="O103" s="376"/>
      <c r="P103" s="376"/>
      <c r="Q103" s="376"/>
      <c r="R103" s="376"/>
      <c r="S103" s="376"/>
      <c r="T103" s="376"/>
      <c r="U103" s="376"/>
      <c r="V103" s="376"/>
      <c r="W103" s="384"/>
      <c r="X103" s="384"/>
      <c r="Y103" s="384"/>
      <c r="Z103" s="385"/>
      <c r="AA103" s="386"/>
      <c r="AB103" s="385"/>
      <c r="AC103" s="385"/>
      <c r="AJ103" s="388"/>
      <c r="AK103" s="388"/>
    </row>
    <row r="104" spans="2:37" ht="15" customHeight="1">
      <c r="B104" s="376"/>
      <c r="C104" s="376"/>
      <c r="D104" s="376"/>
      <c r="E104" s="376"/>
      <c r="F104" s="376"/>
      <c r="G104" s="376"/>
      <c r="H104" s="376"/>
      <c r="I104" s="376"/>
      <c r="J104" s="376"/>
      <c r="K104" s="376"/>
      <c r="L104" s="376"/>
      <c r="M104" s="376"/>
      <c r="N104" s="376"/>
      <c r="O104" s="376"/>
      <c r="P104" s="376"/>
      <c r="Q104" s="376"/>
      <c r="R104" s="376"/>
      <c r="S104" s="376"/>
      <c r="T104" s="376"/>
      <c r="U104" s="376"/>
      <c r="V104" s="376"/>
      <c r="W104" s="384"/>
      <c r="X104" s="384"/>
      <c r="Y104" s="384"/>
      <c r="Z104" s="385"/>
      <c r="AA104" s="386"/>
      <c r="AB104" s="385"/>
      <c r="AC104" s="385"/>
      <c r="AJ104" s="388"/>
      <c r="AK104" s="388"/>
    </row>
    <row r="105" spans="2:37" ht="15" customHeight="1">
      <c r="B105" s="376"/>
      <c r="C105" s="376"/>
      <c r="D105" s="376"/>
      <c r="E105" s="376"/>
      <c r="F105" s="376"/>
      <c r="G105" s="376"/>
      <c r="H105" s="376"/>
      <c r="I105" s="376"/>
      <c r="J105" s="376"/>
      <c r="K105" s="376"/>
      <c r="L105" s="376"/>
      <c r="M105" s="376"/>
      <c r="N105" s="376"/>
      <c r="O105" s="376"/>
      <c r="P105" s="376"/>
      <c r="Q105" s="376"/>
      <c r="R105" s="376"/>
      <c r="S105" s="376"/>
      <c r="T105" s="376"/>
      <c r="U105" s="376"/>
      <c r="V105" s="376"/>
      <c r="W105" s="384"/>
      <c r="X105" s="384"/>
      <c r="Y105" s="384"/>
      <c r="Z105" s="385"/>
      <c r="AA105" s="386"/>
      <c r="AB105" s="385"/>
      <c r="AC105" s="385"/>
      <c r="AJ105" s="388"/>
      <c r="AK105" s="388"/>
    </row>
    <row r="106" spans="2:37" ht="15" customHeight="1">
      <c r="B106" s="376"/>
      <c r="C106" s="376"/>
      <c r="D106" s="376"/>
      <c r="E106" s="376"/>
      <c r="F106" s="376"/>
      <c r="G106" s="376"/>
      <c r="H106" s="376"/>
      <c r="I106" s="376"/>
      <c r="J106" s="376"/>
      <c r="K106" s="376"/>
      <c r="L106" s="376"/>
      <c r="M106" s="376"/>
      <c r="N106" s="376"/>
      <c r="O106" s="376"/>
      <c r="P106" s="376"/>
      <c r="Q106" s="376"/>
      <c r="R106" s="376"/>
      <c r="S106" s="376"/>
      <c r="T106" s="376"/>
      <c r="U106" s="376"/>
      <c r="V106" s="376"/>
      <c r="W106" s="384"/>
      <c r="X106" s="391"/>
      <c r="Y106" s="391"/>
      <c r="Z106" s="385"/>
      <c r="AA106" s="386"/>
      <c r="AB106" s="385"/>
      <c r="AC106" s="385"/>
      <c r="AJ106" s="388"/>
      <c r="AK106" s="388"/>
    </row>
    <row r="107" spans="2:37" ht="15" customHeight="1">
      <c r="B107" s="376"/>
      <c r="C107" s="376"/>
      <c r="D107" s="376"/>
      <c r="E107" s="376"/>
      <c r="F107" s="376"/>
      <c r="G107" s="376"/>
      <c r="H107" s="376"/>
      <c r="I107" s="376"/>
      <c r="J107" s="376"/>
      <c r="K107" s="376"/>
      <c r="L107" s="376"/>
      <c r="M107" s="376"/>
      <c r="N107" s="376"/>
      <c r="O107" s="376"/>
      <c r="P107" s="376"/>
      <c r="Q107" s="376"/>
      <c r="R107" s="376"/>
      <c r="S107" s="376"/>
      <c r="T107" s="376"/>
      <c r="U107" s="376"/>
      <c r="V107" s="376"/>
      <c r="W107" s="384"/>
      <c r="X107" s="384"/>
      <c r="Y107" s="384"/>
      <c r="Z107" s="385"/>
      <c r="AA107" s="386"/>
      <c r="AB107" s="385"/>
      <c r="AC107" s="385"/>
      <c r="AJ107" s="388"/>
      <c r="AK107" s="388"/>
    </row>
    <row r="108" spans="2:37" ht="15" customHeight="1">
      <c r="B108" s="376"/>
      <c r="C108" s="376"/>
      <c r="D108" s="376"/>
      <c r="E108" s="376"/>
      <c r="F108" s="376"/>
      <c r="G108" s="376"/>
      <c r="H108" s="376"/>
      <c r="I108" s="376"/>
      <c r="J108" s="376"/>
      <c r="K108" s="376"/>
      <c r="L108" s="376"/>
      <c r="M108" s="376"/>
      <c r="N108" s="376"/>
      <c r="O108" s="376"/>
      <c r="P108" s="376"/>
      <c r="Q108" s="376"/>
      <c r="R108" s="376"/>
      <c r="S108" s="376"/>
      <c r="T108" s="376"/>
      <c r="U108" s="376"/>
      <c r="V108" s="376"/>
      <c r="W108" s="384"/>
      <c r="X108" s="384"/>
      <c r="Y108" s="384"/>
      <c r="Z108" s="385"/>
      <c r="AA108" s="386"/>
      <c r="AB108" s="385"/>
      <c r="AC108" s="385"/>
      <c r="AJ108" s="388"/>
      <c r="AK108" s="388"/>
    </row>
    <row r="109" spans="2:37" ht="15" customHeight="1">
      <c r="B109" s="376"/>
      <c r="C109" s="376"/>
      <c r="D109" s="376"/>
      <c r="E109" s="376"/>
      <c r="F109" s="376"/>
      <c r="G109" s="376"/>
      <c r="H109" s="376"/>
      <c r="I109" s="376"/>
      <c r="J109" s="376"/>
      <c r="K109" s="376"/>
      <c r="L109" s="376"/>
      <c r="M109" s="376"/>
      <c r="N109" s="376"/>
      <c r="O109" s="376"/>
      <c r="P109" s="376"/>
      <c r="Q109" s="376"/>
      <c r="R109" s="376"/>
      <c r="S109" s="376"/>
      <c r="T109" s="376"/>
      <c r="U109" s="376"/>
      <c r="V109" s="376"/>
      <c r="W109" s="384"/>
      <c r="X109" s="384"/>
      <c r="Y109" s="384"/>
      <c r="Z109" s="385"/>
      <c r="AA109" s="386"/>
      <c r="AB109" s="385"/>
      <c r="AC109" s="385"/>
      <c r="AJ109" s="388"/>
      <c r="AK109" s="388"/>
    </row>
    <row r="110" spans="2:37" ht="15" customHeight="1">
      <c r="B110" s="376"/>
      <c r="C110" s="376"/>
      <c r="D110" s="376"/>
      <c r="E110" s="376"/>
      <c r="F110" s="376"/>
      <c r="G110" s="376"/>
      <c r="H110" s="376"/>
      <c r="I110" s="376"/>
      <c r="J110" s="376"/>
      <c r="K110" s="376"/>
      <c r="L110" s="376"/>
      <c r="M110" s="376"/>
      <c r="N110" s="376"/>
      <c r="O110" s="376"/>
      <c r="P110" s="376"/>
      <c r="Q110" s="376"/>
      <c r="R110" s="376"/>
      <c r="S110" s="376"/>
      <c r="T110" s="376"/>
      <c r="U110" s="376"/>
      <c r="V110" s="376"/>
      <c r="W110" s="384"/>
      <c r="X110" s="384"/>
      <c r="Y110" s="384"/>
      <c r="Z110" s="385"/>
      <c r="AA110" s="386"/>
      <c r="AB110" s="385"/>
      <c r="AC110" s="385"/>
      <c r="AJ110" s="388"/>
      <c r="AK110" s="388"/>
    </row>
    <row r="111" spans="2:37" ht="15" customHeight="1">
      <c r="B111" s="376"/>
      <c r="C111" s="376"/>
      <c r="D111" s="376"/>
      <c r="E111" s="376"/>
      <c r="F111" s="376"/>
      <c r="G111" s="376"/>
      <c r="H111" s="376"/>
      <c r="I111" s="376"/>
      <c r="J111" s="376"/>
      <c r="K111" s="376"/>
      <c r="L111" s="376"/>
      <c r="M111" s="376"/>
      <c r="N111" s="376"/>
      <c r="O111" s="376"/>
      <c r="P111" s="376"/>
      <c r="Q111" s="376"/>
      <c r="R111" s="376"/>
      <c r="S111" s="376"/>
      <c r="T111" s="376"/>
      <c r="U111" s="376"/>
      <c r="V111" s="376"/>
      <c r="W111" s="384"/>
      <c r="X111" s="384"/>
      <c r="Y111" s="384"/>
      <c r="Z111" s="385"/>
      <c r="AA111" s="386"/>
      <c r="AB111" s="385"/>
      <c r="AC111" s="385"/>
      <c r="AJ111" s="388"/>
      <c r="AK111" s="388"/>
    </row>
    <row r="112" spans="2:37" ht="15" customHeight="1">
      <c r="B112" s="376"/>
      <c r="C112" s="376"/>
      <c r="D112" s="376"/>
      <c r="E112" s="376"/>
      <c r="F112" s="376"/>
      <c r="G112" s="376"/>
      <c r="H112" s="376"/>
      <c r="I112" s="376"/>
      <c r="J112" s="376"/>
      <c r="K112" s="376"/>
      <c r="L112" s="376"/>
      <c r="M112" s="376"/>
      <c r="N112" s="376"/>
      <c r="O112" s="376"/>
      <c r="P112" s="376"/>
      <c r="Q112" s="376"/>
      <c r="R112" s="376"/>
      <c r="S112" s="376"/>
      <c r="T112" s="376"/>
      <c r="U112" s="376"/>
      <c r="V112" s="376"/>
      <c r="W112" s="384"/>
      <c r="X112" s="391"/>
      <c r="Y112" s="391"/>
      <c r="Z112" s="385"/>
      <c r="AA112" s="386"/>
      <c r="AB112" s="385"/>
      <c r="AC112" s="385"/>
      <c r="AJ112" s="388"/>
      <c r="AK112" s="388"/>
    </row>
    <row r="113" spans="2:37" ht="15" customHeight="1">
      <c r="B113" s="376"/>
      <c r="C113" s="376"/>
      <c r="D113" s="376"/>
      <c r="E113" s="376"/>
      <c r="F113" s="376"/>
      <c r="G113" s="376"/>
      <c r="H113" s="376"/>
      <c r="I113" s="376"/>
      <c r="J113" s="376"/>
      <c r="K113" s="376"/>
      <c r="L113" s="376"/>
      <c r="M113" s="376"/>
      <c r="N113" s="376"/>
      <c r="O113" s="376"/>
      <c r="P113" s="376"/>
      <c r="Q113" s="376"/>
      <c r="R113" s="376"/>
      <c r="S113" s="376"/>
      <c r="T113" s="376"/>
      <c r="U113" s="376"/>
      <c r="V113" s="376"/>
      <c r="W113" s="384"/>
      <c r="X113" s="391"/>
      <c r="Y113" s="391"/>
      <c r="Z113" s="385"/>
      <c r="AA113" s="386"/>
      <c r="AB113" s="385"/>
      <c r="AC113" s="385"/>
      <c r="AJ113" s="388"/>
      <c r="AK113" s="388"/>
    </row>
    <row r="114" spans="2:37" ht="15" customHeight="1">
      <c r="B114" s="376"/>
      <c r="C114" s="376"/>
      <c r="D114" s="376"/>
      <c r="E114" s="376"/>
      <c r="F114" s="376"/>
      <c r="G114" s="376"/>
      <c r="H114" s="376"/>
      <c r="I114" s="376"/>
      <c r="J114" s="376"/>
      <c r="K114" s="376"/>
      <c r="L114" s="376"/>
      <c r="M114" s="376"/>
      <c r="N114" s="376"/>
      <c r="O114" s="376"/>
      <c r="P114" s="376"/>
      <c r="Q114" s="376"/>
      <c r="R114" s="376"/>
      <c r="S114" s="376"/>
      <c r="T114" s="376"/>
      <c r="U114" s="376"/>
      <c r="V114" s="376"/>
      <c r="W114" s="384"/>
      <c r="X114" s="391"/>
      <c r="Y114" s="391"/>
      <c r="Z114" s="385"/>
      <c r="AA114" s="386"/>
      <c r="AB114" s="385"/>
      <c r="AC114" s="385"/>
      <c r="AJ114" s="388"/>
      <c r="AK114" s="388"/>
    </row>
    <row r="115" spans="2:37" ht="15" customHeight="1">
      <c r="B115" s="376"/>
      <c r="C115" s="376"/>
      <c r="D115" s="376"/>
      <c r="E115" s="376"/>
      <c r="F115" s="376"/>
      <c r="G115" s="376"/>
      <c r="H115" s="376"/>
      <c r="I115" s="376"/>
      <c r="J115" s="376"/>
      <c r="K115" s="376"/>
      <c r="L115" s="376"/>
      <c r="M115" s="376"/>
      <c r="N115" s="376"/>
      <c r="O115" s="376"/>
      <c r="P115" s="376"/>
      <c r="Q115" s="376"/>
      <c r="R115" s="376"/>
      <c r="S115" s="376"/>
      <c r="T115" s="376"/>
      <c r="U115" s="376"/>
      <c r="V115" s="376"/>
      <c r="W115" s="384"/>
      <c r="X115" s="391"/>
      <c r="Y115" s="391"/>
      <c r="Z115" s="385"/>
      <c r="AA115" s="386"/>
      <c r="AB115" s="385"/>
      <c r="AC115" s="385"/>
      <c r="AJ115" s="388"/>
      <c r="AK115" s="388"/>
    </row>
    <row r="116" spans="2:37" ht="15" customHeight="1">
      <c r="B116" s="376"/>
      <c r="C116" s="376"/>
      <c r="D116" s="376"/>
      <c r="E116" s="376"/>
      <c r="F116" s="376"/>
      <c r="G116" s="376"/>
      <c r="H116" s="376"/>
      <c r="I116" s="376"/>
      <c r="J116" s="376"/>
      <c r="K116" s="376"/>
      <c r="L116" s="376"/>
      <c r="M116" s="376"/>
      <c r="N116" s="376"/>
      <c r="O116" s="376"/>
      <c r="P116" s="376"/>
      <c r="Q116" s="376"/>
      <c r="R116" s="376"/>
      <c r="S116" s="376"/>
      <c r="T116" s="376"/>
      <c r="U116" s="376"/>
      <c r="V116" s="376"/>
      <c r="W116" s="384"/>
      <c r="X116" s="391"/>
      <c r="Y116" s="391"/>
      <c r="Z116" s="385"/>
      <c r="AA116" s="386"/>
      <c r="AB116" s="385"/>
      <c r="AC116" s="385"/>
      <c r="AJ116" s="388"/>
      <c r="AK116" s="388"/>
    </row>
    <row r="117" spans="2:37" ht="15" customHeight="1">
      <c r="B117" s="376"/>
      <c r="C117" s="376"/>
      <c r="D117" s="376"/>
      <c r="E117" s="376"/>
      <c r="F117" s="376"/>
      <c r="G117" s="376"/>
      <c r="H117" s="376"/>
      <c r="I117" s="376"/>
      <c r="J117" s="376"/>
      <c r="K117" s="376"/>
      <c r="L117" s="376"/>
      <c r="M117" s="376"/>
      <c r="N117" s="376"/>
      <c r="O117" s="376"/>
      <c r="P117" s="376"/>
      <c r="Q117" s="376"/>
      <c r="R117" s="376"/>
      <c r="S117" s="376"/>
      <c r="T117" s="376"/>
      <c r="U117" s="376"/>
      <c r="V117" s="376"/>
      <c r="W117" s="384"/>
      <c r="X117" s="389"/>
      <c r="Y117" s="391"/>
      <c r="Z117" s="385"/>
      <c r="AA117" s="386"/>
      <c r="AB117" s="385"/>
      <c r="AC117" s="385"/>
      <c r="AJ117" s="388"/>
      <c r="AK117" s="388"/>
    </row>
    <row r="118" spans="2:37" ht="15" customHeight="1">
      <c r="B118" s="376"/>
      <c r="C118" s="376"/>
      <c r="D118" s="376"/>
      <c r="E118" s="376"/>
      <c r="F118" s="376"/>
      <c r="G118" s="376"/>
      <c r="H118" s="376"/>
      <c r="I118" s="376"/>
      <c r="J118" s="376"/>
      <c r="K118" s="376"/>
      <c r="L118" s="376"/>
      <c r="M118" s="376"/>
      <c r="N118" s="376"/>
      <c r="O118" s="376"/>
      <c r="P118" s="376"/>
      <c r="Q118" s="376"/>
      <c r="R118" s="376"/>
      <c r="S118" s="376"/>
      <c r="T118" s="376"/>
      <c r="U118" s="376"/>
      <c r="V118" s="376"/>
      <c r="W118" s="384"/>
      <c r="X118" s="389"/>
      <c r="Y118" s="391"/>
      <c r="Z118" s="385"/>
      <c r="AA118" s="386"/>
      <c r="AB118" s="385"/>
      <c r="AC118" s="385"/>
      <c r="AJ118" s="388"/>
      <c r="AK118" s="388"/>
    </row>
    <row r="119" spans="2:37" ht="15" customHeight="1">
      <c r="B119" s="376"/>
      <c r="C119" s="376"/>
      <c r="D119" s="376"/>
      <c r="E119" s="376"/>
      <c r="F119" s="376"/>
      <c r="G119" s="376"/>
      <c r="H119" s="376"/>
      <c r="I119" s="376"/>
      <c r="J119" s="376"/>
      <c r="K119" s="376"/>
      <c r="L119" s="376"/>
      <c r="M119" s="376"/>
      <c r="N119" s="376"/>
      <c r="O119" s="376"/>
      <c r="P119" s="376"/>
      <c r="Q119" s="376"/>
      <c r="R119" s="376"/>
      <c r="S119" s="376"/>
      <c r="T119" s="376"/>
      <c r="U119" s="376"/>
      <c r="V119" s="376"/>
      <c r="W119" s="384"/>
      <c r="X119" s="389"/>
      <c r="Y119" s="391"/>
      <c r="Z119" s="385"/>
      <c r="AA119" s="386"/>
      <c r="AB119" s="385"/>
      <c r="AC119" s="385"/>
      <c r="AJ119" s="388"/>
      <c r="AK119" s="388"/>
    </row>
    <row r="120" spans="2:37" ht="15" customHeight="1">
      <c r="B120" s="376"/>
      <c r="C120" s="376"/>
      <c r="D120" s="376"/>
      <c r="E120" s="376"/>
      <c r="F120" s="376"/>
      <c r="G120" s="376"/>
      <c r="H120" s="376"/>
      <c r="I120" s="376"/>
      <c r="J120" s="376"/>
      <c r="K120" s="376"/>
      <c r="L120" s="376"/>
      <c r="M120" s="376"/>
      <c r="N120" s="376"/>
      <c r="O120" s="376"/>
      <c r="P120" s="376"/>
      <c r="Q120" s="376"/>
      <c r="R120" s="376"/>
      <c r="S120" s="376"/>
      <c r="T120" s="376"/>
      <c r="U120" s="376"/>
      <c r="V120" s="376"/>
      <c r="W120" s="384"/>
      <c r="X120" s="391"/>
      <c r="Y120" s="391"/>
      <c r="Z120" s="385"/>
      <c r="AA120" s="386"/>
      <c r="AB120" s="385"/>
      <c r="AC120" s="385"/>
      <c r="AJ120" s="393"/>
      <c r="AK120" s="388"/>
    </row>
    <row r="121" spans="2:37" ht="15" customHeight="1">
      <c r="B121" s="376"/>
      <c r="C121" s="376"/>
      <c r="D121" s="376"/>
      <c r="E121" s="376"/>
      <c r="F121" s="376"/>
      <c r="G121" s="376"/>
      <c r="H121" s="376"/>
      <c r="I121" s="376"/>
      <c r="J121" s="376"/>
      <c r="K121" s="376"/>
      <c r="L121" s="376"/>
      <c r="M121" s="376"/>
      <c r="N121" s="376"/>
      <c r="O121" s="376"/>
      <c r="P121" s="376"/>
      <c r="Q121" s="376"/>
      <c r="R121" s="376"/>
      <c r="S121" s="376"/>
      <c r="T121" s="376"/>
      <c r="U121" s="376"/>
      <c r="V121" s="376"/>
      <c r="W121" s="384"/>
      <c r="X121" s="384"/>
      <c r="Y121" s="384"/>
      <c r="Z121" s="385"/>
      <c r="AA121" s="386"/>
      <c r="AB121" s="385"/>
      <c r="AC121" s="385"/>
      <c r="AJ121" s="388"/>
      <c r="AK121" s="388"/>
    </row>
    <row r="122" spans="2:37" ht="15" customHeight="1">
      <c r="B122" s="376"/>
      <c r="C122" s="376"/>
      <c r="D122" s="376"/>
      <c r="E122" s="376"/>
      <c r="F122" s="376"/>
      <c r="G122" s="376"/>
      <c r="H122" s="376"/>
      <c r="I122" s="376"/>
      <c r="J122" s="376"/>
      <c r="K122" s="376"/>
      <c r="L122" s="376"/>
      <c r="M122" s="376"/>
      <c r="N122" s="376"/>
      <c r="O122" s="376"/>
      <c r="P122" s="376"/>
      <c r="Q122" s="376"/>
      <c r="R122" s="376"/>
      <c r="S122" s="376"/>
      <c r="T122" s="376"/>
      <c r="U122" s="376"/>
      <c r="V122" s="376"/>
      <c r="W122" s="384"/>
      <c r="X122" s="384"/>
      <c r="Y122" s="384"/>
      <c r="Z122" s="385"/>
      <c r="AA122" s="386"/>
      <c r="AB122" s="385"/>
      <c r="AC122" s="385"/>
      <c r="AJ122" s="388"/>
      <c r="AK122" s="388"/>
    </row>
    <row r="123" spans="2:37" ht="15" customHeight="1">
      <c r="B123" s="376"/>
      <c r="C123" s="376"/>
      <c r="D123" s="376"/>
      <c r="E123" s="376"/>
      <c r="F123" s="376"/>
      <c r="G123" s="376"/>
      <c r="H123" s="376"/>
      <c r="I123" s="376"/>
      <c r="J123" s="376"/>
      <c r="K123" s="376"/>
      <c r="L123" s="376"/>
      <c r="M123" s="376"/>
      <c r="N123" s="376"/>
      <c r="O123" s="376"/>
      <c r="P123" s="376"/>
      <c r="Q123" s="376"/>
      <c r="R123" s="376"/>
      <c r="S123" s="376"/>
      <c r="T123" s="376"/>
      <c r="U123" s="376"/>
      <c r="V123" s="376"/>
      <c r="W123" s="384"/>
      <c r="X123" s="384"/>
      <c r="Y123" s="384"/>
      <c r="Z123" s="385"/>
      <c r="AA123" s="386"/>
      <c r="AB123" s="385"/>
      <c r="AC123" s="385"/>
      <c r="AJ123" s="388"/>
      <c r="AK123" s="388"/>
    </row>
    <row r="124" spans="2:37" ht="15" customHeight="1">
      <c r="B124" s="376"/>
      <c r="C124" s="376"/>
      <c r="D124" s="376"/>
      <c r="E124" s="376"/>
      <c r="F124" s="376"/>
      <c r="G124" s="376"/>
      <c r="H124" s="376"/>
      <c r="I124" s="376"/>
      <c r="J124" s="376"/>
      <c r="K124" s="376"/>
      <c r="L124" s="376"/>
      <c r="M124" s="376"/>
      <c r="N124" s="376"/>
      <c r="O124" s="376"/>
      <c r="P124" s="376"/>
      <c r="Q124" s="376"/>
      <c r="R124" s="376"/>
      <c r="S124" s="376"/>
      <c r="T124" s="376"/>
      <c r="U124" s="376"/>
      <c r="V124" s="376"/>
      <c r="W124" s="384"/>
      <c r="X124" s="384"/>
      <c r="Y124" s="384"/>
      <c r="Z124" s="385"/>
      <c r="AA124" s="386"/>
      <c r="AB124" s="385"/>
      <c r="AC124" s="385"/>
      <c r="AJ124" s="388"/>
      <c r="AK124" s="388"/>
    </row>
    <row r="125" spans="2:37" ht="15" customHeight="1">
      <c r="B125" s="376"/>
      <c r="C125" s="376"/>
      <c r="D125" s="376"/>
      <c r="E125" s="376"/>
      <c r="F125" s="376"/>
      <c r="G125" s="376"/>
      <c r="H125" s="376"/>
      <c r="I125" s="376"/>
      <c r="J125" s="376"/>
      <c r="K125" s="376"/>
      <c r="L125" s="376"/>
      <c r="M125" s="376"/>
      <c r="N125" s="376"/>
      <c r="O125" s="376"/>
      <c r="P125" s="376"/>
      <c r="Q125" s="376"/>
      <c r="R125" s="376"/>
      <c r="S125" s="376"/>
      <c r="T125" s="376"/>
      <c r="U125" s="376"/>
      <c r="V125" s="376"/>
      <c r="W125" s="384"/>
      <c r="X125" s="384"/>
      <c r="Y125" s="384"/>
      <c r="Z125" s="385"/>
      <c r="AA125" s="386"/>
      <c r="AB125" s="385"/>
      <c r="AC125" s="385"/>
      <c r="AJ125" s="388"/>
      <c r="AK125" s="388"/>
    </row>
    <row r="126" spans="2:37" ht="15" customHeight="1">
      <c r="B126" s="376"/>
      <c r="C126" s="376"/>
      <c r="D126" s="376"/>
      <c r="E126" s="376"/>
      <c r="F126" s="376"/>
      <c r="G126" s="376"/>
      <c r="H126" s="376"/>
      <c r="I126" s="376"/>
      <c r="J126" s="376"/>
      <c r="K126" s="376"/>
      <c r="L126" s="376"/>
      <c r="M126" s="376"/>
      <c r="N126" s="376"/>
      <c r="O126" s="376"/>
      <c r="P126" s="376"/>
      <c r="Q126" s="376"/>
      <c r="R126" s="376"/>
      <c r="S126" s="376"/>
      <c r="T126" s="376"/>
      <c r="U126" s="376"/>
      <c r="V126" s="376"/>
      <c r="W126" s="384"/>
      <c r="X126" s="384"/>
      <c r="Y126" s="384"/>
      <c r="Z126" s="385"/>
      <c r="AA126" s="386"/>
      <c r="AB126" s="385"/>
      <c r="AC126" s="385"/>
      <c r="AJ126" s="388"/>
      <c r="AK126" s="388"/>
    </row>
    <row r="127" spans="2:37" ht="15" customHeight="1">
      <c r="B127" s="376"/>
      <c r="C127" s="376"/>
      <c r="D127" s="376"/>
      <c r="E127" s="376"/>
      <c r="F127" s="376"/>
      <c r="G127" s="376"/>
      <c r="H127" s="376"/>
      <c r="I127" s="376"/>
      <c r="J127" s="376"/>
      <c r="K127" s="376"/>
      <c r="L127" s="376"/>
      <c r="M127" s="376"/>
      <c r="N127" s="376"/>
      <c r="O127" s="376"/>
      <c r="P127" s="376"/>
      <c r="Q127" s="376"/>
      <c r="R127" s="376"/>
      <c r="S127" s="376"/>
      <c r="T127" s="376"/>
      <c r="U127" s="376"/>
      <c r="V127" s="376"/>
      <c r="W127" s="384"/>
      <c r="X127" s="389"/>
      <c r="Y127" s="391"/>
      <c r="Z127" s="385"/>
      <c r="AA127" s="386"/>
      <c r="AB127" s="385"/>
      <c r="AC127" s="385"/>
      <c r="AJ127" s="388"/>
      <c r="AK127" s="388"/>
    </row>
    <row r="128" spans="2:37" ht="15" customHeight="1">
      <c r="B128" s="376"/>
      <c r="C128" s="376"/>
      <c r="D128" s="376"/>
      <c r="E128" s="376"/>
      <c r="F128" s="376"/>
      <c r="G128" s="376"/>
      <c r="H128" s="376"/>
      <c r="I128" s="376"/>
      <c r="J128" s="376"/>
      <c r="K128" s="376"/>
      <c r="L128" s="376"/>
      <c r="M128" s="376"/>
      <c r="N128" s="376"/>
      <c r="O128" s="376"/>
      <c r="P128" s="376"/>
      <c r="Q128" s="376"/>
      <c r="R128" s="376"/>
      <c r="S128" s="376"/>
      <c r="T128" s="376"/>
      <c r="U128" s="376"/>
      <c r="V128" s="376"/>
      <c r="W128" s="384"/>
      <c r="X128" s="389"/>
      <c r="Y128" s="391"/>
      <c r="Z128" s="385"/>
      <c r="AA128" s="386"/>
      <c r="AB128" s="385"/>
      <c r="AC128" s="385"/>
      <c r="AJ128" s="388"/>
      <c r="AK128" s="388"/>
    </row>
    <row r="129" spans="2:37" ht="15" customHeight="1">
      <c r="B129" s="376"/>
      <c r="C129" s="376"/>
      <c r="D129" s="376"/>
      <c r="E129" s="376"/>
      <c r="F129" s="376"/>
      <c r="G129" s="376"/>
      <c r="H129" s="376"/>
      <c r="I129" s="376"/>
      <c r="J129" s="376"/>
      <c r="K129" s="376"/>
      <c r="L129" s="376"/>
      <c r="M129" s="376"/>
      <c r="N129" s="376"/>
      <c r="O129" s="376"/>
      <c r="P129" s="376"/>
      <c r="Q129" s="376"/>
      <c r="R129" s="376"/>
      <c r="S129" s="376"/>
      <c r="T129" s="376"/>
      <c r="U129" s="376"/>
      <c r="V129" s="376"/>
      <c r="W129" s="384"/>
      <c r="X129" s="389"/>
      <c r="Y129" s="391"/>
      <c r="Z129" s="385"/>
      <c r="AA129" s="386"/>
      <c r="AB129" s="385"/>
      <c r="AC129" s="385"/>
      <c r="AJ129" s="388"/>
      <c r="AK129" s="388"/>
    </row>
    <row r="130" spans="2:37" ht="15" customHeight="1">
      <c r="B130" s="376"/>
      <c r="C130" s="376"/>
      <c r="D130" s="376"/>
      <c r="E130" s="376"/>
      <c r="F130" s="376"/>
      <c r="G130" s="376"/>
      <c r="H130" s="376"/>
      <c r="I130" s="376"/>
      <c r="J130" s="376"/>
      <c r="K130" s="376"/>
      <c r="L130" s="376"/>
      <c r="M130" s="376"/>
      <c r="N130" s="376"/>
      <c r="O130" s="376"/>
      <c r="P130" s="376"/>
      <c r="Q130" s="376"/>
      <c r="R130" s="376"/>
      <c r="S130" s="376"/>
      <c r="T130" s="376"/>
      <c r="U130" s="376"/>
      <c r="V130" s="376"/>
      <c r="W130" s="384"/>
      <c r="X130" s="384"/>
      <c r="Y130" s="384"/>
      <c r="Z130" s="385"/>
      <c r="AA130" s="386"/>
      <c r="AB130" s="385"/>
      <c r="AC130" s="385"/>
      <c r="AJ130" s="388"/>
      <c r="AK130" s="388"/>
    </row>
    <row r="131" spans="2:37" ht="15" customHeight="1">
      <c r="B131" s="376"/>
      <c r="C131" s="376"/>
      <c r="D131" s="376"/>
      <c r="E131" s="376"/>
      <c r="F131" s="376"/>
      <c r="G131" s="376"/>
      <c r="H131" s="376"/>
      <c r="I131" s="376"/>
      <c r="J131" s="376"/>
      <c r="K131" s="376"/>
      <c r="L131" s="376"/>
      <c r="M131" s="376"/>
      <c r="N131" s="376"/>
      <c r="O131" s="376"/>
      <c r="P131" s="376"/>
      <c r="Q131" s="376"/>
      <c r="R131" s="376"/>
      <c r="S131" s="376"/>
      <c r="T131" s="376"/>
      <c r="U131" s="376"/>
      <c r="V131" s="376"/>
      <c r="W131" s="384"/>
      <c r="X131" s="384"/>
      <c r="Y131" s="384"/>
      <c r="Z131" s="385"/>
      <c r="AA131" s="386"/>
      <c r="AB131" s="385"/>
      <c r="AC131" s="385"/>
      <c r="AJ131" s="388"/>
      <c r="AK131" s="388"/>
    </row>
    <row r="132" spans="2:37" ht="15" customHeight="1">
      <c r="B132" s="376"/>
      <c r="C132" s="376"/>
      <c r="D132" s="376"/>
      <c r="E132" s="376"/>
      <c r="F132" s="376"/>
      <c r="G132" s="376"/>
      <c r="H132" s="376"/>
      <c r="I132" s="376"/>
      <c r="J132" s="376"/>
      <c r="K132" s="376"/>
      <c r="L132" s="376"/>
      <c r="M132" s="376"/>
      <c r="N132" s="376"/>
      <c r="O132" s="376"/>
      <c r="P132" s="376"/>
      <c r="Q132" s="376"/>
      <c r="R132" s="376"/>
      <c r="S132" s="376"/>
      <c r="T132" s="376"/>
      <c r="U132" s="376"/>
      <c r="V132" s="376"/>
      <c r="W132" s="384"/>
      <c r="X132" s="384"/>
      <c r="Y132" s="391"/>
      <c r="Z132" s="385"/>
      <c r="AA132" s="386"/>
      <c r="AB132" s="385"/>
      <c r="AC132" s="385"/>
      <c r="AJ132" s="388"/>
      <c r="AK132" s="388"/>
    </row>
    <row r="133" spans="2:37" ht="15" customHeight="1">
      <c r="B133" s="376"/>
      <c r="C133" s="376"/>
      <c r="D133" s="376"/>
      <c r="E133" s="376"/>
      <c r="F133" s="376"/>
      <c r="G133" s="376"/>
      <c r="H133" s="376"/>
      <c r="I133" s="376"/>
      <c r="J133" s="376"/>
      <c r="K133" s="376"/>
      <c r="L133" s="376"/>
      <c r="M133" s="376"/>
      <c r="N133" s="376"/>
      <c r="O133" s="376"/>
      <c r="P133" s="376"/>
      <c r="Q133" s="376"/>
      <c r="R133" s="376"/>
      <c r="S133" s="376"/>
      <c r="T133" s="376"/>
      <c r="U133" s="376"/>
      <c r="V133" s="376"/>
      <c r="W133" s="384"/>
      <c r="X133" s="384"/>
      <c r="Y133" s="384"/>
      <c r="Z133" s="385"/>
      <c r="AA133" s="386"/>
      <c r="AB133" s="385"/>
      <c r="AC133" s="385"/>
      <c r="AJ133" s="388"/>
      <c r="AK133" s="388"/>
    </row>
    <row r="134" spans="2:37" ht="15" customHeight="1">
      <c r="B134" s="376"/>
      <c r="C134" s="376"/>
      <c r="D134" s="376"/>
      <c r="E134" s="376"/>
      <c r="F134" s="376"/>
      <c r="G134" s="376"/>
      <c r="H134" s="376"/>
      <c r="I134" s="376"/>
      <c r="J134" s="376"/>
      <c r="K134" s="376"/>
      <c r="L134" s="376"/>
      <c r="M134" s="376"/>
      <c r="N134" s="376"/>
      <c r="O134" s="376"/>
      <c r="P134" s="376"/>
      <c r="Q134" s="376"/>
      <c r="R134" s="376"/>
      <c r="S134" s="376"/>
      <c r="T134" s="376"/>
      <c r="U134" s="376"/>
      <c r="V134" s="376"/>
      <c r="W134" s="384"/>
      <c r="X134" s="384"/>
      <c r="Y134" s="384"/>
      <c r="Z134" s="385"/>
      <c r="AA134" s="386"/>
      <c r="AB134" s="385"/>
      <c r="AC134" s="385"/>
      <c r="AJ134" s="388"/>
      <c r="AK134" s="388"/>
    </row>
    <row r="135" spans="2:37" ht="15" customHeight="1">
      <c r="B135" s="376"/>
      <c r="C135" s="376"/>
      <c r="D135" s="376"/>
      <c r="E135" s="376"/>
      <c r="F135" s="376"/>
      <c r="G135" s="376"/>
      <c r="H135" s="376"/>
      <c r="I135" s="376"/>
      <c r="J135" s="376"/>
      <c r="K135" s="376"/>
      <c r="L135" s="376"/>
      <c r="M135" s="376"/>
      <c r="N135" s="376"/>
      <c r="O135" s="376"/>
      <c r="P135" s="376"/>
      <c r="Q135" s="376"/>
      <c r="R135" s="376"/>
      <c r="S135" s="376"/>
      <c r="T135" s="376"/>
      <c r="U135" s="376"/>
      <c r="V135" s="376"/>
      <c r="W135" s="384"/>
      <c r="X135" s="384"/>
      <c r="Y135" s="384"/>
      <c r="Z135" s="385"/>
      <c r="AA135" s="386"/>
      <c r="AB135" s="385"/>
      <c r="AC135" s="385"/>
      <c r="AJ135" s="388"/>
      <c r="AK135" s="388"/>
    </row>
    <row r="136" spans="2:37" ht="15" customHeight="1">
      <c r="B136" s="376"/>
      <c r="C136" s="376"/>
      <c r="D136" s="376"/>
      <c r="E136" s="376"/>
      <c r="F136" s="376"/>
      <c r="G136" s="376"/>
      <c r="H136" s="376"/>
      <c r="I136" s="376"/>
      <c r="J136" s="376"/>
      <c r="K136" s="376"/>
      <c r="L136" s="376"/>
      <c r="M136" s="376"/>
      <c r="N136" s="376"/>
      <c r="O136" s="376"/>
      <c r="P136" s="376"/>
      <c r="Q136" s="376"/>
      <c r="R136" s="376"/>
      <c r="S136" s="376"/>
      <c r="T136" s="376"/>
      <c r="U136" s="376"/>
      <c r="V136" s="376"/>
      <c r="W136" s="384"/>
      <c r="X136" s="384"/>
      <c r="Y136" s="384"/>
      <c r="Z136" s="385"/>
      <c r="AA136" s="386"/>
      <c r="AB136" s="385"/>
      <c r="AC136" s="385"/>
      <c r="AJ136" s="388"/>
      <c r="AK136" s="388"/>
    </row>
    <row r="137" spans="2:37" ht="15" customHeight="1">
      <c r="B137" s="376"/>
      <c r="C137" s="376"/>
      <c r="D137" s="376"/>
      <c r="E137" s="376"/>
      <c r="F137" s="376"/>
      <c r="G137" s="376"/>
      <c r="H137" s="376"/>
      <c r="I137" s="376"/>
      <c r="J137" s="376"/>
      <c r="K137" s="376"/>
      <c r="L137" s="376"/>
      <c r="M137" s="376"/>
      <c r="N137" s="376"/>
      <c r="O137" s="376"/>
      <c r="P137" s="376"/>
      <c r="Q137" s="376"/>
      <c r="R137" s="376"/>
      <c r="S137" s="376"/>
      <c r="T137" s="376"/>
      <c r="U137" s="376"/>
      <c r="V137" s="376"/>
      <c r="W137" s="384"/>
      <c r="X137" s="384"/>
      <c r="Y137" s="384"/>
      <c r="Z137" s="385"/>
      <c r="AA137" s="386"/>
      <c r="AB137" s="385"/>
      <c r="AC137" s="385"/>
      <c r="AJ137" s="388"/>
      <c r="AK137" s="388"/>
    </row>
    <row r="138" spans="2:37" ht="15" customHeight="1">
      <c r="B138" s="376"/>
      <c r="C138" s="376"/>
      <c r="D138" s="376"/>
      <c r="E138" s="376"/>
      <c r="F138" s="376"/>
      <c r="G138" s="376"/>
      <c r="H138" s="376"/>
      <c r="I138" s="376"/>
      <c r="J138" s="376"/>
      <c r="K138" s="376"/>
      <c r="L138" s="376"/>
      <c r="M138" s="376"/>
      <c r="N138" s="376"/>
      <c r="O138" s="376"/>
      <c r="P138" s="376"/>
      <c r="Q138" s="376"/>
      <c r="R138" s="376"/>
      <c r="S138" s="376"/>
      <c r="T138" s="376"/>
      <c r="U138" s="376"/>
      <c r="V138" s="376"/>
      <c r="W138" s="384"/>
      <c r="X138" s="384"/>
      <c r="Y138" s="384"/>
      <c r="Z138" s="385"/>
      <c r="AA138" s="386"/>
      <c r="AB138" s="385"/>
      <c r="AC138" s="385"/>
      <c r="AJ138" s="388"/>
      <c r="AK138" s="388"/>
    </row>
    <row r="139" spans="2:37" ht="15" customHeight="1">
      <c r="B139" s="376"/>
      <c r="C139" s="376"/>
      <c r="D139" s="376"/>
      <c r="E139" s="376"/>
      <c r="F139" s="376"/>
      <c r="G139" s="376"/>
      <c r="H139" s="376"/>
      <c r="I139" s="376"/>
      <c r="J139" s="376"/>
      <c r="K139" s="376"/>
      <c r="L139" s="376"/>
      <c r="M139" s="376"/>
      <c r="N139" s="376"/>
      <c r="O139" s="376"/>
      <c r="P139" s="376"/>
      <c r="Q139" s="376"/>
      <c r="R139" s="376"/>
      <c r="S139" s="376"/>
      <c r="T139" s="376"/>
      <c r="U139" s="376"/>
      <c r="V139" s="376"/>
      <c r="W139" s="384"/>
      <c r="X139" s="384"/>
      <c r="Y139" s="384"/>
      <c r="Z139" s="385"/>
      <c r="AA139" s="386"/>
      <c r="AB139" s="385"/>
      <c r="AC139" s="385"/>
      <c r="AJ139" s="388"/>
      <c r="AK139" s="388"/>
    </row>
    <row r="140" spans="2:37" ht="15" customHeight="1">
      <c r="B140" s="376"/>
      <c r="C140" s="376"/>
      <c r="D140" s="376"/>
      <c r="E140" s="376"/>
      <c r="F140" s="376"/>
      <c r="G140" s="376"/>
      <c r="H140" s="376"/>
      <c r="I140" s="376"/>
      <c r="J140" s="376"/>
      <c r="K140" s="376"/>
      <c r="L140" s="376"/>
      <c r="M140" s="376"/>
      <c r="N140" s="376"/>
      <c r="O140" s="376"/>
      <c r="P140" s="376"/>
      <c r="Q140" s="376"/>
      <c r="R140" s="376"/>
      <c r="S140" s="376"/>
      <c r="T140" s="376"/>
      <c r="U140" s="376"/>
      <c r="V140" s="376"/>
      <c r="W140" s="384"/>
      <c r="X140" s="384"/>
      <c r="Y140" s="384"/>
      <c r="Z140" s="385"/>
      <c r="AA140" s="386"/>
      <c r="AB140" s="385"/>
      <c r="AC140" s="385"/>
      <c r="AJ140" s="388"/>
      <c r="AK140" s="388"/>
    </row>
    <row r="141" spans="2:37" ht="15" customHeight="1">
      <c r="B141" s="376"/>
      <c r="C141" s="376"/>
      <c r="D141" s="376"/>
      <c r="E141" s="376"/>
      <c r="F141" s="376"/>
      <c r="G141" s="376"/>
      <c r="H141" s="376"/>
      <c r="I141" s="376"/>
      <c r="J141" s="376"/>
      <c r="K141" s="376"/>
      <c r="L141" s="376"/>
      <c r="M141" s="376"/>
      <c r="N141" s="376"/>
      <c r="O141" s="376"/>
      <c r="P141" s="376"/>
      <c r="Q141" s="376"/>
      <c r="R141" s="376"/>
      <c r="S141" s="376"/>
      <c r="T141" s="376"/>
      <c r="U141" s="376"/>
      <c r="V141" s="376"/>
      <c r="W141" s="384"/>
      <c r="X141" s="384"/>
      <c r="Y141" s="384"/>
      <c r="Z141" s="385"/>
      <c r="AA141" s="386"/>
      <c r="AB141" s="385"/>
      <c r="AC141" s="385"/>
      <c r="AJ141" s="388"/>
      <c r="AK141" s="388"/>
    </row>
    <row r="142" spans="2:37" ht="15" customHeight="1">
      <c r="B142" s="376"/>
      <c r="C142" s="376"/>
      <c r="D142" s="376"/>
      <c r="E142" s="376"/>
      <c r="F142" s="376"/>
      <c r="G142" s="376"/>
      <c r="H142" s="376"/>
      <c r="I142" s="376"/>
      <c r="J142" s="376"/>
      <c r="K142" s="376"/>
      <c r="L142" s="376"/>
      <c r="M142" s="376"/>
      <c r="N142" s="376"/>
      <c r="O142" s="376"/>
      <c r="P142" s="376"/>
      <c r="Q142" s="376"/>
      <c r="R142" s="376"/>
      <c r="S142" s="376"/>
      <c r="T142" s="376"/>
      <c r="U142" s="376"/>
      <c r="V142" s="376"/>
      <c r="W142" s="384"/>
      <c r="X142" s="384"/>
      <c r="Y142" s="384"/>
      <c r="Z142" s="385"/>
      <c r="AA142" s="386"/>
      <c r="AB142" s="385"/>
      <c r="AC142" s="385"/>
      <c r="AJ142" s="388"/>
      <c r="AK142" s="388"/>
    </row>
    <row r="143" spans="2:37" ht="15" customHeight="1">
      <c r="B143" s="376"/>
      <c r="C143" s="376"/>
      <c r="D143" s="376"/>
      <c r="E143" s="376"/>
      <c r="F143" s="376"/>
      <c r="G143" s="376"/>
      <c r="H143" s="376"/>
      <c r="I143" s="376"/>
      <c r="J143" s="376"/>
      <c r="K143" s="376"/>
      <c r="L143" s="376"/>
      <c r="M143" s="376"/>
      <c r="N143" s="376"/>
      <c r="O143" s="376"/>
      <c r="P143" s="376"/>
      <c r="Q143" s="376"/>
      <c r="R143" s="376"/>
      <c r="S143" s="376"/>
      <c r="T143" s="376"/>
      <c r="U143" s="376"/>
      <c r="V143" s="376"/>
      <c r="W143" s="384"/>
      <c r="X143" s="384"/>
      <c r="Y143" s="391"/>
      <c r="Z143" s="385"/>
      <c r="AA143" s="386"/>
      <c r="AB143" s="385"/>
      <c r="AC143" s="385"/>
      <c r="AJ143" s="388"/>
      <c r="AK143" s="388"/>
    </row>
    <row r="144" spans="2:37" ht="15" customHeight="1">
      <c r="B144" s="376"/>
      <c r="C144" s="376"/>
      <c r="D144" s="376"/>
      <c r="E144" s="376"/>
      <c r="F144" s="376"/>
      <c r="G144" s="376"/>
      <c r="H144" s="376"/>
      <c r="I144" s="376"/>
      <c r="J144" s="376"/>
      <c r="K144" s="376"/>
      <c r="L144" s="376"/>
      <c r="M144" s="376"/>
      <c r="N144" s="376"/>
      <c r="O144" s="376"/>
      <c r="P144" s="376"/>
      <c r="Q144" s="376"/>
      <c r="R144" s="376"/>
      <c r="S144" s="376"/>
      <c r="T144" s="376"/>
      <c r="U144" s="376"/>
      <c r="V144" s="376"/>
      <c r="W144" s="384"/>
      <c r="X144" s="389"/>
      <c r="Y144" s="389"/>
      <c r="Z144" s="385"/>
      <c r="AA144" s="386"/>
      <c r="AB144" s="385"/>
      <c r="AC144" s="385"/>
      <c r="AJ144" s="388"/>
      <c r="AK144" s="388"/>
    </row>
    <row r="145" spans="2:37" ht="15" customHeight="1">
      <c r="B145" s="376"/>
      <c r="C145" s="376"/>
      <c r="D145" s="376"/>
      <c r="E145" s="376"/>
      <c r="F145" s="376"/>
      <c r="G145" s="376"/>
      <c r="H145" s="376"/>
      <c r="I145" s="376"/>
      <c r="J145" s="376"/>
      <c r="K145" s="376"/>
      <c r="L145" s="376"/>
      <c r="M145" s="376"/>
      <c r="N145" s="376"/>
      <c r="O145" s="376"/>
      <c r="P145" s="376"/>
      <c r="Q145" s="376"/>
      <c r="R145" s="376"/>
      <c r="S145" s="376"/>
      <c r="T145" s="376"/>
      <c r="U145" s="376"/>
      <c r="V145" s="376"/>
      <c r="W145" s="384"/>
      <c r="X145" s="389"/>
      <c r="Y145" s="389"/>
      <c r="Z145" s="385"/>
      <c r="AA145" s="386"/>
      <c r="AB145" s="385"/>
      <c r="AC145" s="385"/>
      <c r="AJ145" s="388"/>
      <c r="AK145" s="388"/>
    </row>
    <row r="146" spans="2:37" ht="15" customHeight="1">
      <c r="B146" s="376"/>
      <c r="C146" s="376"/>
      <c r="D146" s="376"/>
      <c r="E146" s="376"/>
      <c r="F146" s="376"/>
      <c r="G146" s="376"/>
      <c r="H146" s="376"/>
      <c r="I146" s="376"/>
      <c r="J146" s="376"/>
      <c r="K146" s="376"/>
      <c r="L146" s="376"/>
      <c r="M146" s="376"/>
      <c r="N146" s="376"/>
      <c r="O146" s="376"/>
      <c r="P146" s="376"/>
      <c r="Q146" s="376"/>
      <c r="R146" s="376"/>
      <c r="S146" s="376"/>
      <c r="T146" s="376"/>
      <c r="U146" s="376"/>
      <c r="V146" s="376"/>
      <c r="W146" s="384"/>
      <c r="X146" s="384"/>
      <c r="Y146" s="384"/>
      <c r="Z146" s="385"/>
      <c r="AA146" s="386"/>
      <c r="AB146" s="385"/>
      <c r="AC146" s="385"/>
      <c r="AJ146" s="388"/>
      <c r="AK146" s="388"/>
    </row>
    <row r="147" spans="2:37" ht="15" customHeight="1">
      <c r="B147" s="376"/>
      <c r="C147" s="376"/>
      <c r="D147" s="376"/>
      <c r="E147" s="376"/>
      <c r="F147" s="376"/>
      <c r="G147" s="376"/>
      <c r="H147" s="376"/>
      <c r="I147" s="376"/>
      <c r="J147" s="376"/>
      <c r="K147" s="376"/>
      <c r="L147" s="376"/>
      <c r="M147" s="376"/>
      <c r="N147" s="376"/>
      <c r="O147" s="376"/>
      <c r="P147" s="376"/>
      <c r="Q147" s="376"/>
      <c r="R147" s="376"/>
      <c r="S147" s="376"/>
      <c r="T147" s="376"/>
      <c r="U147" s="376"/>
      <c r="V147" s="376"/>
      <c r="W147" s="384"/>
      <c r="X147" s="384"/>
      <c r="Y147" s="384"/>
      <c r="Z147" s="385"/>
      <c r="AA147" s="386"/>
      <c r="AB147" s="385"/>
      <c r="AC147" s="385"/>
      <c r="AJ147" s="388"/>
      <c r="AK147" s="388"/>
    </row>
    <row r="148" spans="2:37" ht="15" customHeight="1">
      <c r="B148" s="376"/>
      <c r="C148" s="376"/>
      <c r="D148" s="376"/>
      <c r="E148" s="376"/>
      <c r="F148" s="376"/>
      <c r="G148" s="376"/>
      <c r="H148" s="376"/>
      <c r="I148" s="376"/>
      <c r="J148" s="376"/>
      <c r="K148" s="376"/>
      <c r="L148" s="376"/>
      <c r="M148" s="376"/>
      <c r="N148" s="376"/>
      <c r="O148" s="376"/>
      <c r="P148" s="376"/>
      <c r="Q148" s="376"/>
      <c r="R148" s="376"/>
      <c r="S148" s="376"/>
      <c r="T148" s="376"/>
      <c r="U148" s="376"/>
      <c r="V148" s="376"/>
      <c r="W148" s="384"/>
      <c r="X148" s="384"/>
      <c r="Y148" s="384"/>
      <c r="Z148" s="385"/>
      <c r="AA148" s="386"/>
      <c r="AB148" s="385"/>
      <c r="AC148" s="385"/>
      <c r="AJ148" s="394"/>
      <c r="AK148" s="388"/>
    </row>
    <row r="149" spans="2:37" ht="15" customHeight="1">
      <c r="B149" s="376"/>
      <c r="C149" s="376"/>
      <c r="D149" s="376"/>
      <c r="E149" s="376"/>
      <c r="F149" s="376"/>
      <c r="G149" s="376"/>
      <c r="H149" s="376"/>
      <c r="I149" s="376"/>
      <c r="J149" s="376"/>
      <c r="K149" s="376"/>
      <c r="L149" s="376"/>
      <c r="M149" s="376"/>
      <c r="N149" s="376"/>
      <c r="O149" s="376"/>
      <c r="P149" s="376"/>
      <c r="Q149" s="376"/>
      <c r="R149" s="376"/>
      <c r="S149" s="376"/>
      <c r="T149" s="376"/>
      <c r="U149" s="376"/>
      <c r="V149" s="376"/>
      <c r="W149" s="384"/>
      <c r="X149" s="384"/>
      <c r="Y149" s="384"/>
      <c r="Z149" s="385"/>
      <c r="AA149" s="386"/>
      <c r="AB149" s="385"/>
      <c r="AC149" s="385"/>
      <c r="AJ149" s="388"/>
      <c r="AK149" s="388"/>
    </row>
    <row r="150" spans="2:37" ht="15" customHeight="1">
      <c r="B150" s="376"/>
      <c r="C150" s="376"/>
      <c r="D150" s="376"/>
      <c r="E150" s="376"/>
      <c r="F150" s="376"/>
      <c r="G150" s="376"/>
      <c r="H150" s="376"/>
      <c r="I150" s="376"/>
      <c r="J150" s="376"/>
      <c r="K150" s="376"/>
      <c r="L150" s="376"/>
      <c r="M150" s="376"/>
      <c r="N150" s="376"/>
      <c r="O150" s="376"/>
      <c r="P150" s="376"/>
      <c r="Q150" s="376"/>
      <c r="R150" s="376"/>
      <c r="S150" s="376"/>
      <c r="T150" s="376"/>
      <c r="U150" s="376"/>
      <c r="V150" s="376"/>
      <c r="W150" s="384"/>
      <c r="X150" s="384"/>
      <c r="Y150" s="384"/>
      <c r="Z150" s="385"/>
      <c r="AA150" s="386"/>
      <c r="AB150" s="385"/>
      <c r="AC150" s="385"/>
      <c r="AJ150" s="388"/>
      <c r="AK150" s="388"/>
    </row>
    <row r="151" spans="2:37" ht="15" customHeight="1">
      <c r="B151" s="376"/>
      <c r="C151" s="376"/>
      <c r="D151" s="376"/>
      <c r="E151" s="376"/>
      <c r="F151" s="376"/>
      <c r="G151" s="376"/>
      <c r="H151" s="376"/>
      <c r="I151" s="376"/>
      <c r="J151" s="376"/>
      <c r="K151" s="376"/>
      <c r="L151" s="376"/>
      <c r="M151" s="376"/>
      <c r="N151" s="376"/>
      <c r="O151" s="376"/>
      <c r="P151" s="376"/>
      <c r="Q151" s="376"/>
      <c r="R151" s="376"/>
      <c r="S151" s="376"/>
      <c r="T151" s="376"/>
      <c r="U151" s="376"/>
      <c r="V151" s="376"/>
      <c r="W151" s="384"/>
      <c r="X151" s="384"/>
      <c r="Y151" s="384"/>
      <c r="Z151" s="385"/>
      <c r="AA151" s="386"/>
      <c r="AB151" s="385"/>
      <c r="AC151" s="385"/>
      <c r="AJ151" s="395"/>
      <c r="AK151" s="388"/>
    </row>
    <row r="152" spans="2:37" ht="15" customHeight="1">
      <c r="B152" s="376"/>
      <c r="C152" s="376"/>
      <c r="D152" s="376"/>
      <c r="E152" s="376"/>
      <c r="F152" s="376"/>
      <c r="G152" s="376"/>
      <c r="H152" s="376"/>
      <c r="I152" s="376"/>
      <c r="J152" s="376"/>
      <c r="K152" s="376"/>
      <c r="L152" s="376"/>
      <c r="M152" s="376"/>
      <c r="N152" s="376"/>
      <c r="O152" s="376"/>
      <c r="P152" s="376"/>
      <c r="Q152" s="376"/>
      <c r="R152" s="376"/>
      <c r="S152" s="376"/>
      <c r="T152" s="376"/>
      <c r="U152" s="376"/>
      <c r="V152" s="376"/>
      <c r="W152" s="384"/>
      <c r="X152" s="384"/>
      <c r="Y152" s="384"/>
      <c r="Z152" s="385"/>
      <c r="AA152" s="386"/>
      <c r="AB152" s="385"/>
      <c r="AC152" s="385"/>
      <c r="AJ152" s="395"/>
      <c r="AK152" s="388"/>
    </row>
    <row r="153" spans="2:37" ht="15" customHeight="1">
      <c r="B153" s="376"/>
      <c r="C153" s="376"/>
      <c r="D153" s="376"/>
      <c r="E153" s="376"/>
      <c r="F153" s="376"/>
      <c r="G153" s="376"/>
      <c r="H153" s="376"/>
      <c r="I153" s="376"/>
      <c r="J153" s="376"/>
      <c r="K153" s="376"/>
      <c r="L153" s="376"/>
      <c r="M153" s="376"/>
      <c r="N153" s="376"/>
      <c r="O153" s="376"/>
      <c r="P153" s="376"/>
      <c r="Q153" s="376"/>
      <c r="R153" s="376"/>
      <c r="S153" s="376"/>
      <c r="T153" s="376"/>
      <c r="U153" s="376"/>
      <c r="V153" s="376"/>
      <c r="W153" s="384"/>
      <c r="X153" s="384"/>
      <c r="Y153" s="384"/>
      <c r="Z153" s="385"/>
      <c r="AA153" s="386"/>
      <c r="AB153" s="385"/>
      <c r="AC153" s="385"/>
      <c r="AJ153" s="388"/>
      <c r="AK153" s="388"/>
    </row>
    <row r="154" spans="2:37" ht="15" customHeight="1">
      <c r="B154" s="376"/>
      <c r="C154" s="376"/>
      <c r="D154" s="376"/>
      <c r="E154" s="376"/>
      <c r="F154" s="376"/>
      <c r="G154" s="376"/>
      <c r="H154" s="376"/>
      <c r="I154" s="376"/>
      <c r="J154" s="376"/>
      <c r="K154" s="376"/>
      <c r="L154" s="376"/>
      <c r="M154" s="376"/>
      <c r="N154" s="376"/>
      <c r="O154" s="376"/>
      <c r="P154" s="376"/>
      <c r="Q154" s="376"/>
      <c r="R154" s="376"/>
      <c r="S154" s="376"/>
      <c r="T154" s="376"/>
      <c r="U154" s="376"/>
      <c r="V154" s="376"/>
      <c r="W154" s="384"/>
      <c r="X154" s="384"/>
      <c r="Y154" s="384"/>
      <c r="Z154" s="385"/>
      <c r="AA154" s="386"/>
      <c r="AB154" s="385"/>
      <c r="AC154" s="385"/>
      <c r="AJ154" s="388"/>
      <c r="AK154" s="388"/>
    </row>
    <row r="155" spans="2:37" ht="15" customHeight="1">
      <c r="B155" s="376"/>
      <c r="C155" s="376"/>
      <c r="D155" s="376"/>
      <c r="E155" s="376"/>
      <c r="F155" s="376"/>
      <c r="G155" s="376"/>
      <c r="H155" s="376"/>
      <c r="I155" s="376"/>
      <c r="J155" s="376"/>
      <c r="K155" s="376"/>
      <c r="L155" s="376"/>
      <c r="M155" s="376"/>
      <c r="N155" s="376"/>
      <c r="O155" s="376"/>
      <c r="P155" s="376"/>
      <c r="Q155" s="376"/>
      <c r="R155" s="376"/>
      <c r="S155" s="376"/>
      <c r="T155" s="376"/>
      <c r="U155" s="376"/>
      <c r="V155" s="376"/>
      <c r="W155" s="384"/>
      <c r="X155" s="384"/>
      <c r="Y155" s="384"/>
      <c r="Z155" s="385"/>
      <c r="AA155" s="386"/>
      <c r="AB155" s="385"/>
      <c r="AC155" s="385"/>
      <c r="AJ155" s="388"/>
      <c r="AK155" s="388"/>
    </row>
    <row r="156" spans="2:37" ht="15" customHeight="1">
      <c r="B156" s="376"/>
      <c r="C156" s="376"/>
      <c r="D156" s="376"/>
      <c r="E156" s="376"/>
      <c r="F156" s="376"/>
      <c r="G156" s="376"/>
      <c r="H156" s="376"/>
      <c r="I156" s="376"/>
      <c r="J156" s="376"/>
      <c r="K156" s="376"/>
      <c r="L156" s="376"/>
      <c r="M156" s="376"/>
      <c r="N156" s="376"/>
      <c r="O156" s="376"/>
      <c r="P156" s="376"/>
      <c r="Q156" s="376"/>
      <c r="R156" s="376"/>
      <c r="S156" s="376"/>
      <c r="T156" s="376"/>
      <c r="U156" s="376"/>
      <c r="V156" s="376"/>
      <c r="W156" s="384"/>
      <c r="X156" s="384"/>
      <c r="Y156" s="384"/>
      <c r="Z156" s="385"/>
      <c r="AA156" s="386"/>
      <c r="AB156" s="385"/>
      <c r="AC156" s="385"/>
      <c r="AJ156" s="388"/>
      <c r="AK156" s="388"/>
    </row>
    <row r="157" spans="2:37" ht="15" customHeight="1">
      <c r="B157" s="376"/>
      <c r="C157" s="376"/>
      <c r="D157" s="376"/>
      <c r="E157" s="376"/>
      <c r="F157" s="376"/>
      <c r="G157" s="376"/>
      <c r="H157" s="376"/>
      <c r="I157" s="376"/>
      <c r="J157" s="376"/>
      <c r="K157" s="376"/>
      <c r="L157" s="376"/>
      <c r="M157" s="376"/>
      <c r="N157" s="376"/>
      <c r="O157" s="376"/>
      <c r="P157" s="376"/>
      <c r="Q157" s="376"/>
      <c r="R157" s="376"/>
      <c r="S157" s="376"/>
      <c r="T157" s="376"/>
      <c r="U157" s="376"/>
      <c r="V157" s="376"/>
      <c r="W157" s="384"/>
      <c r="X157" s="384"/>
      <c r="Y157" s="384"/>
      <c r="Z157" s="385"/>
      <c r="AA157" s="386"/>
      <c r="AB157" s="385"/>
      <c r="AC157" s="385"/>
      <c r="AJ157" s="388"/>
      <c r="AK157" s="388"/>
    </row>
    <row r="158" spans="2:37" ht="15" customHeight="1">
      <c r="B158" s="376"/>
      <c r="C158" s="376"/>
      <c r="D158" s="376"/>
      <c r="E158" s="376"/>
      <c r="F158" s="376"/>
      <c r="G158" s="376"/>
      <c r="H158" s="376"/>
      <c r="I158" s="376"/>
      <c r="J158" s="376"/>
      <c r="K158" s="376"/>
      <c r="L158" s="376"/>
      <c r="M158" s="376"/>
      <c r="N158" s="376"/>
      <c r="O158" s="376"/>
      <c r="P158" s="376"/>
      <c r="Q158" s="376"/>
      <c r="R158" s="376"/>
      <c r="S158" s="376"/>
      <c r="T158" s="376"/>
      <c r="U158" s="376"/>
      <c r="V158" s="376"/>
      <c r="W158" s="384"/>
      <c r="X158" s="384"/>
      <c r="Y158" s="384"/>
      <c r="Z158" s="385"/>
      <c r="AA158" s="386"/>
      <c r="AB158" s="385"/>
      <c r="AC158" s="385"/>
      <c r="AJ158" s="388"/>
      <c r="AK158" s="388"/>
    </row>
    <row r="159" spans="2:37" ht="15" customHeight="1">
      <c r="B159" s="376"/>
      <c r="C159" s="376"/>
      <c r="D159" s="376"/>
      <c r="E159" s="376"/>
      <c r="F159" s="376"/>
      <c r="G159" s="376"/>
      <c r="H159" s="376"/>
      <c r="I159" s="376"/>
      <c r="J159" s="376"/>
      <c r="K159" s="376"/>
      <c r="L159" s="376"/>
      <c r="M159" s="376"/>
      <c r="N159" s="376"/>
      <c r="O159" s="376"/>
      <c r="P159" s="376"/>
      <c r="Q159" s="376"/>
      <c r="R159" s="376"/>
      <c r="S159" s="376"/>
      <c r="T159" s="376"/>
      <c r="U159" s="376"/>
      <c r="V159" s="376"/>
      <c r="W159" s="384"/>
      <c r="X159" s="384"/>
      <c r="Y159" s="384"/>
      <c r="Z159" s="385"/>
      <c r="AA159" s="386"/>
      <c r="AB159" s="385"/>
      <c r="AC159" s="385"/>
      <c r="AJ159" s="388"/>
      <c r="AK159" s="388"/>
    </row>
    <row r="160" spans="2:37" ht="15" customHeight="1">
      <c r="B160" s="376"/>
      <c r="C160" s="376"/>
      <c r="D160" s="376"/>
      <c r="E160" s="376"/>
      <c r="F160" s="376"/>
      <c r="G160" s="376"/>
      <c r="H160" s="376"/>
      <c r="I160" s="376"/>
      <c r="J160" s="376"/>
      <c r="K160" s="376"/>
      <c r="L160" s="376"/>
      <c r="M160" s="376"/>
      <c r="N160" s="376"/>
      <c r="O160" s="376"/>
      <c r="P160" s="376"/>
      <c r="Q160" s="376"/>
      <c r="R160" s="376"/>
      <c r="S160" s="376"/>
      <c r="T160" s="376"/>
      <c r="U160" s="376"/>
      <c r="V160" s="376"/>
      <c r="W160" s="384"/>
      <c r="X160" s="384"/>
      <c r="Y160" s="384"/>
      <c r="Z160" s="385"/>
      <c r="AA160" s="386"/>
      <c r="AB160" s="385"/>
      <c r="AC160" s="385"/>
      <c r="AJ160" s="388"/>
      <c r="AK160" s="388"/>
    </row>
    <row r="161" spans="2:37" ht="15" customHeight="1">
      <c r="B161" s="376"/>
      <c r="C161" s="376"/>
      <c r="D161" s="376"/>
      <c r="E161" s="376"/>
      <c r="F161" s="376"/>
      <c r="G161" s="376"/>
      <c r="H161" s="376"/>
      <c r="I161" s="376"/>
      <c r="J161" s="376"/>
      <c r="K161" s="376"/>
      <c r="L161" s="376"/>
      <c r="M161" s="376"/>
      <c r="N161" s="376"/>
      <c r="O161" s="376"/>
      <c r="P161" s="376"/>
      <c r="Q161" s="376"/>
      <c r="R161" s="376"/>
      <c r="S161" s="376"/>
      <c r="T161" s="376"/>
      <c r="U161" s="376"/>
      <c r="V161" s="376"/>
      <c r="W161" s="384"/>
      <c r="X161" s="384"/>
      <c r="Y161" s="384"/>
      <c r="Z161" s="385"/>
      <c r="AA161" s="386"/>
      <c r="AB161" s="385"/>
      <c r="AC161" s="385"/>
      <c r="AJ161" s="388"/>
      <c r="AK161" s="388"/>
    </row>
    <row r="162" spans="2:37" ht="15" customHeight="1">
      <c r="B162" s="376"/>
      <c r="C162" s="376"/>
      <c r="D162" s="376"/>
      <c r="E162" s="376"/>
      <c r="F162" s="376"/>
      <c r="G162" s="376"/>
      <c r="H162" s="376"/>
      <c r="I162" s="376"/>
      <c r="J162" s="376"/>
      <c r="K162" s="376"/>
      <c r="L162" s="376"/>
      <c r="M162" s="376"/>
      <c r="N162" s="376"/>
      <c r="O162" s="376"/>
      <c r="P162" s="376"/>
      <c r="Q162" s="376"/>
      <c r="R162" s="376"/>
      <c r="S162" s="376"/>
      <c r="T162" s="376"/>
      <c r="U162" s="376"/>
      <c r="V162" s="376"/>
      <c r="W162" s="384"/>
      <c r="X162" s="384"/>
      <c r="Y162" s="384"/>
      <c r="Z162" s="385"/>
      <c r="AA162" s="386"/>
      <c r="AB162" s="385"/>
      <c r="AC162" s="385"/>
      <c r="AJ162" s="393"/>
      <c r="AK162" s="388"/>
    </row>
    <row r="163" spans="2:37" ht="15" customHeight="1">
      <c r="B163" s="376"/>
      <c r="C163" s="376"/>
      <c r="D163" s="376"/>
      <c r="E163" s="376"/>
      <c r="F163" s="376"/>
      <c r="G163" s="376"/>
      <c r="H163" s="376"/>
      <c r="I163" s="376"/>
      <c r="J163" s="376"/>
      <c r="K163" s="376"/>
      <c r="L163" s="376"/>
      <c r="M163" s="376"/>
      <c r="N163" s="376"/>
      <c r="O163" s="376"/>
      <c r="P163" s="376"/>
      <c r="Q163" s="376"/>
      <c r="R163" s="376"/>
      <c r="S163" s="376"/>
      <c r="T163" s="376"/>
      <c r="U163" s="376"/>
      <c r="V163" s="376"/>
      <c r="W163" s="384"/>
      <c r="X163" s="384"/>
      <c r="Y163" s="384"/>
      <c r="Z163" s="385"/>
      <c r="AA163" s="386"/>
      <c r="AB163" s="385"/>
      <c r="AC163" s="385"/>
      <c r="AJ163" s="388"/>
      <c r="AK163" s="388"/>
    </row>
    <row r="164" spans="2:37" ht="15" customHeight="1">
      <c r="B164" s="376"/>
      <c r="C164" s="376"/>
      <c r="D164" s="376"/>
      <c r="E164" s="376"/>
      <c r="F164" s="376"/>
      <c r="G164" s="376"/>
      <c r="H164" s="376"/>
      <c r="I164" s="376"/>
      <c r="J164" s="376"/>
      <c r="K164" s="376"/>
      <c r="L164" s="376"/>
      <c r="M164" s="376"/>
      <c r="N164" s="376"/>
      <c r="O164" s="376"/>
      <c r="P164" s="376"/>
      <c r="Q164" s="376"/>
      <c r="R164" s="376"/>
      <c r="S164" s="376"/>
      <c r="T164" s="376"/>
      <c r="U164" s="376"/>
      <c r="V164" s="376"/>
      <c r="W164" s="384"/>
      <c r="X164" s="384"/>
      <c r="Y164" s="384"/>
      <c r="Z164" s="385"/>
      <c r="AA164" s="386"/>
      <c r="AB164" s="385"/>
      <c r="AC164" s="385"/>
      <c r="AJ164" s="388"/>
      <c r="AK164" s="388"/>
    </row>
    <row r="165" spans="2:37" ht="15" customHeight="1">
      <c r="B165" s="376"/>
      <c r="C165" s="376"/>
      <c r="D165" s="376"/>
      <c r="E165" s="376"/>
      <c r="F165" s="376"/>
      <c r="G165" s="376"/>
      <c r="H165" s="376"/>
      <c r="I165" s="376"/>
      <c r="J165" s="376"/>
      <c r="K165" s="376"/>
      <c r="L165" s="376"/>
      <c r="M165" s="376"/>
      <c r="N165" s="376"/>
      <c r="O165" s="376"/>
      <c r="P165" s="376"/>
      <c r="Q165" s="376"/>
      <c r="R165" s="376"/>
      <c r="S165" s="376"/>
      <c r="T165" s="376"/>
      <c r="U165" s="376"/>
      <c r="V165" s="376"/>
      <c r="W165" s="384"/>
      <c r="X165" s="384"/>
      <c r="Y165" s="384"/>
      <c r="Z165" s="385"/>
      <c r="AA165" s="386"/>
      <c r="AB165" s="385"/>
      <c r="AC165" s="385"/>
      <c r="AJ165" s="393"/>
      <c r="AK165" s="388"/>
    </row>
    <row r="166" spans="2:37" ht="15" customHeight="1">
      <c r="B166" s="376"/>
      <c r="C166" s="376"/>
      <c r="D166" s="376"/>
      <c r="E166" s="376"/>
      <c r="F166" s="376"/>
      <c r="G166" s="376"/>
      <c r="H166" s="376"/>
      <c r="I166" s="376"/>
      <c r="J166" s="376"/>
      <c r="K166" s="376"/>
      <c r="L166" s="376"/>
      <c r="M166" s="376"/>
      <c r="N166" s="376"/>
      <c r="O166" s="376"/>
      <c r="P166" s="376"/>
      <c r="Q166" s="376"/>
      <c r="R166" s="376"/>
      <c r="S166" s="376"/>
      <c r="T166" s="376"/>
      <c r="U166" s="376"/>
      <c r="V166" s="376"/>
      <c r="W166" s="384"/>
      <c r="X166" s="384"/>
      <c r="Y166" s="384"/>
      <c r="Z166" s="385"/>
      <c r="AA166" s="386"/>
      <c r="AB166" s="385"/>
      <c r="AC166" s="385"/>
      <c r="AJ166" s="393"/>
      <c r="AK166" s="388"/>
    </row>
    <row r="167" spans="2:37" ht="15" customHeight="1">
      <c r="B167" s="376"/>
      <c r="C167" s="376"/>
      <c r="D167" s="376"/>
      <c r="E167" s="376"/>
      <c r="F167" s="376"/>
      <c r="G167" s="376"/>
      <c r="H167" s="376"/>
      <c r="I167" s="376"/>
      <c r="J167" s="376"/>
      <c r="K167" s="376"/>
      <c r="L167" s="376"/>
      <c r="M167" s="376"/>
      <c r="N167" s="376"/>
      <c r="O167" s="376"/>
      <c r="P167" s="376"/>
      <c r="Q167" s="376"/>
      <c r="R167" s="376"/>
      <c r="S167" s="376"/>
      <c r="T167" s="376"/>
      <c r="U167" s="376"/>
      <c r="V167" s="376"/>
      <c r="W167" s="384"/>
      <c r="X167" s="384"/>
      <c r="Y167" s="384"/>
      <c r="Z167" s="385"/>
      <c r="AA167" s="386"/>
      <c r="AB167" s="385"/>
      <c r="AC167" s="385"/>
      <c r="AJ167" s="393"/>
      <c r="AK167" s="388"/>
    </row>
    <row r="168" spans="2:37" ht="15" customHeight="1">
      <c r="B168" s="376"/>
      <c r="C168" s="376"/>
      <c r="D168" s="376"/>
      <c r="E168" s="376"/>
      <c r="F168" s="376"/>
      <c r="G168" s="376"/>
      <c r="H168" s="376"/>
      <c r="I168" s="376"/>
      <c r="J168" s="376"/>
      <c r="K168" s="376"/>
      <c r="L168" s="376"/>
      <c r="M168" s="376"/>
      <c r="N168" s="376"/>
      <c r="O168" s="376"/>
      <c r="P168" s="376"/>
      <c r="Q168" s="376"/>
      <c r="R168" s="376"/>
      <c r="S168" s="376"/>
      <c r="T168" s="376"/>
      <c r="U168" s="376"/>
      <c r="V168" s="376"/>
      <c r="W168" s="384"/>
      <c r="X168" s="384"/>
      <c r="Y168" s="384"/>
      <c r="Z168" s="385"/>
      <c r="AA168" s="386"/>
      <c r="AB168" s="385"/>
      <c r="AC168" s="385"/>
      <c r="AJ168" s="388"/>
      <c r="AK168" s="388"/>
    </row>
    <row r="169" spans="2:37" ht="15" customHeight="1">
      <c r="B169" s="376"/>
      <c r="C169" s="376"/>
      <c r="D169" s="376"/>
      <c r="E169" s="376"/>
      <c r="F169" s="376"/>
      <c r="G169" s="376"/>
      <c r="H169" s="376"/>
      <c r="I169" s="376"/>
      <c r="J169" s="376"/>
      <c r="K169" s="376"/>
      <c r="L169" s="376"/>
      <c r="M169" s="376"/>
      <c r="N169" s="376"/>
      <c r="O169" s="376"/>
      <c r="P169" s="376"/>
      <c r="Q169" s="376"/>
      <c r="R169" s="376"/>
      <c r="S169" s="376"/>
      <c r="T169" s="376"/>
      <c r="U169" s="376"/>
      <c r="V169" s="376"/>
      <c r="W169" s="384"/>
      <c r="X169" s="384"/>
      <c r="Y169" s="384"/>
      <c r="Z169" s="385"/>
      <c r="AA169" s="386"/>
      <c r="AB169" s="385"/>
      <c r="AC169" s="385"/>
      <c r="AJ169" s="388"/>
      <c r="AK169" s="388"/>
    </row>
    <row r="170" spans="2:37" ht="15" customHeight="1">
      <c r="B170" s="376"/>
      <c r="C170" s="376"/>
      <c r="D170" s="376"/>
      <c r="E170" s="376"/>
      <c r="F170" s="376"/>
      <c r="G170" s="376"/>
      <c r="H170" s="376"/>
      <c r="I170" s="376"/>
      <c r="J170" s="376"/>
      <c r="K170" s="376"/>
      <c r="L170" s="376"/>
      <c r="M170" s="376"/>
      <c r="N170" s="376"/>
      <c r="O170" s="376"/>
      <c r="P170" s="376"/>
      <c r="Q170" s="376"/>
      <c r="R170" s="376"/>
      <c r="S170" s="376"/>
      <c r="T170" s="376"/>
      <c r="U170" s="376"/>
      <c r="V170" s="376"/>
      <c r="W170" s="384"/>
      <c r="X170" s="384"/>
      <c r="Y170" s="384"/>
      <c r="Z170" s="385"/>
      <c r="AA170" s="386"/>
      <c r="AB170" s="385"/>
      <c r="AC170" s="385"/>
      <c r="AJ170" s="388"/>
      <c r="AK170" s="388"/>
    </row>
    <row r="171" spans="2:37" ht="15" customHeight="1">
      <c r="B171" s="376"/>
      <c r="C171" s="376"/>
      <c r="D171" s="376"/>
      <c r="E171" s="376"/>
      <c r="F171" s="376"/>
      <c r="G171" s="376"/>
      <c r="H171" s="376"/>
      <c r="I171" s="376"/>
      <c r="J171" s="376"/>
      <c r="K171" s="376"/>
      <c r="L171" s="376"/>
      <c r="M171" s="376"/>
      <c r="N171" s="376"/>
      <c r="O171" s="376"/>
      <c r="P171" s="376"/>
      <c r="Q171" s="376"/>
      <c r="R171" s="376"/>
      <c r="S171" s="376"/>
      <c r="T171" s="376"/>
      <c r="U171" s="376"/>
      <c r="V171" s="376"/>
      <c r="W171" s="384"/>
      <c r="X171" s="384"/>
      <c r="Y171" s="384"/>
      <c r="Z171" s="385"/>
      <c r="AA171" s="386"/>
      <c r="AB171" s="385"/>
      <c r="AC171" s="385"/>
      <c r="AJ171" s="388"/>
      <c r="AK171" s="388"/>
    </row>
    <row r="172" spans="2:37" ht="15" customHeight="1">
      <c r="B172" s="376"/>
      <c r="C172" s="376"/>
      <c r="D172" s="376"/>
      <c r="E172" s="376"/>
      <c r="F172" s="376"/>
      <c r="G172" s="376"/>
      <c r="H172" s="376"/>
      <c r="I172" s="376"/>
      <c r="J172" s="376"/>
      <c r="K172" s="376"/>
      <c r="L172" s="376"/>
      <c r="M172" s="376"/>
      <c r="N172" s="376"/>
      <c r="O172" s="376"/>
      <c r="P172" s="376"/>
      <c r="Q172" s="376"/>
      <c r="R172" s="376"/>
      <c r="S172" s="376"/>
      <c r="T172" s="376"/>
      <c r="U172" s="376"/>
      <c r="V172" s="376"/>
      <c r="W172" s="384"/>
      <c r="X172" s="391"/>
      <c r="Y172" s="391"/>
      <c r="Z172" s="385"/>
      <c r="AA172" s="386"/>
      <c r="AB172" s="385"/>
      <c r="AC172" s="385"/>
      <c r="AJ172" s="388"/>
      <c r="AK172" s="388"/>
    </row>
    <row r="173" spans="2:37" ht="15" customHeight="1">
      <c r="B173" s="376"/>
      <c r="C173" s="376"/>
      <c r="D173" s="376"/>
      <c r="E173" s="376"/>
      <c r="F173" s="376"/>
      <c r="G173" s="376"/>
      <c r="H173" s="376"/>
      <c r="I173" s="376"/>
      <c r="J173" s="376"/>
      <c r="K173" s="376"/>
      <c r="L173" s="376"/>
      <c r="M173" s="376"/>
      <c r="N173" s="376"/>
      <c r="O173" s="376"/>
      <c r="P173" s="376"/>
      <c r="Q173" s="376"/>
      <c r="R173" s="376"/>
      <c r="S173" s="376"/>
      <c r="T173" s="376"/>
      <c r="U173" s="376"/>
      <c r="V173" s="376"/>
      <c r="W173" s="384"/>
      <c r="X173" s="391"/>
      <c r="Y173" s="391"/>
      <c r="Z173" s="385"/>
      <c r="AA173" s="386"/>
      <c r="AB173" s="385"/>
      <c r="AC173" s="385"/>
      <c r="AJ173" s="393"/>
      <c r="AK173" s="388"/>
    </row>
    <row r="174" spans="2:37" ht="15" customHeight="1">
      <c r="B174" s="376"/>
      <c r="C174" s="376"/>
      <c r="D174" s="376"/>
      <c r="E174" s="376"/>
      <c r="F174" s="376"/>
      <c r="G174" s="376"/>
      <c r="H174" s="376"/>
      <c r="I174" s="376"/>
      <c r="J174" s="376"/>
      <c r="K174" s="376"/>
      <c r="L174" s="376"/>
      <c r="M174" s="376"/>
      <c r="N174" s="376"/>
      <c r="O174" s="376"/>
      <c r="P174" s="376"/>
      <c r="Q174" s="376"/>
      <c r="R174" s="376"/>
      <c r="S174" s="376"/>
      <c r="T174" s="376"/>
      <c r="U174" s="376"/>
      <c r="V174" s="376"/>
      <c r="W174" s="384"/>
      <c r="X174" s="384"/>
      <c r="Y174" s="384"/>
      <c r="Z174" s="385"/>
      <c r="AA174" s="386"/>
      <c r="AB174" s="385"/>
      <c r="AC174" s="385"/>
      <c r="AJ174" s="388"/>
      <c r="AK174" s="388"/>
    </row>
    <row r="175" spans="2:37" ht="15" customHeight="1">
      <c r="B175" s="376"/>
      <c r="C175" s="376"/>
      <c r="D175" s="376"/>
      <c r="E175" s="376"/>
      <c r="F175" s="376"/>
      <c r="G175" s="376"/>
      <c r="H175" s="376"/>
      <c r="I175" s="376"/>
      <c r="J175" s="376"/>
      <c r="K175" s="376"/>
      <c r="L175" s="376"/>
      <c r="M175" s="376"/>
      <c r="N175" s="376"/>
      <c r="O175" s="376"/>
      <c r="P175" s="376"/>
      <c r="Q175" s="376"/>
      <c r="R175" s="376"/>
      <c r="S175" s="376"/>
      <c r="T175" s="376"/>
      <c r="U175" s="376"/>
      <c r="V175" s="376"/>
      <c r="W175" s="384"/>
      <c r="X175" s="384"/>
      <c r="Y175" s="384"/>
      <c r="Z175" s="385"/>
      <c r="AA175" s="386"/>
      <c r="AB175" s="385"/>
      <c r="AC175" s="385"/>
      <c r="AK175" s="388"/>
    </row>
    <row r="176" spans="2:37" ht="15" customHeight="1">
      <c r="B176" s="376"/>
      <c r="C176" s="376"/>
      <c r="D176" s="376"/>
      <c r="E176" s="376"/>
      <c r="F176" s="376"/>
      <c r="G176" s="376"/>
      <c r="H176" s="376"/>
      <c r="I176" s="376"/>
      <c r="J176" s="376"/>
      <c r="K176" s="376"/>
      <c r="L176" s="376"/>
      <c r="M176" s="376"/>
      <c r="N176" s="376"/>
      <c r="O176" s="376"/>
      <c r="P176" s="376"/>
      <c r="Q176" s="376"/>
      <c r="R176" s="376"/>
      <c r="S176" s="376"/>
      <c r="T176" s="376"/>
      <c r="U176" s="376"/>
      <c r="V176" s="376"/>
      <c r="W176" s="384"/>
      <c r="X176" s="384"/>
      <c r="Y176" s="384"/>
      <c r="Z176" s="385"/>
      <c r="AA176" s="386"/>
      <c r="AB176" s="385"/>
      <c r="AC176" s="385"/>
      <c r="AK176" s="388"/>
    </row>
    <row r="177" spans="2:37" ht="15" customHeight="1">
      <c r="B177" s="376"/>
      <c r="C177" s="376"/>
      <c r="D177" s="376"/>
      <c r="E177" s="376"/>
      <c r="F177" s="376"/>
      <c r="G177" s="376"/>
      <c r="H177" s="376"/>
      <c r="I177" s="376"/>
      <c r="J177" s="376"/>
      <c r="K177" s="376"/>
      <c r="L177" s="376"/>
      <c r="M177" s="376"/>
      <c r="N177" s="376"/>
      <c r="O177" s="376"/>
      <c r="P177" s="376"/>
      <c r="Q177" s="376"/>
      <c r="R177" s="376"/>
      <c r="S177" s="376"/>
      <c r="T177" s="376"/>
      <c r="U177" s="376"/>
      <c r="V177" s="376"/>
      <c r="W177" s="384"/>
      <c r="X177" s="384"/>
      <c r="Y177" s="384"/>
      <c r="Z177" s="385"/>
      <c r="AA177" s="386"/>
      <c r="AB177" s="385"/>
      <c r="AC177" s="385"/>
      <c r="AK177" s="388"/>
    </row>
    <row r="178" spans="2:37" ht="15" customHeight="1">
      <c r="B178" s="376"/>
      <c r="C178" s="376"/>
      <c r="D178" s="376"/>
      <c r="E178" s="376"/>
      <c r="F178" s="376"/>
      <c r="G178" s="376"/>
      <c r="H178" s="376"/>
      <c r="I178" s="376"/>
      <c r="J178" s="376"/>
      <c r="K178" s="376"/>
      <c r="L178" s="376"/>
      <c r="M178" s="376"/>
      <c r="N178" s="376"/>
      <c r="O178" s="376"/>
      <c r="P178" s="376"/>
      <c r="Q178" s="376"/>
      <c r="R178" s="376"/>
      <c r="S178" s="376"/>
      <c r="T178" s="376"/>
      <c r="U178" s="376"/>
      <c r="V178" s="376"/>
      <c r="W178" s="384"/>
      <c r="X178" s="384"/>
      <c r="Y178" s="384"/>
      <c r="Z178" s="385"/>
      <c r="AA178" s="386"/>
      <c r="AB178" s="385"/>
      <c r="AC178" s="385"/>
      <c r="AK178" s="388"/>
    </row>
    <row r="179" spans="2:37" ht="15" customHeight="1">
      <c r="B179" s="376"/>
      <c r="C179" s="376"/>
      <c r="D179" s="376"/>
      <c r="E179" s="376"/>
      <c r="F179" s="376"/>
      <c r="G179" s="376"/>
      <c r="H179" s="376"/>
      <c r="I179" s="376"/>
      <c r="J179" s="376"/>
      <c r="K179" s="376"/>
      <c r="L179" s="376"/>
      <c r="M179" s="376"/>
      <c r="N179" s="376"/>
      <c r="O179" s="376"/>
      <c r="P179" s="376"/>
      <c r="Q179" s="376"/>
      <c r="R179" s="376"/>
      <c r="S179" s="376"/>
      <c r="T179" s="376"/>
      <c r="U179" s="376"/>
      <c r="V179" s="376"/>
      <c r="W179" s="384"/>
      <c r="X179" s="384"/>
      <c r="Y179" s="384"/>
      <c r="Z179" s="385"/>
      <c r="AA179" s="386"/>
      <c r="AB179" s="385"/>
      <c r="AC179" s="385"/>
      <c r="AK179" s="388"/>
    </row>
    <row r="180" spans="2:37" ht="15" customHeight="1">
      <c r="B180" s="376"/>
      <c r="C180" s="376"/>
      <c r="D180" s="376"/>
      <c r="E180" s="376"/>
      <c r="F180" s="376"/>
      <c r="G180" s="376"/>
      <c r="H180" s="376"/>
      <c r="I180" s="376"/>
      <c r="J180" s="376"/>
      <c r="K180" s="376"/>
      <c r="L180" s="376"/>
      <c r="M180" s="376"/>
      <c r="N180" s="376"/>
      <c r="O180" s="376"/>
      <c r="P180" s="376"/>
      <c r="Q180" s="376"/>
      <c r="R180" s="376"/>
      <c r="S180" s="376"/>
      <c r="T180" s="376"/>
      <c r="U180" s="376"/>
      <c r="V180" s="376"/>
      <c r="W180" s="384"/>
      <c r="X180" s="384"/>
      <c r="Y180" s="384"/>
      <c r="Z180" s="385"/>
      <c r="AA180" s="386"/>
      <c r="AB180" s="385"/>
      <c r="AC180" s="385"/>
      <c r="AJ180" s="388"/>
      <c r="AK180" s="388"/>
    </row>
    <row r="181" spans="2:37" ht="15" customHeight="1">
      <c r="B181" s="376"/>
      <c r="C181" s="376"/>
      <c r="D181" s="376"/>
      <c r="E181" s="376"/>
      <c r="F181" s="376"/>
      <c r="G181" s="376"/>
      <c r="H181" s="376"/>
      <c r="I181" s="376"/>
      <c r="J181" s="376"/>
      <c r="K181" s="376"/>
      <c r="L181" s="376"/>
      <c r="M181" s="376"/>
      <c r="N181" s="376"/>
      <c r="O181" s="376"/>
      <c r="P181" s="376"/>
      <c r="Q181" s="376"/>
      <c r="R181" s="376"/>
      <c r="S181" s="376"/>
      <c r="T181" s="376"/>
      <c r="U181" s="376"/>
      <c r="V181" s="376"/>
      <c r="W181" s="384"/>
      <c r="X181" s="384"/>
      <c r="Y181" s="384"/>
      <c r="Z181" s="385"/>
      <c r="AA181" s="386"/>
      <c r="AB181" s="385"/>
      <c r="AC181" s="385"/>
      <c r="AJ181" s="388"/>
      <c r="AK181" s="388"/>
    </row>
    <row r="182" spans="2:37" ht="15" customHeight="1">
      <c r="B182" s="376"/>
      <c r="C182" s="376"/>
      <c r="D182" s="376"/>
      <c r="E182" s="376"/>
      <c r="F182" s="376"/>
      <c r="G182" s="376"/>
      <c r="H182" s="376"/>
      <c r="I182" s="376"/>
      <c r="J182" s="376"/>
      <c r="K182" s="376"/>
      <c r="L182" s="376"/>
      <c r="M182" s="376"/>
      <c r="N182" s="376"/>
      <c r="O182" s="376"/>
      <c r="P182" s="376"/>
      <c r="Q182" s="376"/>
      <c r="R182" s="376"/>
      <c r="S182" s="376"/>
      <c r="T182" s="376"/>
      <c r="U182" s="376"/>
      <c r="V182" s="376"/>
      <c r="W182" s="384"/>
      <c r="X182" s="384"/>
      <c r="Y182" s="384"/>
      <c r="Z182" s="385"/>
      <c r="AA182" s="386"/>
      <c r="AB182" s="385"/>
      <c r="AC182" s="385"/>
      <c r="AJ182" s="388"/>
      <c r="AK182" s="388"/>
    </row>
    <row r="183" spans="2:37" ht="15" customHeight="1">
      <c r="B183" s="376"/>
      <c r="C183" s="376"/>
      <c r="D183" s="376"/>
      <c r="E183" s="376"/>
      <c r="F183" s="376"/>
      <c r="G183" s="376"/>
      <c r="H183" s="376"/>
      <c r="I183" s="376"/>
      <c r="J183" s="376"/>
      <c r="K183" s="376"/>
      <c r="L183" s="376"/>
      <c r="M183" s="376"/>
      <c r="N183" s="376"/>
      <c r="O183" s="376"/>
      <c r="P183" s="376"/>
      <c r="Q183" s="376"/>
      <c r="R183" s="376"/>
      <c r="S183" s="376"/>
      <c r="T183" s="376"/>
      <c r="U183" s="376"/>
      <c r="V183" s="376"/>
      <c r="W183" s="384"/>
      <c r="X183" s="384"/>
      <c r="Y183" s="384"/>
      <c r="Z183" s="385"/>
      <c r="AA183" s="386"/>
      <c r="AB183" s="385"/>
      <c r="AC183" s="385"/>
      <c r="AJ183" s="388"/>
      <c r="AK183" s="388"/>
    </row>
    <row r="184" spans="2:37" ht="15" customHeight="1">
      <c r="B184" s="376"/>
      <c r="C184" s="376"/>
      <c r="D184" s="376"/>
      <c r="E184" s="376"/>
      <c r="F184" s="376"/>
      <c r="G184" s="376"/>
      <c r="H184" s="376"/>
      <c r="I184" s="376"/>
      <c r="J184" s="376"/>
      <c r="K184" s="376"/>
      <c r="L184" s="376"/>
      <c r="M184" s="376"/>
      <c r="N184" s="376"/>
      <c r="O184" s="376"/>
      <c r="P184" s="376"/>
      <c r="Q184" s="376"/>
      <c r="R184" s="376"/>
      <c r="S184" s="376"/>
      <c r="T184" s="376"/>
      <c r="U184" s="376"/>
      <c r="V184" s="376"/>
      <c r="W184" s="384"/>
      <c r="X184" s="384"/>
      <c r="Y184" s="384"/>
      <c r="Z184" s="385"/>
      <c r="AA184" s="386"/>
      <c r="AB184" s="385"/>
      <c r="AC184" s="385"/>
      <c r="AJ184" s="388"/>
      <c r="AK184" s="388"/>
    </row>
    <row r="185" spans="2:37" ht="15" customHeight="1">
      <c r="B185" s="376"/>
      <c r="C185" s="376"/>
      <c r="D185" s="376"/>
      <c r="E185" s="376"/>
      <c r="F185" s="376"/>
      <c r="G185" s="376"/>
      <c r="H185" s="376"/>
      <c r="I185" s="376"/>
      <c r="J185" s="376"/>
      <c r="K185" s="376"/>
      <c r="L185" s="376"/>
      <c r="M185" s="376"/>
      <c r="N185" s="376"/>
      <c r="O185" s="376"/>
      <c r="P185" s="376"/>
      <c r="Q185" s="376"/>
      <c r="R185" s="376"/>
      <c r="S185" s="376"/>
      <c r="T185" s="376"/>
      <c r="U185" s="376"/>
      <c r="V185" s="376"/>
      <c r="W185" s="384"/>
      <c r="X185" s="384"/>
      <c r="Y185" s="384"/>
      <c r="Z185" s="385"/>
      <c r="AA185" s="386"/>
      <c r="AB185" s="385"/>
      <c r="AC185" s="385"/>
      <c r="AJ185" s="388"/>
      <c r="AK185" s="388"/>
    </row>
    <row r="186" spans="2:37" ht="15" customHeight="1">
      <c r="B186" s="376"/>
      <c r="C186" s="376"/>
      <c r="D186" s="376"/>
      <c r="E186" s="376"/>
      <c r="F186" s="376"/>
      <c r="G186" s="376"/>
      <c r="H186" s="376"/>
      <c r="I186" s="376"/>
      <c r="J186" s="376"/>
      <c r="K186" s="376"/>
      <c r="L186" s="376"/>
      <c r="M186" s="376"/>
      <c r="N186" s="376"/>
      <c r="O186" s="376"/>
      <c r="P186" s="376"/>
      <c r="Q186" s="376"/>
      <c r="R186" s="376"/>
      <c r="S186" s="376"/>
      <c r="T186" s="376"/>
      <c r="U186" s="376"/>
      <c r="V186" s="376"/>
      <c r="W186" s="384"/>
      <c r="X186" s="384"/>
      <c r="Y186" s="384"/>
      <c r="Z186" s="385"/>
      <c r="AA186" s="386"/>
      <c r="AB186" s="385"/>
      <c r="AC186" s="385"/>
      <c r="AJ186" s="388"/>
      <c r="AK186" s="388"/>
    </row>
    <row r="187" spans="2:37" ht="15" customHeight="1">
      <c r="B187" s="376"/>
      <c r="C187" s="376"/>
      <c r="D187" s="376"/>
      <c r="E187" s="376"/>
      <c r="F187" s="376"/>
      <c r="G187" s="376"/>
      <c r="H187" s="376"/>
      <c r="I187" s="376"/>
      <c r="J187" s="376"/>
      <c r="K187" s="376"/>
      <c r="L187" s="376"/>
      <c r="M187" s="376"/>
      <c r="N187" s="376"/>
      <c r="O187" s="376"/>
      <c r="P187" s="376"/>
      <c r="Q187" s="376"/>
      <c r="R187" s="376"/>
      <c r="S187" s="376"/>
      <c r="T187" s="376"/>
      <c r="U187" s="376"/>
      <c r="V187" s="376"/>
      <c r="W187" s="384"/>
      <c r="X187" s="384"/>
      <c r="Y187" s="384"/>
      <c r="Z187" s="385"/>
      <c r="AA187" s="386"/>
      <c r="AB187" s="385"/>
      <c r="AC187" s="385"/>
      <c r="AJ187" s="388"/>
      <c r="AK187" s="388"/>
    </row>
    <row r="188" spans="2:37" ht="15" customHeight="1">
      <c r="B188" s="380"/>
      <c r="C188" s="380"/>
      <c r="D188" s="380"/>
      <c r="E188" s="380"/>
      <c r="F188" s="380"/>
      <c r="G188" s="380"/>
      <c r="H188" s="380"/>
      <c r="I188" s="380"/>
      <c r="J188" s="380"/>
      <c r="K188" s="380"/>
      <c r="L188" s="380"/>
      <c r="M188" s="380"/>
      <c r="N188" s="380"/>
      <c r="O188" s="380"/>
      <c r="P188" s="380"/>
      <c r="Q188" s="380"/>
      <c r="R188" s="380"/>
      <c r="S188" s="380"/>
      <c r="T188" s="380"/>
      <c r="U188" s="380"/>
      <c r="V188" s="380"/>
      <c r="W188" s="384"/>
      <c r="X188" s="384"/>
      <c r="Y188" s="384"/>
      <c r="Z188" s="396"/>
      <c r="AA188" s="386"/>
      <c r="AB188" s="385"/>
      <c r="AC188" s="385"/>
      <c r="AJ188" s="388"/>
      <c r="AK188" s="388"/>
    </row>
    <row r="189" spans="2:37" ht="15" customHeight="1">
      <c r="B189" s="376"/>
      <c r="C189" s="376"/>
      <c r="D189" s="376"/>
      <c r="E189" s="376"/>
      <c r="F189" s="376"/>
      <c r="G189" s="376"/>
      <c r="H189" s="376"/>
      <c r="I189" s="376"/>
      <c r="J189" s="376"/>
      <c r="K189" s="376"/>
      <c r="L189" s="376"/>
      <c r="M189" s="376"/>
      <c r="N189" s="376"/>
      <c r="O189" s="376"/>
      <c r="P189" s="376"/>
      <c r="Q189" s="376"/>
      <c r="R189" s="376"/>
      <c r="S189" s="376"/>
      <c r="T189" s="376"/>
      <c r="U189" s="376"/>
      <c r="V189" s="376"/>
      <c r="W189" s="384"/>
      <c r="X189" s="384"/>
      <c r="Y189" s="384"/>
      <c r="Z189" s="390"/>
      <c r="AA189" s="386"/>
      <c r="AB189" s="385"/>
      <c r="AC189" s="385"/>
      <c r="AJ189" s="388"/>
      <c r="AK189" s="388"/>
    </row>
    <row r="190" spans="2:37" ht="15" customHeight="1">
      <c r="B190" s="376"/>
      <c r="C190" s="376"/>
      <c r="D190" s="376"/>
      <c r="E190" s="376"/>
      <c r="F190" s="376"/>
      <c r="G190" s="376"/>
      <c r="H190" s="376"/>
      <c r="I190" s="376"/>
      <c r="J190" s="376"/>
      <c r="K190" s="376"/>
      <c r="L190" s="376"/>
      <c r="M190" s="376"/>
      <c r="N190" s="376"/>
      <c r="O190" s="376"/>
      <c r="P190" s="376"/>
      <c r="Q190" s="376"/>
      <c r="R190" s="376"/>
      <c r="S190" s="376"/>
      <c r="T190" s="376"/>
      <c r="U190" s="376"/>
      <c r="V190" s="376"/>
      <c r="W190" s="384"/>
      <c r="X190" s="384"/>
      <c r="Y190" s="384"/>
      <c r="Z190" s="385"/>
      <c r="AA190" s="386"/>
      <c r="AB190" s="385"/>
      <c r="AC190" s="385"/>
      <c r="AJ190" s="388"/>
      <c r="AK190" s="388"/>
    </row>
    <row r="191" spans="2:37" ht="15" customHeight="1">
      <c r="B191" s="376"/>
      <c r="C191" s="376"/>
      <c r="D191" s="376"/>
      <c r="E191" s="376"/>
      <c r="F191" s="376"/>
      <c r="G191" s="376"/>
      <c r="H191" s="376"/>
      <c r="I191" s="376"/>
      <c r="J191" s="376"/>
      <c r="K191" s="376"/>
      <c r="L191" s="376"/>
      <c r="M191" s="376"/>
      <c r="N191" s="376"/>
      <c r="O191" s="376"/>
      <c r="P191" s="376"/>
      <c r="Q191" s="376"/>
      <c r="R191" s="376"/>
      <c r="S191" s="376"/>
      <c r="T191" s="376"/>
      <c r="U191" s="376"/>
      <c r="V191" s="376"/>
      <c r="W191" s="384"/>
      <c r="X191" s="384"/>
      <c r="Y191" s="384"/>
      <c r="Z191" s="385"/>
      <c r="AA191" s="386"/>
      <c r="AB191" s="385"/>
      <c r="AC191" s="385"/>
      <c r="AJ191" s="394"/>
      <c r="AK191" s="388"/>
    </row>
    <row r="192" spans="2:37" ht="15" customHeight="1">
      <c r="B192" s="376"/>
      <c r="C192" s="376"/>
      <c r="D192" s="376"/>
      <c r="E192" s="376"/>
      <c r="F192" s="376"/>
      <c r="G192" s="376"/>
      <c r="H192" s="376"/>
      <c r="I192" s="376"/>
      <c r="J192" s="376"/>
      <c r="K192" s="376"/>
      <c r="L192" s="376"/>
      <c r="M192" s="376"/>
      <c r="N192" s="376"/>
      <c r="O192" s="376"/>
      <c r="P192" s="376"/>
      <c r="Q192" s="376"/>
      <c r="R192" s="376"/>
      <c r="S192" s="376"/>
      <c r="T192" s="376"/>
      <c r="U192" s="376"/>
      <c r="V192" s="376"/>
      <c r="W192" s="384"/>
      <c r="X192" s="384"/>
      <c r="Y192" s="384"/>
      <c r="Z192" s="385"/>
      <c r="AA192" s="386"/>
      <c r="AB192" s="385"/>
      <c r="AC192" s="385"/>
      <c r="AJ192" s="388"/>
      <c r="AK192" s="388"/>
    </row>
    <row r="193" spans="2:37" ht="15" customHeight="1">
      <c r="B193" s="376"/>
      <c r="C193" s="376"/>
      <c r="D193" s="376"/>
      <c r="E193" s="376"/>
      <c r="F193" s="376"/>
      <c r="G193" s="376"/>
      <c r="H193" s="376"/>
      <c r="I193" s="376"/>
      <c r="J193" s="376"/>
      <c r="K193" s="376"/>
      <c r="L193" s="376"/>
      <c r="M193" s="376"/>
      <c r="N193" s="376"/>
      <c r="O193" s="376"/>
      <c r="P193" s="376"/>
      <c r="Q193" s="376"/>
      <c r="R193" s="376"/>
      <c r="S193" s="376"/>
      <c r="T193" s="376"/>
      <c r="U193" s="376"/>
      <c r="V193" s="376"/>
      <c r="W193" s="384"/>
      <c r="X193" s="384"/>
      <c r="Y193" s="384"/>
      <c r="Z193" s="385"/>
      <c r="AA193" s="386"/>
      <c r="AB193" s="385"/>
      <c r="AC193" s="385"/>
      <c r="AJ193" s="388"/>
      <c r="AK193" s="388"/>
    </row>
    <row r="194" spans="2:37" ht="15" customHeight="1">
      <c r="B194" s="376"/>
      <c r="C194" s="376"/>
      <c r="D194" s="376"/>
      <c r="E194" s="376"/>
      <c r="F194" s="376"/>
      <c r="G194" s="376"/>
      <c r="H194" s="376"/>
      <c r="I194" s="376"/>
      <c r="J194" s="376"/>
      <c r="K194" s="376"/>
      <c r="L194" s="376"/>
      <c r="M194" s="376"/>
      <c r="N194" s="376"/>
      <c r="O194" s="376"/>
      <c r="P194" s="376"/>
      <c r="Q194" s="376"/>
      <c r="R194" s="376"/>
      <c r="S194" s="376"/>
      <c r="T194" s="376"/>
      <c r="U194" s="376"/>
      <c r="V194" s="376"/>
      <c r="W194" s="384"/>
      <c r="X194" s="384"/>
      <c r="Y194" s="384"/>
      <c r="Z194" s="385"/>
      <c r="AA194" s="386"/>
      <c r="AB194" s="385"/>
      <c r="AC194" s="385"/>
      <c r="AJ194" s="397"/>
      <c r="AK194" s="388"/>
    </row>
    <row r="195" spans="2:37" ht="15" customHeight="1">
      <c r="B195" s="376"/>
      <c r="C195" s="376"/>
      <c r="D195" s="376"/>
      <c r="E195" s="376"/>
      <c r="F195" s="376"/>
      <c r="G195" s="376"/>
      <c r="H195" s="376"/>
      <c r="I195" s="376"/>
      <c r="J195" s="376"/>
      <c r="K195" s="376"/>
      <c r="L195" s="376"/>
      <c r="M195" s="376"/>
      <c r="N195" s="376"/>
      <c r="O195" s="376"/>
      <c r="P195" s="376"/>
      <c r="Q195" s="376"/>
      <c r="R195" s="376"/>
      <c r="S195" s="376"/>
      <c r="T195" s="376"/>
      <c r="U195" s="376"/>
      <c r="V195" s="376"/>
      <c r="W195" s="384"/>
      <c r="X195" s="384"/>
      <c r="Y195" s="384"/>
      <c r="Z195" s="385"/>
      <c r="AA195" s="386"/>
      <c r="AB195" s="385"/>
      <c r="AC195" s="385"/>
      <c r="AJ195" s="397"/>
      <c r="AK195" s="388"/>
    </row>
    <row r="196" spans="2:37" ht="15" customHeight="1">
      <c r="B196" s="376"/>
      <c r="C196" s="376"/>
      <c r="D196" s="376"/>
      <c r="E196" s="376"/>
      <c r="F196" s="376"/>
      <c r="G196" s="376"/>
      <c r="H196" s="376"/>
      <c r="I196" s="376"/>
      <c r="J196" s="376"/>
      <c r="K196" s="376"/>
      <c r="L196" s="376"/>
      <c r="M196" s="376"/>
      <c r="N196" s="376"/>
      <c r="O196" s="376"/>
      <c r="P196" s="376"/>
      <c r="Q196" s="376"/>
      <c r="R196" s="376"/>
      <c r="S196" s="376"/>
      <c r="T196" s="376"/>
      <c r="U196" s="376"/>
      <c r="V196" s="376"/>
      <c r="W196" s="389"/>
      <c r="X196" s="389"/>
      <c r="Y196" s="389"/>
      <c r="Z196" s="385"/>
      <c r="AA196" s="386"/>
      <c r="AB196" s="385"/>
      <c r="AC196" s="385"/>
      <c r="AJ196" s="388"/>
      <c r="AK196" s="388"/>
    </row>
    <row r="197" spans="2:37" ht="15" customHeight="1">
      <c r="B197" s="376"/>
      <c r="C197" s="376"/>
      <c r="D197" s="376"/>
      <c r="E197" s="376"/>
      <c r="F197" s="376"/>
      <c r="G197" s="376"/>
      <c r="H197" s="376"/>
      <c r="I197" s="376"/>
      <c r="J197" s="376"/>
      <c r="K197" s="376"/>
      <c r="L197" s="376"/>
      <c r="M197" s="376"/>
      <c r="N197" s="376"/>
      <c r="O197" s="376"/>
      <c r="P197" s="376"/>
      <c r="Q197" s="376"/>
      <c r="R197" s="376"/>
      <c r="S197" s="376"/>
      <c r="T197" s="376"/>
      <c r="U197" s="376"/>
      <c r="V197" s="376"/>
      <c r="W197" s="389"/>
      <c r="X197" s="389"/>
      <c r="Y197" s="389"/>
      <c r="Z197" s="385"/>
      <c r="AA197" s="386"/>
      <c r="AB197" s="385"/>
      <c r="AC197" s="385"/>
      <c r="AJ197" s="388"/>
      <c r="AK197" s="388"/>
    </row>
    <row r="198" spans="2:37" ht="15" customHeight="1">
      <c r="B198" s="376"/>
      <c r="C198" s="376"/>
      <c r="D198" s="376"/>
      <c r="E198" s="376"/>
      <c r="F198" s="376"/>
      <c r="G198" s="376"/>
      <c r="H198" s="376"/>
      <c r="I198" s="376"/>
      <c r="J198" s="376"/>
      <c r="K198" s="376"/>
      <c r="L198" s="376"/>
      <c r="M198" s="376"/>
      <c r="N198" s="376"/>
      <c r="O198" s="376"/>
      <c r="P198" s="376"/>
      <c r="Q198" s="376"/>
      <c r="R198" s="376"/>
      <c r="S198" s="376"/>
      <c r="T198" s="376"/>
      <c r="U198" s="376"/>
      <c r="V198" s="376"/>
      <c r="W198" s="389"/>
      <c r="X198" s="389"/>
      <c r="Y198" s="389"/>
      <c r="Z198" s="385"/>
      <c r="AA198" s="386"/>
      <c r="AB198" s="385"/>
      <c r="AC198" s="385"/>
      <c r="AJ198" s="388"/>
      <c r="AK198" s="388"/>
    </row>
    <row r="199" spans="2:37" ht="15" customHeight="1">
      <c r="B199" s="376"/>
      <c r="C199" s="376"/>
      <c r="D199" s="376"/>
      <c r="E199" s="376"/>
      <c r="F199" s="376"/>
      <c r="G199" s="376"/>
      <c r="H199" s="376"/>
      <c r="I199" s="376"/>
      <c r="J199" s="376"/>
      <c r="K199" s="376"/>
      <c r="L199" s="376"/>
      <c r="M199" s="376"/>
      <c r="N199" s="376"/>
      <c r="O199" s="376"/>
      <c r="P199" s="376"/>
      <c r="Q199" s="376"/>
      <c r="R199" s="376"/>
      <c r="S199" s="376"/>
      <c r="T199" s="376"/>
      <c r="U199" s="376"/>
      <c r="V199" s="376"/>
      <c r="W199" s="389"/>
      <c r="X199" s="389"/>
      <c r="Y199" s="389"/>
      <c r="Z199" s="385"/>
      <c r="AA199" s="386"/>
      <c r="AB199" s="385"/>
      <c r="AC199" s="385"/>
      <c r="AJ199" s="388"/>
      <c r="AK199" s="388"/>
    </row>
    <row r="200" spans="2:37" ht="15" customHeight="1">
      <c r="B200" s="376"/>
      <c r="C200" s="376"/>
      <c r="D200" s="376"/>
      <c r="E200" s="376"/>
      <c r="F200" s="376"/>
      <c r="G200" s="376"/>
      <c r="H200" s="376"/>
      <c r="I200" s="376"/>
      <c r="J200" s="376"/>
      <c r="K200" s="376"/>
      <c r="L200" s="376"/>
      <c r="M200" s="376"/>
      <c r="N200" s="376"/>
      <c r="O200" s="376"/>
      <c r="P200" s="376"/>
      <c r="Q200" s="376"/>
      <c r="R200" s="376"/>
      <c r="S200" s="376"/>
      <c r="T200" s="376"/>
      <c r="U200" s="376"/>
      <c r="V200" s="376"/>
      <c r="W200" s="384"/>
      <c r="X200" s="384"/>
      <c r="Y200" s="384"/>
      <c r="Z200" s="385"/>
      <c r="AA200" s="386"/>
      <c r="AB200" s="385"/>
      <c r="AC200" s="385"/>
      <c r="AJ200" s="388"/>
      <c r="AK200" s="388"/>
    </row>
    <row r="201" spans="2:37" ht="15" customHeight="1">
      <c r="B201" s="376"/>
      <c r="C201" s="376"/>
      <c r="D201" s="376"/>
      <c r="E201" s="376"/>
      <c r="F201" s="376"/>
      <c r="G201" s="376"/>
      <c r="H201" s="376"/>
      <c r="I201" s="376"/>
      <c r="J201" s="376"/>
      <c r="K201" s="376"/>
      <c r="L201" s="376"/>
      <c r="M201" s="376"/>
      <c r="N201" s="376"/>
      <c r="O201" s="376"/>
      <c r="P201" s="376"/>
      <c r="Q201" s="376"/>
      <c r="R201" s="376"/>
      <c r="S201" s="376"/>
      <c r="T201" s="376"/>
      <c r="U201" s="376"/>
      <c r="V201" s="376"/>
      <c r="W201" s="384"/>
      <c r="X201" s="384"/>
      <c r="Y201" s="384"/>
      <c r="Z201" s="385"/>
      <c r="AA201" s="386"/>
      <c r="AB201" s="385"/>
      <c r="AC201" s="385"/>
      <c r="AJ201" s="388"/>
      <c r="AK201" s="388"/>
    </row>
    <row r="202" spans="2:37" ht="15" customHeight="1">
      <c r="B202" s="376"/>
      <c r="C202" s="376"/>
      <c r="D202" s="376"/>
      <c r="E202" s="376"/>
      <c r="F202" s="376"/>
      <c r="G202" s="376"/>
      <c r="H202" s="376"/>
      <c r="I202" s="376"/>
      <c r="J202" s="376"/>
      <c r="K202" s="376"/>
      <c r="L202" s="376"/>
      <c r="M202" s="376"/>
      <c r="N202" s="376"/>
      <c r="O202" s="376"/>
      <c r="P202" s="376"/>
      <c r="Q202" s="376"/>
      <c r="R202" s="376"/>
      <c r="S202" s="376"/>
      <c r="T202" s="376"/>
      <c r="U202" s="376"/>
      <c r="V202" s="376"/>
      <c r="W202" s="384"/>
      <c r="X202" s="391"/>
      <c r="Y202" s="391"/>
      <c r="Z202" s="385"/>
      <c r="AA202" s="386"/>
      <c r="AB202" s="385"/>
      <c r="AC202" s="385"/>
      <c r="AJ202" s="388"/>
      <c r="AK202" s="388"/>
    </row>
    <row r="203" spans="2:37" ht="15" customHeight="1">
      <c r="B203" s="376"/>
      <c r="C203" s="376"/>
      <c r="D203" s="376"/>
      <c r="E203" s="376"/>
      <c r="F203" s="376"/>
      <c r="G203" s="376"/>
      <c r="H203" s="376"/>
      <c r="I203" s="376"/>
      <c r="J203" s="376"/>
      <c r="K203" s="376"/>
      <c r="L203" s="376"/>
      <c r="M203" s="376"/>
      <c r="N203" s="376"/>
      <c r="O203" s="376"/>
      <c r="P203" s="376"/>
      <c r="Q203" s="376"/>
      <c r="R203" s="376"/>
      <c r="S203" s="376"/>
      <c r="T203" s="376"/>
      <c r="U203" s="376"/>
      <c r="V203" s="376"/>
      <c r="W203" s="384"/>
      <c r="X203" s="384"/>
      <c r="Y203" s="384"/>
      <c r="Z203" s="385"/>
      <c r="AA203" s="386"/>
      <c r="AB203" s="385"/>
      <c r="AC203" s="385"/>
      <c r="AJ203" s="388"/>
      <c r="AK203" s="388"/>
    </row>
    <row r="204" spans="2:37" ht="15" customHeight="1">
      <c r="B204" s="376"/>
      <c r="C204" s="376"/>
      <c r="D204" s="376"/>
      <c r="E204" s="376"/>
      <c r="F204" s="376"/>
      <c r="G204" s="376"/>
      <c r="H204" s="376"/>
      <c r="I204" s="376"/>
      <c r="J204" s="376"/>
      <c r="K204" s="376"/>
      <c r="L204" s="376"/>
      <c r="M204" s="376"/>
      <c r="N204" s="376"/>
      <c r="O204" s="376"/>
      <c r="P204" s="376"/>
      <c r="Q204" s="376"/>
      <c r="R204" s="376"/>
      <c r="S204" s="376"/>
      <c r="T204" s="376"/>
      <c r="U204" s="376"/>
      <c r="V204" s="376"/>
      <c r="W204" s="384"/>
      <c r="X204" s="384"/>
      <c r="Y204" s="384"/>
      <c r="Z204" s="385"/>
      <c r="AA204" s="386"/>
      <c r="AB204" s="385"/>
      <c r="AC204" s="385"/>
      <c r="AJ204" s="388"/>
      <c r="AK204" s="388"/>
    </row>
    <row r="205" spans="2:37" ht="15" customHeight="1">
      <c r="B205" s="376"/>
      <c r="C205" s="376"/>
      <c r="D205" s="376"/>
      <c r="E205" s="376"/>
      <c r="F205" s="376"/>
      <c r="G205" s="376"/>
      <c r="H205" s="376"/>
      <c r="I205" s="376"/>
      <c r="J205" s="376"/>
      <c r="K205" s="376"/>
      <c r="L205" s="376"/>
      <c r="M205" s="376"/>
      <c r="N205" s="376"/>
      <c r="O205" s="376"/>
      <c r="P205" s="376"/>
      <c r="Q205" s="376"/>
      <c r="R205" s="376"/>
      <c r="S205" s="376"/>
      <c r="T205" s="376"/>
      <c r="U205" s="376"/>
      <c r="V205" s="376"/>
      <c r="W205" s="384"/>
      <c r="X205" s="384"/>
      <c r="Y205" s="384"/>
      <c r="Z205" s="385"/>
      <c r="AA205" s="386"/>
      <c r="AB205" s="385"/>
      <c r="AC205" s="385"/>
      <c r="AJ205" s="388"/>
      <c r="AK205" s="388"/>
    </row>
    <row r="206" spans="2:37" ht="15" customHeight="1">
      <c r="B206" s="376"/>
      <c r="C206" s="376"/>
      <c r="D206" s="376"/>
      <c r="E206" s="376"/>
      <c r="F206" s="376"/>
      <c r="G206" s="376"/>
      <c r="H206" s="376"/>
      <c r="I206" s="376"/>
      <c r="J206" s="376"/>
      <c r="K206" s="376"/>
      <c r="L206" s="376"/>
      <c r="M206" s="376"/>
      <c r="N206" s="376"/>
      <c r="O206" s="376"/>
      <c r="P206" s="376"/>
      <c r="Q206" s="376"/>
      <c r="R206" s="376"/>
      <c r="S206" s="376"/>
      <c r="T206" s="376"/>
      <c r="U206" s="376"/>
      <c r="V206" s="376"/>
      <c r="W206" s="384"/>
      <c r="X206" s="384"/>
      <c r="Y206" s="384"/>
      <c r="Z206" s="385"/>
      <c r="AA206" s="386"/>
      <c r="AB206" s="385"/>
      <c r="AC206" s="385"/>
      <c r="AJ206" s="388"/>
      <c r="AK206" s="388"/>
    </row>
    <row r="207" spans="2:37" ht="15" customHeight="1">
      <c r="B207" s="376"/>
      <c r="C207" s="376"/>
      <c r="D207" s="376"/>
      <c r="E207" s="376"/>
      <c r="F207" s="376"/>
      <c r="G207" s="376"/>
      <c r="H207" s="376"/>
      <c r="I207" s="376"/>
      <c r="J207" s="376"/>
      <c r="K207" s="376"/>
      <c r="L207" s="376"/>
      <c r="M207" s="376"/>
      <c r="N207" s="376"/>
      <c r="O207" s="376"/>
      <c r="P207" s="376"/>
      <c r="Q207" s="376"/>
      <c r="R207" s="376"/>
      <c r="S207" s="376"/>
      <c r="T207" s="376"/>
      <c r="U207" s="376"/>
      <c r="V207" s="376"/>
      <c r="W207" s="384"/>
      <c r="X207" s="384"/>
      <c r="Y207" s="384"/>
      <c r="Z207" s="385"/>
      <c r="AA207" s="386"/>
      <c r="AB207" s="385"/>
      <c r="AC207" s="385"/>
      <c r="AJ207" s="388"/>
      <c r="AK207" s="388"/>
    </row>
    <row r="208" spans="2:37" ht="15" customHeight="1">
      <c r="B208" s="376"/>
      <c r="C208" s="376"/>
      <c r="D208" s="376"/>
      <c r="E208" s="376"/>
      <c r="F208" s="376"/>
      <c r="G208" s="376"/>
      <c r="H208" s="376"/>
      <c r="I208" s="376"/>
      <c r="J208" s="376"/>
      <c r="K208" s="376"/>
      <c r="L208" s="376"/>
      <c r="M208" s="376"/>
      <c r="N208" s="376"/>
      <c r="O208" s="376"/>
      <c r="P208" s="376"/>
      <c r="Q208" s="376"/>
      <c r="R208" s="376"/>
      <c r="S208" s="376"/>
      <c r="T208" s="376"/>
      <c r="U208" s="376"/>
      <c r="V208" s="376"/>
      <c r="W208" s="384"/>
      <c r="X208" s="391"/>
      <c r="Y208" s="391"/>
      <c r="Z208" s="385"/>
      <c r="AA208" s="386"/>
      <c r="AB208" s="385"/>
      <c r="AC208" s="385"/>
      <c r="AJ208" s="388"/>
      <c r="AK208" s="388"/>
    </row>
    <row r="209" spans="2:37" ht="15" customHeight="1">
      <c r="B209" s="376"/>
      <c r="C209" s="376"/>
      <c r="D209" s="376"/>
      <c r="E209" s="376"/>
      <c r="F209" s="376"/>
      <c r="G209" s="376"/>
      <c r="H209" s="376"/>
      <c r="I209" s="376"/>
      <c r="J209" s="376"/>
      <c r="K209" s="376"/>
      <c r="L209" s="376"/>
      <c r="M209" s="376"/>
      <c r="N209" s="376"/>
      <c r="O209" s="376"/>
      <c r="P209" s="376"/>
      <c r="Q209" s="376"/>
      <c r="R209" s="376"/>
      <c r="S209" s="376"/>
      <c r="T209" s="376"/>
      <c r="U209" s="376"/>
      <c r="V209" s="376"/>
      <c r="W209" s="384"/>
      <c r="X209" s="391"/>
      <c r="Y209" s="391"/>
      <c r="Z209" s="398"/>
      <c r="AA209" s="386"/>
      <c r="AB209" s="385"/>
      <c r="AC209" s="385"/>
      <c r="AJ209" s="388"/>
      <c r="AK209" s="388"/>
    </row>
    <row r="210" spans="2:37" ht="15" customHeight="1">
      <c r="B210" s="376"/>
      <c r="C210" s="376"/>
      <c r="D210" s="376"/>
      <c r="E210" s="376"/>
      <c r="F210" s="376"/>
      <c r="G210" s="376"/>
      <c r="H210" s="376"/>
      <c r="I210" s="376"/>
      <c r="J210" s="376"/>
      <c r="K210" s="376"/>
      <c r="L210" s="376"/>
      <c r="M210" s="376"/>
      <c r="N210" s="376"/>
      <c r="O210" s="376"/>
      <c r="P210" s="376"/>
      <c r="Q210" s="376"/>
      <c r="R210" s="376"/>
      <c r="S210" s="376"/>
      <c r="T210" s="376"/>
      <c r="U210" s="376"/>
      <c r="V210" s="376"/>
      <c r="W210" s="384"/>
      <c r="X210" s="384"/>
      <c r="Y210" s="384"/>
      <c r="Z210" s="385"/>
      <c r="AA210" s="386"/>
      <c r="AB210" s="385"/>
      <c r="AC210" s="385"/>
      <c r="AJ210" s="388"/>
      <c r="AK210" s="388"/>
    </row>
    <row r="211" spans="2:37" ht="15" customHeight="1">
      <c r="B211" s="376"/>
      <c r="C211" s="376"/>
      <c r="D211" s="376"/>
      <c r="E211" s="376"/>
      <c r="F211" s="376"/>
      <c r="G211" s="376"/>
      <c r="H211" s="376"/>
      <c r="I211" s="376"/>
      <c r="J211" s="376"/>
      <c r="K211" s="376"/>
      <c r="L211" s="376"/>
      <c r="M211" s="376"/>
      <c r="N211" s="376"/>
      <c r="O211" s="376"/>
      <c r="P211" s="376"/>
      <c r="Q211" s="376"/>
      <c r="R211" s="376"/>
      <c r="S211" s="376"/>
      <c r="T211" s="376"/>
      <c r="U211" s="376"/>
      <c r="V211" s="376"/>
      <c r="W211" s="384"/>
      <c r="X211" s="384"/>
      <c r="Y211" s="384"/>
      <c r="Z211" s="385"/>
      <c r="AA211" s="386"/>
      <c r="AB211" s="385"/>
      <c r="AC211" s="385"/>
      <c r="AJ211" s="388"/>
      <c r="AK211" s="388"/>
    </row>
    <row r="212" spans="2:37" ht="15" customHeight="1">
      <c r="B212" s="376"/>
      <c r="C212" s="376"/>
      <c r="D212" s="376"/>
      <c r="E212" s="376"/>
      <c r="F212" s="376"/>
      <c r="G212" s="376"/>
      <c r="H212" s="376"/>
      <c r="I212" s="376"/>
      <c r="J212" s="376"/>
      <c r="K212" s="376"/>
      <c r="L212" s="376"/>
      <c r="M212" s="376"/>
      <c r="N212" s="376"/>
      <c r="O212" s="376"/>
      <c r="P212" s="376"/>
      <c r="Q212" s="376"/>
      <c r="R212" s="376"/>
      <c r="S212" s="376"/>
      <c r="T212" s="376"/>
      <c r="U212" s="376"/>
      <c r="V212" s="376"/>
      <c r="W212" s="384"/>
      <c r="X212" s="384"/>
      <c r="Y212" s="384"/>
      <c r="Z212" s="385"/>
      <c r="AA212" s="386"/>
      <c r="AB212" s="385"/>
      <c r="AC212" s="385"/>
      <c r="AJ212" s="388"/>
      <c r="AK212" s="388"/>
    </row>
    <row r="213" spans="2:37" ht="15" customHeight="1">
      <c r="B213" s="376"/>
      <c r="C213" s="376"/>
      <c r="D213" s="376"/>
      <c r="E213" s="376"/>
      <c r="F213" s="376"/>
      <c r="G213" s="376"/>
      <c r="H213" s="376"/>
      <c r="I213" s="376"/>
      <c r="J213" s="376"/>
      <c r="K213" s="376"/>
      <c r="L213" s="376"/>
      <c r="M213" s="376"/>
      <c r="N213" s="376"/>
      <c r="O213" s="376"/>
      <c r="P213" s="376"/>
      <c r="Q213" s="376"/>
      <c r="R213" s="376"/>
      <c r="S213" s="376"/>
      <c r="T213" s="376"/>
      <c r="U213" s="376"/>
      <c r="V213" s="376"/>
      <c r="W213" s="384"/>
      <c r="X213" s="384"/>
      <c r="Y213" s="384"/>
      <c r="Z213" s="385"/>
      <c r="AA213" s="386"/>
      <c r="AB213" s="385"/>
      <c r="AC213" s="385"/>
      <c r="AJ213" s="388"/>
      <c r="AK213" s="388"/>
    </row>
    <row r="214" spans="2:37" ht="15" customHeight="1">
      <c r="B214" s="376"/>
      <c r="C214" s="376"/>
      <c r="D214" s="376"/>
      <c r="E214" s="376"/>
      <c r="F214" s="376"/>
      <c r="G214" s="376"/>
      <c r="H214" s="376"/>
      <c r="I214" s="376"/>
      <c r="J214" s="376"/>
      <c r="K214" s="376"/>
      <c r="L214" s="376"/>
      <c r="M214" s="376"/>
      <c r="N214" s="376"/>
      <c r="O214" s="376"/>
      <c r="P214" s="376"/>
      <c r="Q214" s="376"/>
      <c r="R214" s="376"/>
      <c r="S214" s="376"/>
      <c r="T214" s="376"/>
      <c r="U214" s="376"/>
      <c r="V214" s="376"/>
      <c r="W214" s="384"/>
      <c r="X214" s="384"/>
      <c r="Y214" s="384"/>
      <c r="Z214" s="385"/>
      <c r="AA214" s="386"/>
      <c r="AB214" s="385"/>
      <c r="AC214" s="385"/>
      <c r="AJ214" s="388"/>
      <c r="AK214" s="388"/>
    </row>
    <row r="215" spans="2:37" ht="15" customHeight="1">
      <c r="B215" s="376"/>
      <c r="C215" s="376"/>
      <c r="D215" s="376"/>
      <c r="E215" s="376"/>
      <c r="F215" s="376"/>
      <c r="G215" s="376"/>
      <c r="H215" s="376"/>
      <c r="I215" s="376"/>
      <c r="J215" s="376"/>
      <c r="K215" s="376"/>
      <c r="L215" s="376"/>
      <c r="M215" s="376"/>
      <c r="N215" s="376"/>
      <c r="O215" s="376"/>
      <c r="P215" s="376"/>
      <c r="Q215" s="376"/>
      <c r="R215" s="376"/>
      <c r="S215" s="376"/>
      <c r="T215" s="376"/>
      <c r="U215" s="376"/>
      <c r="V215" s="376"/>
      <c r="W215" s="384"/>
      <c r="X215" s="384"/>
      <c r="Y215" s="384"/>
      <c r="Z215" s="385"/>
      <c r="AA215" s="386"/>
      <c r="AB215" s="385"/>
      <c r="AC215" s="385"/>
      <c r="AJ215" s="388"/>
      <c r="AK215" s="388"/>
    </row>
    <row r="216" spans="2:37" ht="15" customHeight="1">
      <c r="B216" s="376"/>
      <c r="C216" s="376"/>
      <c r="D216" s="376"/>
      <c r="E216" s="376"/>
      <c r="F216" s="376"/>
      <c r="G216" s="376"/>
      <c r="H216" s="376"/>
      <c r="I216" s="376"/>
      <c r="J216" s="376"/>
      <c r="K216" s="376"/>
      <c r="L216" s="376"/>
      <c r="M216" s="376"/>
      <c r="N216" s="376"/>
      <c r="O216" s="376"/>
      <c r="P216" s="376"/>
      <c r="Q216" s="376"/>
      <c r="R216" s="376"/>
      <c r="S216" s="376"/>
      <c r="T216" s="376"/>
      <c r="U216" s="376"/>
      <c r="V216" s="376"/>
      <c r="W216" s="384"/>
      <c r="X216" s="384"/>
      <c r="Y216" s="384"/>
      <c r="Z216" s="385"/>
      <c r="AA216" s="386"/>
      <c r="AB216" s="385"/>
      <c r="AC216" s="385"/>
      <c r="AJ216" s="388"/>
      <c r="AK216" s="388"/>
    </row>
    <row r="217" spans="2:37" ht="15" customHeight="1">
      <c r="B217" s="376"/>
      <c r="C217" s="376"/>
      <c r="D217" s="376"/>
      <c r="E217" s="376"/>
      <c r="F217" s="376"/>
      <c r="G217" s="376"/>
      <c r="H217" s="376"/>
      <c r="I217" s="376"/>
      <c r="J217" s="376"/>
      <c r="K217" s="376"/>
      <c r="L217" s="376"/>
      <c r="M217" s="376"/>
      <c r="N217" s="376"/>
      <c r="O217" s="376"/>
      <c r="P217" s="376"/>
      <c r="Q217" s="376"/>
      <c r="R217" s="376"/>
      <c r="S217" s="376"/>
      <c r="T217" s="376"/>
      <c r="U217" s="376"/>
      <c r="V217" s="376"/>
      <c r="W217" s="384"/>
      <c r="X217" s="384"/>
      <c r="Y217" s="384"/>
      <c r="Z217" s="385"/>
      <c r="AA217" s="386"/>
      <c r="AB217" s="385"/>
      <c r="AC217" s="385"/>
      <c r="AJ217" s="388"/>
      <c r="AK217" s="388"/>
    </row>
    <row r="218" spans="2:37" ht="15" customHeight="1">
      <c r="B218" s="376"/>
      <c r="C218" s="376"/>
      <c r="D218" s="380"/>
      <c r="E218" s="380"/>
      <c r="F218" s="380"/>
      <c r="G218" s="380"/>
      <c r="H218" s="380"/>
      <c r="I218" s="380"/>
      <c r="J218" s="380"/>
      <c r="K218" s="380"/>
      <c r="L218" s="380"/>
      <c r="M218" s="380"/>
      <c r="N218" s="380"/>
      <c r="O218" s="380"/>
      <c r="P218" s="380"/>
      <c r="Q218" s="380"/>
      <c r="R218" s="380"/>
      <c r="S218" s="380"/>
      <c r="T218" s="380"/>
      <c r="U218" s="380"/>
      <c r="V218" s="380"/>
      <c r="W218" s="384"/>
      <c r="X218" s="384"/>
      <c r="Y218" s="384"/>
      <c r="Z218" s="396"/>
      <c r="AA218" s="386"/>
      <c r="AB218" s="385"/>
      <c r="AC218" s="385"/>
      <c r="AJ218" s="388"/>
      <c r="AK218" s="388"/>
    </row>
    <row r="219" spans="2:37" ht="15" customHeight="1">
      <c r="B219" s="376"/>
      <c r="C219" s="376"/>
      <c r="D219" s="376"/>
      <c r="E219" s="376"/>
      <c r="F219" s="376"/>
      <c r="G219" s="376"/>
      <c r="H219" s="376"/>
      <c r="I219" s="376"/>
      <c r="J219" s="376"/>
      <c r="K219" s="376"/>
      <c r="L219" s="376"/>
      <c r="M219" s="376"/>
      <c r="N219" s="376"/>
      <c r="O219" s="376"/>
      <c r="P219" s="376"/>
      <c r="Q219" s="376"/>
      <c r="R219" s="376"/>
      <c r="S219" s="376"/>
      <c r="T219" s="376"/>
      <c r="U219" s="376"/>
      <c r="V219" s="376"/>
      <c r="W219" s="384"/>
      <c r="X219" s="384"/>
      <c r="Y219" s="384"/>
      <c r="Z219" s="385"/>
      <c r="AA219" s="386"/>
      <c r="AB219" s="385"/>
      <c r="AC219" s="385"/>
      <c r="AJ219" s="388"/>
      <c r="AK219" s="388"/>
    </row>
    <row r="220" spans="2:37" ht="15" customHeight="1">
      <c r="B220" s="376"/>
      <c r="C220" s="376"/>
      <c r="D220" s="376"/>
      <c r="E220" s="376"/>
      <c r="F220" s="376"/>
      <c r="G220" s="376"/>
      <c r="H220" s="376"/>
      <c r="I220" s="376"/>
      <c r="J220" s="376"/>
      <c r="K220" s="376"/>
      <c r="L220" s="376"/>
      <c r="M220" s="376"/>
      <c r="N220" s="376"/>
      <c r="O220" s="376"/>
      <c r="P220" s="376"/>
      <c r="Q220" s="376"/>
      <c r="R220" s="376"/>
      <c r="S220" s="376"/>
      <c r="T220" s="376"/>
      <c r="U220" s="376"/>
      <c r="V220" s="376"/>
      <c r="W220" s="384"/>
      <c r="X220" s="391"/>
      <c r="Y220" s="391"/>
      <c r="Z220" s="385"/>
      <c r="AA220" s="386"/>
      <c r="AB220" s="385"/>
      <c r="AC220" s="385"/>
      <c r="AJ220" s="388"/>
      <c r="AK220" s="388"/>
    </row>
    <row r="221" spans="2:37" ht="15" customHeight="1">
      <c r="AJ221" s="388"/>
      <c r="AK221" s="388"/>
    </row>
    <row r="222" spans="2:37" ht="15" customHeight="1">
      <c r="AJ222" s="388"/>
      <c r="AK222" s="388"/>
    </row>
    <row r="223" spans="2:37" ht="15" customHeight="1">
      <c r="AJ223" s="388"/>
      <c r="AK223" s="388"/>
    </row>
    <row r="224" spans="2:37" ht="15" customHeight="1">
      <c r="AJ224" s="388"/>
      <c r="AK224" s="388"/>
    </row>
    <row r="225" spans="36:37" ht="15" customHeight="1">
      <c r="AJ225" s="388"/>
      <c r="AK225" s="388"/>
    </row>
    <row r="226" spans="36:37" ht="15" customHeight="1">
      <c r="AJ226" s="388"/>
      <c r="AK226" s="388"/>
    </row>
    <row r="227" spans="36:37" ht="15" customHeight="1">
      <c r="AJ227" s="388"/>
      <c r="AK227" s="388"/>
    </row>
    <row r="228" spans="36:37" ht="15" customHeight="1">
      <c r="AJ228" s="394"/>
      <c r="AK228" s="388"/>
    </row>
    <row r="229" spans="36:37" ht="15" customHeight="1">
      <c r="AJ229" s="388"/>
      <c r="AK229" s="388"/>
    </row>
    <row r="230" spans="36:37" ht="15" customHeight="1">
      <c r="AJ230" s="388"/>
      <c r="AK230" s="388"/>
    </row>
    <row r="231" spans="36:37" ht="15" customHeight="1">
      <c r="AJ231" s="388"/>
      <c r="AK231" s="388"/>
    </row>
    <row r="232" spans="36:37" ht="15" customHeight="1">
      <c r="AJ232" s="388"/>
      <c r="AK232" s="388"/>
    </row>
    <row r="233" spans="36:37" ht="15" customHeight="1">
      <c r="AJ233" s="388"/>
      <c r="AK233" s="388"/>
    </row>
    <row r="234" spans="36:37" ht="15" customHeight="1">
      <c r="AJ234" s="388"/>
      <c r="AK234" s="388"/>
    </row>
    <row r="235" spans="36:37" ht="15" customHeight="1">
      <c r="AJ235" s="388"/>
      <c r="AK235" s="388"/>
    </row>
    <row r="236" spans="36:37" ht="15" customHeight="1">
      <c r="AJ236" s="388"/>
      <c r="AK236" s="388"/>
    </row>
    <row r="237" spans="36:37" ht="15" customHeight="1">
      <c r="AJ237" s="388"/>
      <c r="AK237" s="388"/>
    </row>
    <row r="238" spans="36:37" ht="15" customHeight="1">
      <c r="AJ238" s="388"/>
      <c r="AK238" s="388"/>
    </row>
    <row r="239" spans="36:37" ht="15" customHeight="1">
      <c r="AJ239" s="388"/>
      <c r="AK239" s="388"/>
    </row>
    <row r="240" spans="36:37" ht="15" customHeight="1">
      <c r="AJ240" s="388"/>
      <c r="AK240" s="388"/>
    </row>
    <row r="241" spans="36:37" ht="15" customHeight="1">
      <c r="AJ241" s="388"/>
      <c r="AK241" s="388"/>
    </row>
    <row r="242" spans="36:37" ht="15" customHeight="1">
      <c r="AJ242" s="388"/>
      <c r="AK242" s="388"/>
    </row>
    <row r="243" spans="36:37" ht="15" customHeight="1">
      <c r="AJ243" s="388"/>
      <c r="AK243" s="388"/>
    </row>
    <row r="244" spans="36:37" ht="15" customHeight="1">
      <c r="AJ244" s="388"/>
      <c r="AK244" s="388"/>
    </row>
    <row r="245" spans="36:37" ht="15" customHeight="1">
      <c r="AJ245" s="388"/>
      <c r="AK245" s="388"/>
    </row>
    <row r="246" spans="36:37" ht="15" customHeight="1">
      <c r="AJ246" s="388"/>
      <c r="AK246" s="388"/>
    </row>
    <row r="247" spans="36:37" ht="15" customHeight="1">
      <c r="AJ247" s="388"/>
      <c r="AK247" s="388"/>
    </row>
    <row r="248" spans="36:37" ht="15" customHeight="1">
      <c r="AJ248" s="388"/>
      <c r="AK248" s="388"/>
    </row>
    <row r="249" spans="36:37" ht="15" customHeight="1">
      <c r="AJ249" s="388"/>
      <c r="AK249" s="388"/>
    </row>
    <row r="250" spans="36:37" ht="15" customHeight="1">
      <c r="AJ250" s="388"/>
      <c r="AK250" s="388"/>
    </row>
    <row r="251" spans="36:37" ht="15" customHeight="1">
      <c r="AJ251" s="388"/>
      <c r="AK251" s="388"/>
    </row>
    <row r="252" spans="36:37" ht="15" customHeight="1">
      <c r="AJ252" s="388"/>
      <c r="AK252" s="388"/>
    </row>
    <row r="253" spans="36:37" ht="15" customHeight="1">
      <c r="AJ253" s="388"/>
      <c r="AK253" s="388"/>
    </row>
    <row r="254" spans="36:37" ht="15" customHeight="1">
      <c r="AJ254" s="394"/>
      <c r="AK254" s="388"/>
    </row>
    <row r="255" spans="36:37" ht="15" customHeight="1">
      <c r="AJ255" s="388"/>
      <c r="AK255" s="388"/>
    </row>
    <row r="256" spans="36:37" ht="15" customHeight="1">
      <c r="AJ256" s="388"/>
      <c r="AK256" s="388"/>
    </row>
    <row r="257" spans="36:37" ht="15" customHeight="1">
      <c r="AJ257" s="388"/>
      <c r="AK257" s="388"/>
    </row>
    <row r="258" spans="36:37" ht="15" customHeight="1">
      <c r="AJ258" s="388"/>
      <c r="AK258" s="388"/>
    </row>
    <row r="259" spans="36:37" ht="15" customHeight="1">
      <c r="AJ259" s="388"/>
      <c r="AK259" s="388"/>
    </row>
    <row r="260" spans="36:37" ht="15" customHeight="1">
      <c r="AJ260" s="388"/>
      <c r="AK260" s="388"/>
    </row>
    <row r="261" spans="36:37" ht="15" customHeight="1">
      <c r="AJ261" s="388"/>
      <c r="AK261" s="388"/>
    </row>
    <row r="262" spans="36:37" ht="15" customHeight="1">
      <c r="AJ262" s="388"/>
      <c r="AK262" s="388"/>
    </row>
    <row r="263" spans="36:37" ht="15" customHeight="1">
      <c r="AJ263" s="388"/>
      <c r="AK263" s="388"/>
    </row>
    <row r="264" spans="36:37" ht="15" customHeight="1">
      <c r="AJ264" s="388"/>
      <c r="AK264" s="388"/>
    </row>
    <row r="265" spans="36:37" ht="15" customHeight="1">
      <c r="AJ265" s="388"/>
      <c r="AK265" s="388"/>
    </row>
    <row r="266" spans="36:37" ht="15" customHeight="1">
      <c r="AJ266" s="388"/>
      <c r="AK266" s="388"/>
    </row>
    <row r="267" spans="36:37" ht="15" customHeight="1">
      <c r="AJ267" s="388"/>
      <c r="AK267" s="388"/>
    </row>
    <row r="268" spans="36:37" ht="15" customHeight="1">
      <c r="AJ268" s="388"/>
      <c r="AK268" s="388"/>
    </row>
    <row r="269" spans="36:37" ht="15" customHeight="1">
      <c r="AJ269" s="388"/>
      <c r="AK269" s="388"/>
    </row>
    <row r="270" spans="36:37" ht="15" customHeight="1">
      <c r="AJ270" s="399"/>
      <c r="AK270" s="388"/>
    </row>
    <row r="271" spans="36:37" ht="15" customHeight="1">
      <c r="AJ271" s="388"/>
      <c r="AK271" s="388"/>
    </row>
    <row r="272" spans="36:37" ht="15" customHeight="1">
      <c r="AJ272" s="388"/>
      <c r="AK272" s="388"/>
    </row>
    <row r="273" spans="36:37" ht="15" customHeight="1">
      <c r="AJ273" s="388"/>
      <c r="AK273" s="388"/>
    </row>
    <row r="274" spans="36:37" ht="15" customHeight="1">
      <c r="AJ274" s="388"/>
      <c r="AK274" s="388"/>
    </row>
    <row r="275" spans="36:37" ht="15" customHeight="1">
      <c r="AJ275" s="388"/>
      <c r="AK275" s="388"/>
    </row>
    <row r="276" spans="36:37" ht="15" customHeight="1">
      <c r="AJ276" s="388"/>
      <c r="AK276" s="388"/>
    </row>
    <row r="277" spans="36:37" ht="15" customHeight="1">
      <c r="AJ277" s="388"/>
      <c r="AK277" s="388"/>
    </row>
    <row r="278" spans="36:37" ht="15" customHeight="1">
      <c r="AJ278" s="388"/>
      <c r="AK278" s="388"/>
    </row>
    <row r="279" spans="36:37" ht="15" customHeight="1">
      <c r="AJ279" s="388"/>
      <c r="AK279" s="388"/>
    </row>
    <row r="280" spans="36:37" ht="15" customHeight="1">
      <c r="AJ280" s="388"/>
      <c r="AK280" s="388"/>
    </row>
    <row r="281" spans="36:37" ht="15" customHeight="1">
      <c r="AJ281" s="388"/>
      <c r="AK281" s="388"/>
    </row>
    <row r="282" spans="36:37" ht="15" customHeight="1">
      <c r="AJ282" s="388"/>
      <c r="AK282" s="388"/>
    </row>
    <row r="283" spans="36:37" ht="15" customHeight="1">
      <c r="AJ283" s="388"/>
      <c r="AK283" s="388"/>
    </row>
    <row r="284" spans="36:37" ht="15" customHeight="1">
      <c r="AJ284" s="388"/>
      <c r="AK284" s="388"/>
    </row>
    <row r="285" spans="36:37" ht="15" customHeight="1">
      <c r="AJ285" s="388"/>
      <c r="AK285" s="388"/>
    </row>
    <row r="286" spans="36:37" ht="15" customHeight="1">
      <c r="AJ286" s="388"/>
      <c r="AK286" s="388"/>
    </row>
    <row r="287" spans="36:37" ht="15" customHeight="1">
      <c r="AJ287" s="388"/>
      <c r="AK287" s="388"/>
    </row>
  </sheetData>
  <autoFilter ref="A1:G46" xr:uid="{9DAA86DC-7EA0-4CD9-A495-27B3F9BEA75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0E14-07AF-4170-AE36-DCC156F555D1}">
  <dimension ref="A1:C22"/>
  <sheetViews>
    <sheetView workbookViewId="0">
      <selection activeCell="C23" sqref="C23"/>
    </sheetView>
  </sheetViews>
  <sheetFormatPr defaultRowHeight="14.45"/>
  <sheetData>
    <row r="1" spans="1:3">
      <c r="A1" s="370" t="s">
        <v>913</v>
      </c>
      <c r="B1" s="371" t="s">
        <v>1332</v>
      </c>
      <c r="C1" s="371" t="s">
        <v>912</v>
      </c>
    </row>
    <row r="2" spans="1:3">
      <c r="A2" s="370" t="s">
        <v>994</v>
      </c>
      <c r="B2" s="371" t="s">
        <v>1333</v>
      </c>
      <c r="C2" s="371" t="s">
        <v>1334</v>
      </c>
    </row>
    <row r="3" spans="1:3">
      <c r="A3" s="370" t="s">
        <v>1015</v>
      </c>
      <c r="B3" s="371" t="s">
        <v>1335</v>
      </c>
      <c r="C3" s="371" t="s">
        <v>1336</v>
      </c>
    </row>
    <row r="4" spans="1:3">
      <c r="A4" s="370" t="s">
        <v>1099</v>
      </c>
      <c r="B4" s="371" t="s">
        <v>1337</v>
      </c>
      <c r="C4" s="371" t="s">
        <v>1338</v>
      </c>
    </row>
    <row r="5" spans="1:3">
      <c r="A5" s="370" t="s">
        <v>1119</v>
      </c>
      <c r="B5" s="371" t="s">
        <v>1339</v>
      </c>
      <c r="C5" s="371" t="s">
        <v>1340</v>
      </c>
    </row>
    <row r="6" spans="1:3">
      <c r="A6" s="370" t="s">
        <v>1094</v>
      </c>
      <c r="B6" s="371" t="s">
        <v>1341</v>
      </c>
      <c r="C6" s="371" t="s">
        <v>1336</v>
      </c>
    </row>
    <row r="7" spans="1:3">
      <c r="A7" s="370" t="s">
        <v>1001</v>
      </c>
      <c r="B7" s="371" t="s">
        <v>1342</v>
      </c>
      <c r="C7" s="371" t="s">
        <v>1343</v>
      </c>
    </row>
    <row r="8" spans="1:3">
      <c r="A8" s="370" t="s">
        <v>1009</v>
      </c>
      <c r="B8" s="371" t="s">
        <v>1344</v>
      </c>
      <c r="C8" s="371" t="s">
        <v>1336</v>
      </c>
    </row>
    <row r="9" spans="1:3">
      <c r="A9" s="370" t="s">
        <v>1075</v>
      </c>
      <c r="B9" s="371" t="s">
        <v>1345</v>
      </c>
      <c r="C9" s="371" t="s">
        <v>1346</v>
      </c>
    </row>
    <row r="10" spans="1:3">
      <c r="A10" s="370" t="s">
        <v>1029</v>
      </c>
      <c r="B10" s="371" t="s">
        <v>1347</v>
      </c>
      <c r="C10" s="371" t="s">
        <v>1334</v>
      </c>
    </row>
    <row r="11" spans="1:3">
      <c r="A11" s="370" t="s">
        <v>1069</v>
      </c>
      <c r="B11" s="371" t="s">
        <v>1348</v>
      </c>
      <c r="C11" s="371" t="s">
        <v>1340</v>
      </c>
    </row>
    <row r="12" spans="1:3">
      <c r="A12" s="370" t="s">
        <v>1040</v>
      </c>
      <c r="B12" s="371" t="s">
        <v>1349</v>
      </c>
      <c r="C12" s="371" t="s">
        <v>1346</v>
      </c>
    </row>
    <row r="13" spans="1:3">
      <c r="A13" s="370" t="s">
        <v>1062</v>
      </c>
      <c r="B13" s="371" t="s">
        <v>1350</v>
      </c>
      <c r="C13" s="371" t="s">
        <v>1351</v>
      </c>
    </row>
    <row r="14" spans="1:3">
      <c r="A14" s="370" t="s">
        <v>986</v>
      </c>
      <c r="B14" s="371" t="s">
        <v>1352</v>
      </c>
      <c r="C14" s="371" t="s">
        <v>1343</v>
      </c>
    </row>
    <row r="15" spans="1:3">
      <c r="A15" s="370" t="s">
        <v>1214</v>
      </c>
      <c r="B15" s="371" t="s">
        <v>1353</v>
      </c>
      <c r="C15" s="371" t="s">
        <v>1343</v>
      </c>
    </row>
    <row r="16" spans="1:3">
      <c r="A16" s="370" t="s">
        <v>1045</v>
      </c>
      <c r="B16" s="371" t="s">
        <v>1354</v>
      </c>
      <c r="C16" s="371" t="s">
        <v>1340</v>
      </c>
    </row>
    <row r="17" spans="1:3">
      <c r="A17" s="370" t="s">
        <v>1228</v>
      </c>
      <c r="B17" s="371" t="s">
        <v>1333</v>
      </c>
      <c r="C17" s="371" t="s">
        <v>1334</v>
      </c>
    </row>
    <row r="18" spans="1:3">
      <c r="A18" s="370" t="s">
        <v>983</v>
      </c>
      <c r="B18" s="371" t="s">
        <v>1355</v>
      </c>
      <c r="C18" s="371" t="s">
        <v>1356</v>
      </c>
    </row>
    <row r="19" spans="1:3">
      <c r="A19" s="370" t="s">
        <v>1247</v>
      </c>
      <c r="B19" s="371" t="s">
        <v>1357</v>
      </c>
      <c r="C19" s="371" t="s">
        <v>1334</v>
      </c>
    </row>
    <row r="20" spans="1:3">
      <c r="A20" s="370" t="s">
        <v>1256</v>
      </c>
      <c r="B20" s="371" t="s">
        <v>1358</v>
      </c>
      <c r="C20" s="371" t="s">
        <v>1359</v>
      </c>
    </row>
    <row r="21" spans="1:3">
      <c r="A21" s="370" t="s">
        <v>1035</v>
      </c>
      <c r="B21" s="371" t="s">
        <v>1360</v>
      </c>
      <c r="C21" s="371" t="s">
        <v>1343</v>
      </c>
    </row>
    <row r="22" spans="1:3" ht="15">
      <c r="A22" s="381" t="s">
        <v>985</v>
      </c>
      <c r="B22" t="s">
        <v>1361</v>
      </c>
      <c r="C22" t="s">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5C65B-CC53-487D-830B-3F85C5C36BFA}">
  <dimension ref="A1:K222"/>
  <sheetViews>
    <sheetView zoomScale="85" zoomScaleNormal="85" workbookViewId="0">
      <pane xSplit="3" ySplit="1" topLeftCell="D71" activePane="bottomRight" state="frozen"/>
      <selection pane="bottomRight" activeCell="B46" sqref="B46"/>
      <selection pane="bottomLeft" activeCell="A2" sqref="A2"/>
      <selection pane="topRight" activeCell="B1" sqref="B1"/>
    </sheetView>
  </sheetViews>
  <sheetFormatPr defaultRowHeight="15" customHeight="1"/>
  <cols>
    <col min="1" max="1" width="11.28515625" bestFit="1" customWidth="1"/>
    <col min="2" max="2" width="43.5703125" customWidth="1"/>
    <col min="3" max="3" width="66" style="330" bestFit="1" customWidth="1"/>
    <col min="4" max="4" width="117.85546875" style="330" customWidth="1"/>
    <col min="5" max="5" width="149.140625" style="330" customWidth="1"/>
    <col min="6" max="6" width="56" bestFit="1" customWidth="1"/>
    <col min="7" max="7" width="9.85546875" style="324" bestFit="1" customWidth="1"/>
    <col min="8" max="8" width="16" bestFit="1" customWidth="1"/>
    <col min="9" max="9" width="52.42578125" bestFit="1" customWidth="1"/>
    <col min="10" max="10" width="52.42578125" customWidth="1"/>
  </cols>
  <sheetData>
    <row r="1" spans="1:11" ht="14.45">
      <c r="A1" s="322" t="s">
        <v>15</v>
      </c>
      <c r="B1" s="322" t="s">
        <v>39</v>
      </c>
      <c r="C1" s="329" t="s">
        <v>41</v>
      </c>
      <c r="D1" s="329" t="s">
        <v>1362</v>
      </c>
      <c r="E1" s="329" t="s">
        <v>1363</v>
      </c>
      <c r="F1" s="322" t="s">
        <v>42</v>
      </c>
      <c r="G1" s="323" t="s">
        <v>1364</v>
      </c>
      <c r="H1" s="322" t="s">
        <v>1365</v>
      </c>
      <c r="I1" s="322" t="s">
        <v>1366</v>
      </c>
      <c r="J1" s="340"/>
    </row>
    <row r="2" spans="1:11" ht="14.45">
      <c r="A2" t="s">
        <v>9</v>
      </c>
      <c r="B2" t="s">
        <v>54</v>
      </c>
      <c r="C2" s="330" t="s">
        <v>55</v>
      </c>
      <c r="D2" s="330" t="s">
        <v>1367</v>
      </c>
      <c r="E2" s="330" t="s">
        <v>1368</v>
      </c>
      <c r="F2" s="2">
        <v>2025</v>
      </c>
      <c r="G2" s="324" t="s">
        <v>1369</v>
      </c>
      <c r="H2" t="s">
        <v>1370</v>
      </c>
      <c r="I2" t="s">
        <v>1371</v>
      </c>
      <c r="K2" t="s">
        <v>1372</v>
      </c>
    </row>
    <row r="3" spans="1:11" ht="14.45">
      <c r="A3" t="s">
        <v>9</v>
      </c>
      <c r="B3" t="s">
        <v>59</v>
      </c>
      <c r="C3" s="330" t="s">
        <v>60</v>
      </c>
      <c r="D3" s="330" t="s">
        <v>1373</v>
      </c>
      <c r="E3" s="330" t="s">
        <v>1374</v>
      </c>
      <c r="F3" s="2">
        <v>1</v>
      </c>
      <c r="G3" s="324" t="s">
        <v>1369</v>
      </c>
      <c r="H3" t="s">
        <v>1370</v>
      </c>
      <c r="I3" t="s">
        <v>1371</v>
      </c>
      <c r="K3" t="s">
        <v>1375</v>
      </c>
    </row>
    <row r="4" spans="1:11" ht="14.45">
      <c r="A4" t="s">
        <v>9</v>
      </c>
      <c r="B4" t="s">
        <v>62</v>
      </c>
      <c r="C4" s="330" t="s">
        <v>63</v>
      </c>
      <c r="D4" s="330" t="s">
        <v>1376</v>
      </c>
      <c r="E4" s="330" t="s">
        <v>1377</v>
      </c>
      <c r="F4" s="2">
        <v>2</v>
      </c>
      <c r="G4" s="324" t="s">
        <v>1369</v>
      </c>
      <c r="H4" t="s">
        <v>1370</v>
      </c>
      <c r="I4" t="s">
        <v>1371</v>
      </c>
    </row>
    <row r="5" spans="1:11" ht="14.45">
      <c r="A5" t="s">
        <v>9</v>
      </c>
      <c r="B5" t="s">
        <v>65</v>
      </c>
      <c r="C5" s="330" t="s">
        <v>66</v>
      </c>
      <c r="D5" s="330" t="s">
        <v>1378</v>
      </c>
      <c r="E5" s="330" t="s">
        <v>1379</v>
      </c>
      <c r="F5" s="2">
        <v>25</v>
      </c>
      <c r="G5" s="324" t="s">
        <v>1369</v>
      </c>
      <c r="H5" t="s">
        <v>1370</v>
      </c>
      <c r="I5" t="s">
        <v>1371</v>
      </c>
    </row>
    <row r="6" spans="1:11" ht="14.45">
      <c r="A6" t="s">
        <v>1380</v>
      </c>
      <c r="B6" t="s">
        <v>69</v>
      </c>
      <c r="C6" s="330" t="s">
        <v>71</v>
      </c>
      <c r="D6" s="330" t="s">
        <v>1381</v>
      </c>
      <c r="F6" s="2" t="s">
        <v>72</v>
      </c>
      <c r="G6" s="324" t="s">
        <v>1382</v>
      </c>
      <c r="H6" t="s">
        <v>1370</v>
      </c>
      <c r="I6" t="s">
        <v>1383</v>
      </c>
    </row>
    <row r="7" spans="1:11" ht="14.45">
      <c r="A7" t="s">
        <v>76</v>
      </c>
      <c r="B7" t="s">
        <v>77</v>
      </c>
      <c r="C7" s="330" t="s">
        <v>78</v>
      </c>
      <c r="D7" s="330" t="s">
        <v>1384</v>
      </c>
      <c r="F7" t="s">
        <v>79</v>
      </c>
      <c r="G7" s="324" t="s">
        <v>1369</v>
      </c>
      <c r="H7" t="s">
        <v>1385</v>
      </c>
      <c r="I7" t="s">
        <v>1371</v>
      </c>
    </row>
    <row r="8" spans="1:11" ht="14.45">
      <c r="A8" t="s">
        <v>11</v>
      </c>
      <c r="B8" t="s">
        <v>82</v>
      </c>
      <c r="C8" s="330" t="s">
        <v>83</v>
      </c>
      <c r="D8" s="330" t="s">
        <v>1386</v>
      </c>
      <c r="E8" s="330" t="s">
        <v>1387</v>
      </c>
      <c r="F8" t="s">
        <v>747</v>
      </c>
      <c r="G8" s="324" t="s">
        <v>1388</v>
      </c>
      <c r="H8" t="s">
        <v>1370</v>
      </c>
      <c r="I8" t="s">
        <v>1389</v>
      </c>
    </row>
    <row r="9" spans="1:11" ht="14.45">
      <c r="A9" t="s">
        <v>11</v>
      </c>
      <c r="B9" t="s">
        <v>86</v>
      </c>
      <c r="C9" s="330" t="s">
        <v>87</v>
      </c>
      <c r="D9" s="330" t="s">
        <v>1390</v>
      </c>
      <c r="E9" s="330" t="s">
        <v>1391</v>
      </c>
      <c r="F9" t="s">
        <v>752</v>
      </c>
      <c r="G9" s="324" t="s">
        <v>1369</v>
      </c>
      <c r="H9" t="s">
        <v>1370</v>
      </c>
      <c r="I9" t="s">
        <v>1371</v>
      </c>
    </row>
    <row r="10" spans="1:11" ht="14.45">
      <c r="A10" t="s">
        <v>11</v>
      </c>
      <c r="B10" t="s">
        <v>89</v>
      </c>
      <c r="C10" s="330" t="s">
        <v>90</v>
      </c>
      <c r="D10" s="330" t="s">
        <v>1392</v>
      </c>
      <c r="E10" s="330" t="s">
        <v>1393</v>
      </c>
      <c r="F10" t="s">
        <v>796</v>
      </c>
      <c r="G10" s="324" t="s">
        <v>1369</v>
      </c>
      <c r="H10" t="s">
        <v>1370</v>
      </c>
      <c r="I10" t="s">
        <v>1371</v>
      </c>
    </row>
    <row r="11" spans="1:11" ht="14.45">
      <c r="A11" t="s">
        <v>11</v>
      </c>
      <c r="B11" t="s">
        <v>94</v>
      </c>
      <c r="C11" s="330" t="s">
        <v>95</v>
      </c>
      <c r="D11" s="330" t="s">
        <v>1394</v>
      </c>
      <c r="E11" s="330" t="s">
        <v>1395</v>
      </c>
      <c r="F11" t="s">
        <v>96</v>
      </c>
      <c r="G11" s="324" t="s">
        <v>1369</v>
      </c>
      <c r="H11" t="s">
        <v>1370</v>
      </c>
      <c r="I11" t="s">
        <v>1371</v>
      </c>
    </row>
    <row r="12" spans="1:11" ht="14.45">
      <c r="A12" t="s">
        <v>11</v>
      </c>
      <c r="B12" t="s">
        <v>99</v>
      </c>
      <c r="C12" s="330" t="s">
        <v>100</v>
      </c>
      <c r="D12" s="330" t="s">
        <v>1396</v>
      </c>
      <c r="E12" s="330" t="s">
        <v>1397</v>
      </c>
      <c r="F12" t="s">
        <v>101</v>
      </c>
      <c r="G12" s="324" t="s">
        <v>1398</v>
      </c>
      <c r="H12" t="s">
        <v>1370</v>
      </c>
      <c r="I12" t="s">
        <v>1399</v>
      </c>
    </row>
    <row r="13" spans="1:11" ht="14.45">
      <c r="A13" t="s">
        <v>11</v>
      </c>
      <c r="B13" t="s">
        <v>105</v>
      </c>
      <c r="C13" s="330" t="s">
        <v>106</v>
      </c>
      <c r="D13" s="330" t="s">
        <v>1400</v>
      </c>
      <c r="E13" s="330" t="s">
        <v>1401</v>
      </c>
      <c r="F13" t="s">
        <v>107</v>
      </c>
      <c r="G13" s="324" t="s">
        <v>1369</v>
      </c>
      <c r="H13" t="s">
        <v>1370</v>
      </c>
      <c r="I13" t="s">
        <v>1371</v>
      </c>
    </row>
    <row r="14" spans="1:11" ht="14.45">
      <c r="A14" t="s">
        <v>6</v>
      </c>
      <c r="B14" t="s">
        <v>109</v>
      </c>
      <c r="C14" s="330" t="s">
        <v>111</v>
      </c>
      <c r="D14" s="333" t="s">
        <v>1402</v>
      </c>
      <c r="E14" s="333" t="s">
        <v>1403</v>
      </c>
      <c r="F14" t="s">
        <v>401</v>
      </c>
      <c r="G14" s="324" t="s">
        <v>1369</v>
      </c>
      <c r="H14" t="s">
        <v>1404</v>
      </c>
      <c r="I14" t="s">
        <v>1371</v>
      </c>
    </row>
    <row r="15" spans="1:11" ht="14.45">
      <c r="A15" t="s">
        <v>6</v>
      </c>
      <c r="B15" t="s">
        <v>114</v>
      </c>
      <c r="C15" s="330" t="s">
        <v>115</v>
      </c>
      <c r="D15" s="333" t="s">
        <v>1405</v>
      </c>
      <c r="E15" s="333" t="s">
        <v>1406</v>
      </c>
      <c r="F15" t="s">
        <v>1407</v>
      </c>
      <c r="G15" s="324" t="s">
        <v>1369</v>
      </c>
      <c r="H15" t="s">
        <v>1404</v>
      </c>
      <c r="I15" t="s">
        <v>1371</v>
      </c>
    </row>
    <row r="16" spans="1:11" ht="14.45">
      <c r="A16" t="s">
        <v>1380</v>
      </c>
      <c r="B16" t="s">
        <v>119</v>
      </c>
      <c r="C16" s="330" t="s">
        <v>121</v>
      </c>
      <c r="D16" s="334" t="s">
        <v>1408</v>
      </c>
      <c r="E16" s="334" t="s">
        <v>1409</v>
      </c>
      <c r="F16" t="s">
        <v>1410</v>
      </c>
      <c r="G16" s="324" t="s">
        <v>1382</v>
      </c>
      <c r="H16" t="s">
        <v>1370</v>
      </c>
      <c r="I16" t="s">
        <v>1383</v>
      </c>
    </row>
    <row r="17" spans="1:10" ht="14.45">
      <c r="A17" t="s">
        <v>1380</v>
      </c>
      <c r="B17" t="s">
        <v>123</v>
      </c>
      <c r="C17" s="330" t="s">
        <v>124</v>
      </c>
      <c r="D17" s="334" t="s">
        <v>1411</v>
      </c>
      <c r="E17" s="334" t="s">
        <v>1412</v>
      </c>
      <c r="F17" t="s">
        <v>1413</v>
      </c>
      <c r="G17" s="324" t="s">
        <v>1382</v>
      </c>
      <c r="H17" t="s">
        <v>1370</v>
      </c>
      <c r="I17" t="s">
        <v>1383</v>
      </c>
    </row>
    <row r="18" spans="1:10" ht="14.45">
      <c r="A18" t="s">
        <v>11</v>
      </c>
      <c r="B18" t="s">
        <v>126</v>
      </c>
      <c r="C18" s="330" t="s">
        <v>127</v>
      </c>
      <c r="D18" s="330" t="s">
        <v>1414</v>
      </c>
      <c r="E18" s="330" t="s">
        <v>1415</v>
      </c>
      <c r="F18" t="s">
        <v>1416</v>
      </c>
      <c r="G18" s="324" t="s">
        <v>1388</v>
      </c>
      <c r="H18" t="s">
        <v>1370</v>
      </c>
      <c r="I18" t="s">
        <v>1389</v>
      </c>
    </row>
    <row r="19" spans="1:10" ht="14.45">
      <c r="A19" t="s">
        <v>8</v>
      </c>
      <c r="B19" t="s">
        <v>130</v>
      </c>
      <c r="C19" s="330" t="s">
        <v>1417</v>
      </c>
      <c r="D19" s="330" t="s">
        <v>1418</v>
      </c>
      <c r="E19" s="330" t="s">
        <v>1419</v>
      </c>
      <c r="F19" t="s">
        <v>1420</v>
      </c>
      <c r="G19" s="324" t="s">
        <v>1421</v>
      </c>
      <c r="H19" t="s">
        <v>1370</v>
      </c>
      <c r="I19" t="s">
        <v>1422</v>
      </c>
      <c r="J19" t="s">
        <v>1423</v>
      </c>
    </row>
    <row r="20" spans="1:10" ht="43.5">
      <c r="A20" t="s">
        <v>8</v>
      </c>
      <c r="B20" t="s">
        <v>135</v>
      </c>
      <c r="C20" s="330" t="s">
        <v>137</v>
      </c>
      <c r="D20" s="333" t="s">
        <v>1424</v>
      </c>
      <c r="E20" s="339" t="s">
        <v>1425</v>
      </c>
      <c r="F20" t="s">
        <v>1426</v>
      </c>
      <c r="G20" s="324" t="s">
        <v>1421</v>
      </c>
      <c r="H20" t="s">
        <v>1370</v>
      </c>
      <c r="I20" t="s">
        <v>1422</v>
      </c>
    </row>
    <row r="21" spans="1:10" ht="14.45">
      <c r="A21" t="s">
        <v>5</v>
      </c>
      <c r="B21" t="s">
        <v>140</v>
      </c>
      <c r="C21" s="330" t="s">
        <v>142</v>
      </c>
      <c r="D21" s="330" t="s">
        <v>1427</v>
      </c>
      <c r="E21" s="330" t="s">
        <v>1428</v>
      </c>
      <c r="F21" t="s">
        <v>143</v>
      </c>
      <c r="G21" s="324" t="s">
        <v>1421</v>
      </c>
      <c r="H21" t="s">
        <v>1429</v>
      </c>
      <c r="I21" t="s">
        <v>1422</v>
      </c>
    </row>
    <row r="22" spans="1:10" ht="14.45">
      <c r="A22" t="s">
        <v>5</v>
      </c>
      <c r="B22" t="s">
        <v>146</v>
      </c>
      <c r="C22" s="330" t="s">
        <v>148</v>
      </c>
      <c r="D22" s="330" t="s">
        <v>1430</v>
      </c>
      <c r="E22" s="330" t="s">
        <v>1431</v>
      </c>
      <c r="F22" t="s">
        <v>149</v>
      </c>
      <c r="G22" s="324" t="s">
        <v>1421</v>
      </c>
      <c r="H22" t="s">
        <v>1429</v>
      </c>
      <c r="I22" t="s">
        <v>1422</v>
      </c>
    </row>
    <row r="23" spans="1:10" ht="14.45">
      <c r="A23" t="s">
        <v>13</v>
      </c>
      <c r="B23" t="s">
        <v>151</v>
      </c>
      <c r="C23" s="330" t="s">
        <v>153</v>
      </c>
      <c r="D23" s="330" t="s">
        <v>1432</v>
      </c>
      <c r="E23" s="330" t="s">
        <v>1433</v>
      </c>
      <c r="F23" t="s">
        <v>1434</v>
      </c>
      <c r="G23" s="324" t="s">
        <v>1421</v>
      </c>
      <c r="H23" t="s">
        <v>1370</v>
      </c>
      <c r="I23" t="s">
        <v>1422</v>
      </c>
    </row>
    <row r="24" spans="1:10" ht="14.45">
      <c r="A24" t="s">
        <v>13</v>
      </c>
      <c r="B24" t="s">
        <v>156</v>
      </c>
      <c r="C24" s="330" t="s">
        <v>158</v>
      </c>
      <c r="D24" s="330" t="s">
        <v>1435</v>
      </c>
      <c r="E24" s="330" t="s">
        <v>1436</v>
      </c>
      <c r="F24" t="s">
        <v>1437</v>
      </c>
      <c r="G24" s="324" t="s">
        <v>1421</v>
      </c>
      <c r="H24" t="s">
        <v>1370</v>
      </c>
      <c r="I24" t="s">
        <v>1422</v>
      </c>
    </row>
    <row r="25" spans="1:10" ht="14.45">
      <c r="A25" t="s">
        <v>9</v>
      </c>
      <c r="B25" t="s">
        <v>161</v>
      </c>
      <c r="C25" s="330" t="s">
        <v>163</v>
      </c>
      <c r="D25" s="333" t="s">
        <v>1438</v>
      </c>
      <c r="E25" s="333" t="s">
        <v>1439</v>
      </c>
      <c r="F25" t="s">
        <v>578</v>
      </c>
      <c r="G25" s="324" t="s">
        <v>1369</v>
      </c>
      <c r="H25" t="s">
        <v>1370</v>
      </c>
      <c r="I25" t="s">
        <v>1371</v>
      </c>
    </row>
    <row r="26" spans="1:10" ht="14.45">
      <c r="A26" t="s">
        <v>9</v>
      </c>
      <c r="B26" t="s">
        <v>166</v>
      </c>
      <c r="C26" s="330" t="s">
        <v>167</v>
      </c>
      <c r="D26" s="333" t="s">
        <v>1440</v>
      </c>
      <c r="E26" s="333" t="s">
        <v>1441</v>
      </c>
      <c r="F26" t="s">
        <v>1442</v>
      </c>
      <c r="G26" s="324" t="s">
        <v>1369</v>
      </c>
      <c r="H26" t="s">
        <v>1370</v>
      </c>
      <c r="I26" t="s">
        <v>1371</v>
      </c>
    </row>
    <row r="27" spans="1:10" ht="14.45">
      <c r="A27" t="s">
        <v>8</v>
      </c>
      <c r="B27" t="s">
        <v>170</v>
      </c>
      <c r="C27" s="330" t="s">
        <v>172</v>
      </c>
      <c r="D27" s="333" t="s">
        <v>1443</v>
      </c>
      <c r="E27" s="333" t="s">
        <v>1444</v>
      </c>
      <c r="F27" t="s">
        <v>1445</v>
      </c>
      <c r="G27" s="324" t="s">
        <v>1421</v>
      </c>
      <c r="H27" t="s">
        <v>1370</v>
      </c>
      <c r="I27" t="s">
        <v>1422</v>
      </c>
    </row>
    <row r="28" spans="1:10" ht="14.45">
      <c r="A28" t="s">
        <v>10</v>
      </c>
      <c r="B28" t="s">
        <v>174</v>
      </c>
      <c r="C28" s="330" t="s">
        <v>176</v>
      </c>
      <c r="D28" s="333" t="s">
        <v>1446</v>
      </c>
      <c r="E28" s="332" t="s">
        <v>1447</v>
      </c>
      <c r="F28" t="s">
        <v>1448</v>
      </c>
      <c r="G28" s="324" t="s">
        <v>1421</v>
      </c>
      <c r="H28" t="s">
        <v>1370</v>
      </c>
      <c r="I28" t="s">
        <v>1422</v>
      </c>
    </row>
    <row r="29" spans="1:10" ht="14.45">
      <c r="A29" t="s">
        <v>10</v>
      </c>
      <c r="B29" t="s">
        <v>180</v>
      </c>
      <c r="C29" s="330" t="s">
        <v>182</v>
      </c>
      <c r="D29" s="407" t="s">
        <v>1449</v>
      </c>
      <c r="E29" s="407"/>
      <c r="F29" t="s">
        <v>1450</v>
      </c>
      <c r="G29" s="324" t="s">
        <v>1421</v>
      </c>
      <c r="H29" t="s">
        <v>1370</v>
      </c>
      <c r="I29" t="s">
        <v>1422</v>
      </c>
    </row>
    <row r="30" spans="1:10" ht="14.45">
      <c r="A30" t="s">
        <v>10</v>
      </c>
      <c r="B30" t="s">
        <v>185</v>
      </c>
      <c r="C30" s="330" t="s">
        <v>186</v>
      </c>
      <c r="D30" s="333" t="s">
        <v>1451</v>
      </c>
      <c r="E30" s="333" t="s">
        <v>1452</v>
      </c>
      <c r="F30" t="s">
        <v>1453</v>
      </c>
      <c r="G30" s="324" t="s">
        <v>1421</v>
      </c>
      <c r="H30" t="s">
        <v>1370</v>
      </c>
      <c r="I30" t="s">
        <v>1422</v>
      </c>
    </row>
    <row r="31" spans="1:10" ht="14.45">
      <c r="A31" t="s">
        <v>10</v>
      </c>
      <c r="B31" t="s">
        <v>188</v>
      </c>
      <c r="C31" s="330" t="s">
        <v>190</v>
      </c>
      <c r="D31" s="333" t="s">
        <v>1451</v>
      </c>
      <c r="E31" s="333" t="s">
        <v>1452</v>
      </c>
      <c r="F31" t="s">
        <v>1454</v>
      </c>
      <c r="G31" s="324" t="s">
        <v>1421</v>
      </c>
      <c r="H31" t="s">
        <v>1370</v>
      </c>
      <c r="I31" t="s">
        <v>1422</v>
      </c>
    </row>
    <row r="32" spans="1:10" ht="14.45">
      <c r="A32" t="s">
        <v>8</v>
      </c>
      <c r="B32" t="s">
        <v>192</v>
      </c>
      <c r="C32" s="330" t="s">
        <v>194</v>
      </c>
      <c r="D32" s="333" t="s">
        <v>1455</v>
      </c>
      <c r="E32" s="333" t="s">
        <v>1456</v>
      </c>
      <c r="F32" t="s">
        <v>1445</v>
      </c>
      <c r="G32" s="324" t="s">
        <v>1421</v>
      </c>
      <c r="H32" t="s">
        <v>1370</v>
      </c>
      <c r="I32" t="s">
        <v>1422</v>
      </c>
    </row>
    <row r="33" spans="1:9" ht="14.45">
      <c r="A33" t="s">
        <v>8</v>
      </c>
      <c r="B33" t="s">
        <v>197</v>
      </c>
      <c r="C33" s="330" t="s">
        <v>199</v>
      </c>
      <c r="D33" s="333" t="s">
        <v>1457</v>
      </c>
      <c r="E33" s="333" t="s">
        <v>1458</v>
      </c>
      <c r="F33" t="s">
        <v>1453</v>
      </c>
      <c r="G33" s="324" t="s">
        <v>1421</v>
      </c>
      <c r="H33" t="s">
        <v>1370</v>
      </c>
      <c r="I33" t="s">
        <v>1422</v>
      </c>
    </row>
    <row r="34" spans="1:9" ht="14.45">
      <c r="A34" t="s">
        <v>8</v>
      </c>
      <c r="B34" t="s">
        <v>201</v>
      </c>
      <c r="C34" s="330" t="s">
        <v>203</v>
      </c>
      <c r="D34" s="333" t="s">
        <v>1459</v>
      </c>
      <c r="E34" s="333" t="s">
        <v>1460</v>
      </c>
      <c r="F34" t="s">
        <v>1461</v>
      </c>
      <c r="G34" s="324" t="s">
        <v>1421</v>
      </c>
      <c r="H34" t="s">
        <v>1370</v>
      </c>
      <c r="I34" t="s">
        <v>1422</v>
      </c>
    </row>
    <row r="35" spans="1:9" ht="14.45">
      <c r="A35" t="s">
        <v>8</v>
      </c>
      <c r="B35" t="s">
        <v>206</v>
      </c>
      <c r="C35" s="330" t="s">
        <v>207</v>
      </c>
      <c r="D35" s="333" t="s">
        <v>1459</v>
      </c>
      <c r="E35" s="333" t="s">
        <v>1460</v>
      </c>
      <c r="F35" t="s">
        <v>1453</v>
      </c>
      <c r="G35" s="324" t="s">
        <v>1421</v>
      </c>
      <c r="H35" t="s">
        <v>1370</v>
      </c>
      <c r="I35" t="s">
        <v>1422</v>
      </c>
    </row>
    <row r="36" spans="1:9" ht="14.45">
      <c r="A36" t="s">
        <v>8</v>
      </c>
      <c r="B36" t="s">
        <v>210</v>
      </c>
      <c r="C36" s="330" t="s">
        <v>212</v>
      </c>
      <c r="D36" s="333" t="s">
        <v>1462</v>
      </c>
      <c r="E36" s="333" t="s">
        <v>1463</v>
      </c>
      <c r="F36" t="s">
        <v>1453</v>
      </c>
      <c r="G36" s="324" t="s">
        <v>1421</v>
      </c>
      <c r="H36" t="s">
        <v>1370</v>
      </c>
      <c r="I36" t="s">
        <v>1422</v>
      </c>
    </row>
    <row r="37" spans="1:9" ht="14.45">
      <c r="A37" t="s">
        <v>8</v>
      </c>
      <c r="B37" t="s">
        <v>214</v>
      </c>
      <c r="C37" s="330" t="s">
        <v>216</v>
      </c>
      <c r="D37" s="333" t="s">
        <v>1464</v>
      </c>
      <c r="E37" s="333" t="s">
        <v>1465</v>
      </c>
      <c r="F37" t="s">
        <v>1453</v>
      </c>
      <c r="G37" s="324" t="s">
        <v>1421</v>
      </c>
      <c r="H37" t="s">
        <v>1370</v>
      </c>
      <c r="I37" t="s">
        <v>1422</v>
      </c>
    </row>
    <row r="38" spans="1:9" ht="14.45">
      <c r="A38" t="s">
        <v>8</v>
      </c>
      <c r="B38" t="s">
        <v>220</v>
      </c>
      <c r="C38" s="330" t="s">
        <v>221</v>
      </c>
      <c r="D38" s="333" t="s">
        <v>1466</v>
      </c>
      <c r="E38" s="333" t="s">
        <v>1467</v>
      </c>
      <c r="F38" t="s">
        <v>1453</v>
      </c>
      <c r="G38" s="324" t="s">
        <v>1421</v>
      </c>
      <c r="H38" t="s">
        <v>1370</v>
      </c>
      <c r="I38" t="s">
        <v>1422</v>
      </c>
    </row>
    <row r="39" spans="1:9" ht="14.45">
      <c r="A39" t="s">
        <v>8</v>
      </c>
      <c r="B39" t="s">
        <v>224</v>
      </c>
      <c r="C39" s="330" t="s">
        <v>226</v>
      </c>
      <c r="D39" s="333" t="s">
        <v>1459</v>
      </c>
      <c r="E39" s="333" t="s">
        <v>1460</v>
      </c>
      <c r="F39" t="s">
        <v>1468</v>
      </c>
      <c r="G39" s="324" t="s">
        <v>1421</v>
      </c>
      <c r="H39" t="s">
        <v>1370</v>
      </c>
      <c r="I39" t="s">
        <v>1422</v>
      </c>
    </row>
    <row r="40" spans="1:9" ht="14.45">
      <c r="A40" t="s">
        <v>8</v>
      </c>
      <c r="B40" t="s">
        <v>229</v>
      </c>
      <c r="C40" s="330" t="s">
        <v>230</v>
      </c>
      <c r="D40" s="333" t="s">
        <v>1459</v>
      </c>
      <c r="E40" s="333" t="s">
        <v>1460</v>
      </c>
      <c r="F40" t="s">
        <v>1453</v>
      </c>
      <c r="G40" s="324" t="s">
        <v>1421</v>
      </c>
      <c r="H40" t="s">
        <v>1370</v>
      </c>
      <c r="I40" t="s">
        <v>1422</v>
      </c>
    </row>
    <row r="41" spans="1:9" ht="14.45">
      <c r="A41" t="s">
        <v>232</v>
      </c>
      <c r="B41" t="s">
        <v>233</v>
      </c>
      <c r="C41" s="330" t="s">
        <v>234</v>
      </c>
      <c r="D41" s="333" t="s">
        <v>1459</v>
      </c>
      <c r="E41" s="333" t="s">
        <v>1460</v>
      </c>
      <c r="F41" t="s">
        <v>1469</v>
      </c>
      <c r="G41" s="324" t="s">
        <v>1421</v>
      </c>
      <c r="H41" t="s">
        <v>1370</v>
      </c>
      <c r="I41" t="s">
        <v>1422</v>
      </c>
    </row>
    <row r="42" spans="1:9" ht="14.45">
      <c r="A42" t="s">
        <v>232</v>
      </c>
      <c r="B42" t="s">
        <v>237</v>
      </c>
      <c r="C42" s="330" t="s">
        <v>238</v>
      </c>
      <c r="D42" s="333" t="s">
        <v>1459</v>
      </c>
      <c r="E42" s="333" t="s">
        <v>1460</v>
      </c>
      <c r="F42" t="s">
        <v>1453</v>
      </c>
      <c r="G42" s="324" t="s">
        <v>1421</v>
      </c>
      <c r="H42" t="s">
        <v>1370</v>
      </c>
      <c r="I42" t="s">
        <v>1422</v>
      </c>
    </row>
    <row r="43" spans="1:9" ht="14.45">
      <c r="A43" t="s">
        <v>232</v>
      </c>
      <c r="B43" t="s">
        <v>240</v>
      </c>
      <c r="C43" s="330" t="s">
        <v>241</v>
      </c>
      <c r="D43" s="333" t="s">
        <v>1470</v>
      </c>
      <c r="E43" s="333" t="s">
        <v>1471</v>
      </c>
      <c r="F43" t="s">
        <v>1472</v>
      </c>
      <c r="G43" s="324" t="s">
        <v>1421</v>
      </c>
      <c r="H43" t="s">
        <v>1370</v>
      </c>
      <c r="I43" t="s">
        <v>1422</v>
      </c>
    </row>
    <row r="44" spans="1:9" ht="14.45">
      <c r="A44" t="s">
        <v>232</v>
      </c>
      <c r="B44" t="s">
        <v>244</v>
      </c>
      <c r="C44" s="330" t="s">
        <v>245</v>
      </c>
      <c r="D44" s="333" t="s">
        <v>1470</v>
      </c>
      <c r="E44" s="333" t="s">
        <v>1471</v>
      </c>
      <c r="F44" t="s">
        <v>1473</v>
      </c>
      <c r="G44" s="324" t="s">
        <v>1421</v>
      </c>
      <c r="H44" t="s">
        <v>1370</v>
      </c>
      <c r="I44" t="s">
        <v>1422</v>
      </c>
    </row>
    <row r="45" spans="1:9" ht="14.45">
      <c r="A45" t="s">
        <v>9</v>
      </c>
      <c r="B45" t="s">
        <v>247</v>
      </c>
      <c r="C45" s="330" t="s">
        <v>249</v>
      </c>
      <c r="D45" s="333" t="s">
        <v>1474</v>
      </c>
      <c r="E45" s="333" t="s">
        <v>1475</v>
      </c>
      <c r="F45" s="2" t="s">
        <v>250</v>
      </c>
      <c r="G45" s="324" t="s">
        <v>1369</v>
      </c>
      <c r="H45" t="s">
        <v>1370</v>
      </c>
      <c r="I45" t="s">
        <v>1476</v>
      </c>
    </row>
    <row r="46" spans="1:9" ht="14.45">
      <c r="A46" t="s">
        <v>4</v>
      </c>
      <c r="B46" t="s">
        <v>252</v>
      </c>
      <c r="C46" s="330" t="s">
        <v>254</v>
      </c>
      <c r="D46" s="330" t="s">
        <v>1477</v>
      </c>
      <c r="E46" s="330" t="s">
        <v>1478</v>
      </c>
      <c r="F46" t="s">
        <v>1479</v>
      </c>
      <c r="G46" s="324" t="s">
        <v>1388</v>
      </c>
      <c r="H46" t="s">
        <v>1370</v>
      </c>
      <c r="I46" t="s">
        <v>1389</v>
      </c>
    </row>
    <row r="47" spans="1:9" ht="14.45">
      <c r="A47" t="s">
        <v>5</v>
      </c>
      <c r="B47" t="s">
        <v>258</v>
      </c>
      <c r="C47" s="330" t="s">
        <v>259</v>
      </c>
      <c r="D47" s="330" t="s">
        <v>1480</v>
      </c>
      <c r="E47" s="330" t="s">
        <v>1481</v>
      </c>
      <c r="F47" t="s">
        <v>260</v>
      </c>
      <c r="G47" s="324" t="s">
        <v>1369</v>
      </c>
      <c r="H47" t="s">
        <v>1429</v>
      </c>
      <c r="I47" t="s">
        <v>1371</v>
      </c>
    </row>
    <row r="48" spans="1:9" ht="14.45">
      <c r="A48" t="s">
        <v>5</v>
      </c>
      <c r="B48" t="s">
        <v>263</v>
      </c>
      <c r="C48" s="330" t="s">
        <v>264</v>
      </c>
      <c r="D48" s="330" t="s">
        <v>1482</v>
      </c>
      <c r="E48" s="330" t="s">
        <v>1483</v>
      </c>
      <c r="F48" t="s">
        <v>265</v>
      </c>
      <c r="G48" s="324" t="s">
        <v>1388</v>
      </c>
      <c r="H48" t="s">
        <v>1429</v>
      </c>
      <c r="I48" t="s">
        <v>1389</v>
      </c>
    </row>
    <row r="49" spans="1:9" ht="14.45">
      <c r="A49" t="s">
        <v>5</v>
      </c>
      <c r="B49" t="s">
        <v>268</v>
      </c>
      <c r="C49" s="330" t="s">
        <v>270</v>
      </c>
      <c r="D49" s="330" t="s">
        <v>1484</v>
      </c>
      <c r="E49" s="330" t="s">
        <v>1485</v>
      </c>
      <c r="G49" s="324" t="s">
        <v>1369</v>
      </c>
      <c r="H49" t="s">
        <v>1429</v>
      </c>
      <c r="I49" t="s">
        <v>1371</v>
      </c>
    </row>
    <row r="50" spans="1:9" ht="14.45">
      <c r="A50" t="s">
        <v>12</v>
      </c>
      <c r="B50" t="s">
        <v>273</v>
      </c>
      <c r="C50" s="330" t="s">
        <v>275</v>
      </c>
      <c r="D50" s="334" t="s">
        <v>1486</v>
      </c>
      <c r="E50" s="334" t="s">
        <v>1487</v>
      </c>
      <c r="F50" t="s">
        <v>1488</v>
      </c>
      <c r="G50" s="324" t="s">
        <v>1369</v>
      </c>
      <c r="H50" t="s">
        <v>1489</v>
      </c>
      <c r="I50" t="s">
        <v>1371</v>
      </c>
    </row>
    <row r="51" spans="1:9" ht="14.45">
      <c r="A51" t="s">
        <v>12</v>
      </c>
      <c r="B51" t="s">
        <v>278</v>
      </c>
      <c r="C51" s="330" t="s">
        <v>280</v>
      </c>
      <c r="D51" s="330" t="s">
        <v>1490</v>
      </c>
      <c r="E51" s="330" t="s">
        <v>1491</v>
      </c>
      <c r="G51" s="324" t="s">
        <v>1388</v>
      </c>
      <c r="H51" t="s">
        <v>1489</v>
      </c>
      <c r="I51" t="s">
        <v>1389</v>
      </c>
    </row>
    <row r="52" spans="1:9" ht="14.45">
      <c r="A52" t="s">
        <v>12</v>
      </c>
      <c r="B52" t="s">
        <v>282</v>
      </c>
      <c r="C52" s="330" t="s">
        <v>283</v>
      </c>
      <c r="D52" s="333" t="s">
        <v>1492</v>
      </c>
      <c r="E52" s="333" t="s">
        <v>1493</v>
      </c>
      <c r="G52" s="324" t="s">
        <v>1388</v>
      </c>
      <c r="H52" t="s">
        <v>1489</v>
      </c>
      <c r="I52" t="s">
        <v>1389</v>
      </c>
    </row>
    <row r="53" spans="1:9" ht="14.45">
      <c r="A53" t="s">
        <v>12</v>
      </c>
      <c r="B53" t="s">
        <v>285</v>
      </c>
      <c r="C53" s="330" t="s">
        <v>286</v>
      </c>
      <c r="D53" s="330" t="s">
        <v>1494</v>
      </c>
      <c r="E53" s="338" t="s">
        <v>1495</v>
      </c>
      <c r="F53" t="s">
        <v>287</v>
      </c>
      <c r="G53" s="324" t="s">
        <v>1369</v>
      </c>
      <c r="H53" t="s">
        <v>1489</v>
      </c>
      <c r="I53" t="s">
        <v>1371</v>
      </c>
    </row>
    <row r="54" spans="1:9" ht="14.45">
      <c r="A54" t="s">
        <v>12</v>
      </c>
      <c r="B54" t="s">
        <v>290</v>
      </c>
      <c r="C54" s="330" t="s">
        <v>291</v>
      </c>
      <c r="D54" s="330" t="s">
        <v>1496</v>
      </c>
      <c r="E54" s="330" t="s">
        <v>1497</v>
      </c>
      <c r="F54" t="s">
        <v>292</v>
      </c>
      <c r="G54" s="324" t="s">
        <v>1369</v>
      </c>
      <c r="H54" t="s">
        <v>1489</v>
      </c>
      <c r="I54" t="s">
        <v>1371</v>
      </c>
    </row>
    <row r="55" spans="1:9" ht="14.45">
      <c r="A55" t="s">
        <v>12</v>
      </c>
      <c r="B55" t="s">
        <v>295</v>
      </c>
      <c r="C55" s="330" t="s">
        <v>296</v>
      </c>
      <c r="D55" s="330" t="s">
        <v>1498</v>
      </c>
      <c r="E55" s="338" t="s">
        <v>1499</v>
      </c>
      <c r="F55" t="s">
        <v>297</v>
      </c>
      <c r="G55" s="324" t="s">
        <v>1369</v>
      </c>
      <c r="H55" t="s">
        <v>1489</v>
      </c>
      <c r="I55" t="s">
        <v>1371</v>
      </c>
    </row>
    <row r="56" spans="1:9" ht="14.45">
      <c r="A56" t="s">
        <v>12</v>
      </c>
      <c r="B56" t="s">
        <v>300</v>
      </c>
      <c r="C56" s="330" t="s">
        <v>301</v>
      </c>
      <c r="D56" s="330" t="s">
        <v>1500</v>
      </c>
      <c r="E56" s="338" t="s">
        <v>1501</v>
      </c>
      <c r="F56" t="s">
        <v>302</v>
      </c>
      <c r="G56" s="324" t="s">
        <v>1369</v>
      </c>
      <c r="H56" t="s">
        <v>1489</v>
      </c>
      <c r="I56" t="s">
        <v>1371</v>
      </c>
    </row>
    <row r="57" spans="1:9" ht="14.45">
      <c r="A57" t="s">
        <v>12</v>
      </c>
      <c r="B57" t="s">
        <v>305</v>
      </c>
      <c r="C57" s="330" t="s">
        <v>306</v>
      </c>
      <c r="D57" s="334" t="s">
        <v>1502</v>
      </c>
      <c r="E57" s="334" t="s">
        <v>1503</v>
      </c>
      <c r="G57" s="324" t="s">
        <v>1369</v>
      </c>
      <c r="H57" t="s">
        <v>1489</v>
      </c>
      <c r="I57" t="s">
        <v>1371</v>
      </c>
    </row>
    <row r="58" spans="1:9" ht="14.45">
      <c r="A58" t="s">
        <v>12</v>
      </c>
      <c r="B58" t="s">
        <v>309</v>
      </c>
      <c r="C58" s="330" t="s">
        <v>310</v>
      </c>
      <c r="D58" s="334" t="s">
        <v>1504</v>
      </c>
      <c r="E58" s="334" t="s">
        <v>1505</v>
      </c>
      <c r="G58" s="324" t="s">
        <v>1369</v>
      </c>
      <c r="H58" t="s">
        <v>1489</v>
      </c>
      <c r="I58" t="s">
        <v>1371</v>
      </c>
    </row>
    <row r="59" spans="1:9" ht="14.45">
      <c r="A59" t="s">
        <v>9</v>
      </c>
      <c r="B59" t="s">
        <v>54</v>
      </c>
      <c r="C59" s="330" t="s">
        <v>55</v>
      </c>
      <c r="D59" s="330" t="s">
        <v>1367</v>
      </c>
      <c r="E59" s="330" t="s">
        <v>1368</v>
      </c>
      <c r="F59" t="s">
        <v>1506</v>
      </c>
      <c r="G59" s="324" t="s">
        <v>1382</v>
      </c>
      <c r="H59" t="s">
        <v>1370</v>
      </c>
      <c r="I59" t="s">
        <v>1507</v>
      </c>
    </row>
    <row r="60" spans="1:9" ht="14.45">
      <c r="A60" t="s">
        <v>9</v>
      </c>
      <c r="B60" t="s">
        <v>59</v>
      </c>
      <c r="C60" s="330" t="s">
        <v>60</v>
      </c>
      <c r="D60" s="330" t="s">
        <v>1373</v>
      </c>
      <c r="E60" s="330" t="s">
        <v>1374</v>
      </c>
      <c r="F60" t="s">
        <v>1506</v>
      </c>
      <c r="G60" s="324" t="s">
        <v>1382</v>
      </c>
      <c r="H60" t="s">
        <v>1370</v>
      </c>
      <c r="I60" t="s">
        <v>1507</v>
      </c>
    </row>
    <row r="61" spans="1:9" ht="14.45">
      <c r="A61" t="s">
        <v>9</v>
      </c>
      <c r="B61" t="s">
        <v>62</v>
      </c>
      <c r="C61" s="330" t="s">
        <v>63</v>
      </c>
      <c r="D61" s="330" t="s">
        <v>1376</v>
      </c>
      <c r="E61" s="330" t="s">
        <v>1377</v>
      </c>
      <c r="F61" t="s">
        <v>1506</v>
      </c>
      <c r="G61" s="324" t="s">
        <v>1382</v>
      </c>
      <c r="H61" t="s">
        <v>1370</v>
      </c>
      <c r="I61" t="s">
        <v>1507</v>
      </c>
    </row>
    <row r="62" spans="1:9" ht="14.45">
      <c r="A62" t="s">
        <v>9</v>
      </c>
      <c r="B62" t="s">
        <v>65</v>
      </c>
      <c r="C62" s="330" t="s">
        <v>66</v>
      </c>
      <c r="D62" s="330" t="s">
        <v>1378</v>
      </c>
      <c r="E62" s="330" t="s">
        <v>1379</v>
      </c>
      <c r="F62" t="s">
        <v>1506</v>
      </c>
      <c r="G62" s="324" t="s">
        <v>1382</v>
      </c>
      <c r="H62" t="s">
        <v>1370</v>
      </c>
      <c r="I62" t="s">
        <v>1507</v>
      </c>
    </row>
    <row r="63" spans="1:9" ht="14.45">
      <c r="A63" t="s">
        <v>12</v>
      </c>
      <c r="B63" t="s">
        <v>312</v>
      </c>
      <c r="C63" s="330" t="s">
        <v>313</v>
      </c>
      <c r="D63" s="333" t="s">
        <v>1508</v>
      </c>
      <c r="E63" s="333" t="s">
        <v>1509</v>
      </c>
      <c r="F63" t="s">
        <v>314</v>
      </c>
      <c r="G63" s="324" t="s">
        <v>1369</v>
      </c>
      <c r="H63" t="s">
        <v>1489</v>
      </c>
      <c r="I63" t="s">
        <v>1510</v>
      </c>
    </row>
    <row r="64" spans="1:9" ht="14.45">
      <c r="A64" t="s">
        <v>12</v>
      </c>
      <c r="B64" t="s">
        <v>317</v>
      </c>
      <c r="C64" s="330" t="s">
        <v>318</v>
      </c>
      <c r="D64" s="333" t="s">
        <v>1511</v>
      </c>
      <c r="E64" s="333" t="s">
        <v>1512</v>
      </c>
      <c r="F64" t="s">
        <v>319</v>
      </c>
      <c r="G64" s="324" t="s">
        <v>1369</v>
      </c>
      <c r="H64" t="s">
        <v>1489</v>
      </c>
      <c r="I64" t="s">
        <v>1510</v>
      </c>
    </row>
    <row r="65" spans="1:9" ht="14.45">
      <c r="A65" t="s">
        <v>12</v>
      </c>
      <c r="B65" t="s">
        <v>1513</v>
      </c>
      <c r="C65" s="330" t="s">
        <v>323</v>
      </c>
      <c r="D65" s="334" t="s">
        <v>1514</v>
      </c>
      <c r="E65" s="334" t="s">
        <v>1515</v>
      </c>
      <c r="F65" t="s">
        <v>324</v>
      </c>
      <c r="G65" s="324" t="s">
        <v>1369</v>
      </c>
      <c r="H65" t="s">
        <v>1489</v>
      </c>
      <c r="I65" t="s">
        <v>1510</v>
      </c>
    </row>
    <row r="66" spans="1:9" ht="14.45">
      <c r="A66" t="s">
        <v>12</v>
      </c>
      <c r="B66" t="s">
        <v>327</v>
      </c>
      <c r="C66" s="330" t="s">
        <v>328</v>
      </c>
      <c r="D66" s="334" t="s">
        <v>1516</v>
      </c>
      <c r="E66" s="334" t="s">
        <v>1517</v>
      </c>
      <c r="F66" t="s">
        <v>324</v>
      </c>
      <c r="G66" s="324" t="s">
        <v>1369</v>
      </c>
      <c r="H66" t="s">
        <v>1489</v>
      </c>
      <c r="I66" t="s">
        <v>1510</v>
      </c>
    </row>
    <row r="67" spans="1:9" ht="14.45">
      <c r="A67" t="s">
        <v>12</v>
      </c>
      <c r="B67" t="s">
        <v>331</v>
      </c>
      <c r="C67" s="330" t="s">
        <v>332</v>
      </c>
      <c r="D67" s="334" t="s">
        <v>1518</v>
      </c>
      <c r="E67" s="334" t="s">
        <v>1519</v>
      </c>
      <c r="G67" s="324" t="s">
        <v>1369</v>
      </c>
      <c r="H67" t="s">
        <v>1489</v>
      </c>
      <c r="I67" t="s">
        <v>1510</v>
      </c>
    </row>
    <row r="68" spans="1:9" ht="14.45">
      <c r="A68" t="s">
        <v>12</v>
      </c>
      <c r="B68" t="s">
        <v>336</v>
      </c>
      <c r="C68" s="330" t="s">
        <v>337</v>
      </c>
      <c r="D68" s="334" t="s">
        <v>1520</v>
      </c>
      <c r="E68" s="334" t="s">
        <v>1521</v>
      </c>
      <c r="F68" t="s">
        <v>338</v>
      </c>
      <c r="G68" s="324" t="s">
        <v>1369</v>
      </c>
      <c r="H68" t="s">
        <v>1489</v>
      </c>
      <c r="I68" t="s">
        <v>1510</v>
      </c>
    </row>
    <row r="69" spans="1:9" ht="14.45">
      <c r="A69" t="s">
        <v>12</v>
      </c>
      <c r="B69" t="s">
        <v>341</v>
      </c>
      <c r="C69" s="330" t="s">
        <v>342</v>
      </c>
      <c r="D69" s="334" t="s">
        <v>1522</v>
      </c>
      <c r="E69" s="334" t="s">
        <v>1523</v>
      </c>
      <c r="F69" t="s">
        <v>343</v>
      </c>
      <c r="G69" s="324" t="s">
        <v>1369</v>
      </c>
      <c r="H69" t="s">
        <v>1489</v>
      </c>
      <c r="I69" t="s">
        <v>1510</v>
      </c>
    </row>
    <row r="70" spans="1:9" ht="14.45">
      <c r="A70" t="s">
        <v>12</v>
      </c>
      <c r="B70" t="s">
        <v>346</v>
      </c>
      <c r="C70" s="330" t="s">
        <v>347</v>
      </c>
      <c r="D70" s="333" t="s">
        <v>1524</v>
      </c>
      <c r="E70" s="333" t="s">
        <v>1525</v>
      </c>
      <c r="F70" t="s">
        <v>348</v>
      </c>
      <c r="G70" s="324" t="s">
        <v>1369</v>
      </c>
      <c r="H70" t="s">
        <v>1489</v>
      </c>
      <c r="I70" t="s">
        <v>1510</v>
      </c>
    </row>
    <row r="71" spans="1:9" ht="14.45">
      <c r="A71" t="s">
        <v>12</v>
      </c>
      <c r="B71" t="s">
        <v>351</v>
      </c>
      <c r="C71" s="330" t="s">
        <v>352</v>
      </c>
      <c r="D71" s="333" t="s">
        <v>1526</v>
      </c>
      <c r="E71" s="333" t="s">
        <v>1527</v>
      </c>
      <c r="F71" t="s">
        <v>353</v>
      </c>
      <c r="G71" s="324" t="s">
        <v>1369</v>
      </c>
      <c r="H71" t="s">
        <v>1489</v>
      </c>
      <c r="I71" t="s">
        <v>1510</v>
      </c>
    </row>
    <row r="72" spans="1:9" ht="14.45">
      <c r="A72" t="s">
        <v>12</v>
      </c>
      <c r="B72" t="s">
        <v>356</v>
      </c>
      <c r="C72" s="330" t="s">
        <v>357</v>
      </c>
      <c r="D72" s="333" t="s">
        <v>1528</v>
      </c>
      <c r="E72" s="333" t="s">
        <v>1529</v>
      </c>
      <c r="G72" s="324" t="s">
        <v>1369</v>
      </c>
      <c r="H72" t="s">
        <v>1489</v>
      </c>
      <c r="I72" t="s">
        <v>1510</v>
      </c>
    </row>
    <row r="73" spans="1:9" ht="14.45">
      <c r="A73" t="s">
        <v>12</v>
      </c>
      <c r="B73" t="s">
        <v>360</v>
      </c>
      <c r="C73" s="330" t="s">
        <v>361</v>
      </c>
      <c r="D73" s="333" t="s">
        <v>1530</v>
      </c>
      <c r="E73" s="333" t="s">
        <v>1531</v>
      </c>
      <c r="G73" s="324" t="s">
        <v>1369</v>
      </c>
      <c r="H73" t="s">
        <v>1489</v>
      </c>
      <c r="I73" t="s">
        <v>1510</v>
      </c>
    </row>
    <row r="74" spans="1:9" ht="14.45">
      <c r="A74" t="s">
        <v>12</v>
      </c>
      <c r="B74" t="s">
        <v>364</v>
      </c>
      <c r="C74" s="330" t="s">
        <v>366</v>
      </c>
      <c r="D74" s="333" t="s">
        <v>1532</v>
      </c>
      <c r="E74" s="333" t="s">
        <v>1533</v>
      </c>
      <c r="F74" t="s">
        <v>367</v>
      </c>
      <c r="G74" s="324" t="s">
        <v>1369</v>
      </c>
      <c r="H74" t="s">
        <v>1489</v>
      </c>
      <c r="I74" t="s">
        <v>1510</v>
      </c>
    </row>
    <row r="75" spans="1:9" ht="14.45">
      <c r="A75" t="s">
        <v>12</v>
      </c>
      <c r="B75" t="s">
        <v>370</v>
      </c>
      <c r="C75" s="330" t="s">
        <v>371</v>
      </c>
      <c r="D75" s="333" t="s">
        <v>1534</v>
      </c>
      <c r="E75" s="333" t="s">
        <v>1535</v>
      </c>
      <c r="F75" t="s">
        <v>372</v>
      </c>
      <c r="G75" s="324" t="s">
        <v>1398</v>
      </c>
      <c r="H75" t="s">
        <v>1489</v>
      </c>
      <c r="I75" t="s">
        <v>1536</v>
      </c>
    </row>
    <row r="76" spans="1:9" ht="14.45">
      <c r="A76" t="s">
        <v>12</v>
      </c>
      <c r="B76" t="s">
        <v>375</v>
      </c>
      <c r="C76" s="330" t="s">
        <v>376</v>
      </c>
      <c r="D76" s="332" t="s">
        <v>1537</v>
      </c>
      <c r="E76" s="332" t="s">
        <v>1538</v>
      </c>
      <c r="G76" s="324" t="s">
        <v>1398</v>
      </c>
      <c r="H76" t="s">
        <v>1489</v>
      </c>
      <c r="I76" t="s">
        <v>1536</v>
      </c>
    </row>
    <row r="77" spans="1:9" ht="14.45">
      <c r="A77" t="s">
        <v>12</v>
      </c>
      <c r="B77" t="s">
        <v>378</v>
      </c>
      <c r="C77" s="330" t="s">
        <v>379</v>
      </c>
      <c r="D77" s="332" t="s">
        <v>1537</v>
      </c>
      <c r="E77" s="332" t="s">
        <v>1538</v>
      </c>
      <c r="G77" s="324" t="s">
        <v>1398</v>
      </c>
      <c r="H77" t="s">
        <v>1489</v>
      </c>
      <c r="I77" t="s">
        <v>1536</v>
      </c>
    </row>
    <row r="78" spans="1:9" ht="14.45">
      <c r="A78" t="s">
        <v>12</v>
      </c>
      <c r="B78" t="s">
        <v>381</v>
      </c>
      <c r="C78" s="330" t="s">
        <v>382</v>
      </c>
      <c r="D78" s="333" t="s">
        <v>1539</v>
      </c>
      <c r="E78" s="333" t="s">
        <v>1540</v>
      </c>
      <c r="F78" t="s">
        <v>383</v>
      </c>
      <c r="G78" s="324" t="s">
        <v>1369</v>
      </c>
      <c r="H78" t="s">
        <v>1489</v>
      </c>
      <c r="I78" t="s">
        <v>1510</v>
      </c>
    </row>
    <row r="79" spans="1:9" ht="14.45">
      <c r="A79" t="s">
        <v>12</v>
      </c>
      <c r="B79" t="s">
        <v>386</v>
      </c>
      <c r="C79" s="330" t="s">
        <v>387</v>
      </c>
      <c r="D79" s="333" t="s">
        <v>1541</v>
      </c>
      <c r="E79" s="333" t="s">
        <v>1542</v>
      </c>
      <c r="F79" t="s">
        <v>388</v>
      </c>
      <c r="G79" s="324" t="s">
        <v>1369</v>
      </c>
      <c r="H79" t="s">
        <v>1489</v>
      </c>
      <c r="I79" t="s">
        <v>1510</v>
      </c>
    </row>
    <row r="80" spans="1:9" ht="14.45">
      <c r="A80" t="s">
        <v>6</v>
      </c>
      <c r="B80" t="s">
        <v>391</v>
      </c>
      <c r="C80" s="330" t="s">
        <v>392</v>
      </c>
      <c r="D80" s="333" t="s">
        <v>1543</v>
      </c>
      <c r="E80" s="333" t="s">
        <v>1544</v>
      </c>
      <c r="G80" s="324" t="s">
        <v>1369</v>
      </c>
      <c r="H80" t="s">
        <v>1545</v>
      </c>
      <c r="I80" t="s">
        <v>1510</v>
      </c>
    </row>
    <row r="81" spans="1:9" ht="14.45">
      <c r="A81" t="s">
        <v>6</v>
      </c>
      <c r="B81" t="s">
        <v>395</v>
      </c>
      <c r="C81" s="330" t="s">
        <v>396</v>
      </c>
      <c r="D81" s="336" t="s">
        <v>1546</v>
      </c>
      <c r="E81" s="334" t="s">
        <v>1547</v>
      </c>
      <c r="F81" t="s">
        <v>292</v>
      </c>
      <c r="G81" s="324" t="s">
        <v>1369</v>
      </c>
      <c r="H81" t="s">
        <v>1545</v>
      </c>
      <c r="I81" t="s">
        <v>1548</v>
      </c>
    </row>
    <row r="82" spans="1:9" ht="14.45">
      <c r="A82" t="s">
        <v>6</v>
      </c>
      <c r="B82" t="s">
        <v>399</v>
      </c>
      <c r="C82" s="330" t="s">
        <v>400</v>
      </c>
      <c r="D82" s="334" t="s">
        <v>1549</v>
      </c>
      <c r="E82" s="334" t="s">
        <v>1550</v>
      </c>
      <c r="F82" t="s">
        <v>401</v>
      </c>
      <c r="G82" s="324" t="s">
        <v>1369</v>
      </c>
      <c r="H82" t="s">
        <v>1545</v>
      </c>
      <c r="I82" t="s">
        <v>1548</v>
      </c>
    </row>
    <row r="83" spans="1:9" ht="14.45">
      <c r="A83" t="s">
        <v>6</v>
      </c>
      <c r="B83" t="s">
        <v>404</v>
      </c>
      <c r="C83" s="330" t="s">
        <v>405</v>
      </c>
      <c r="D83" s="333" t="s">
        <v>1551</v>
      </c>
      <c r="E83" s="333" t="s">
        <v>1552</v>
      </c>
      <c r="F83" t="s">
        <v>406</v>
      </c>
      <c r="G83" s="324" t="s">
        <v>1369</v>
      </c>
      <c r="H83" t="s">
        <v>1545</v>
      </c>
      <c r="I83" t="s">
        <v>1510</v>
      </c>
    </row>
    <row r="84" spans="1:9" ht="14.45">
      <c r="A84" t="s">
        <v>6</v>
      </c>
      <c r="B84" t="s">
        <v>409</v>
      </c>
      <c r="C84" s="330" t="s">
        <v>410</v>
      </c>
      <c r="D84" s="333" t="s">
        <v>1553</v>
      </c>
      <c r="E84" s="333" t="s">
        <v>1554</v>
      </c>
      <c r="G84" s="324" t="s">
        <v>1369</v>
      </c>
      <c r="H84" t="s">
        <v>1545</v>
      </c>
      <c r="I84" t="s">
        <v>1510</v>
      </c>
    </row>
    <row r="85" spans="1:9" ht="14.45">
      <c r="A85" t="s">
        <v>6</v>
      </c>
      <c r="B85" t="s">
        <v>413</v>
      </c>
      <c r="C85" s="330" t="s">
        <v>415</v>
      </c>
      <c r="D85" s="333" t="s">
        <v>1555</v>
      </c>
      <c r="E85" s="333" t="s">
        <v>1556</v>
      </c>
      <c r="F85" t="s">
        <v>416</v>
      </c>
      <c r="G85" s="324" t="s">
        <v>1369</v>
      </c>
      <c r="H85" t="s">
        <v>1545</v>
      </c>
      <c r="I85" t="s">
        <v>1510</v>
      </c>
    </row>
    <row r="86" spans="1:9" ht="14.45">
      <c r="A86" t="s">
        <v>6</v>
      </c>
      <c r="B86" t="s">
        <v>420</v>
      </c>
      <c r="C86" s="330" t="s">
        <v>421</v>
      </c>
      <c r="D86" s="333" t="s">
        <v>1557</v>
      </c>
      <c r="E86" s="333" t="s">
        <v>1558</v>
      </c>
      <c r="F86" t="s">
        <v>422</v>
      </c>
      <c r="G86" s="324" t="s">
        <v>1369</v>
      </c>
      <c r="H86" t="s">
        <v>1545</v>
      </c>
      <c r="I86" t="s">
        <v>1510</v>
      </c>
    </row>
    <row r="87" spans="1:9" ht="14.45">
      <c r="A87" t="s">
        <v>6</v>
      </c>
      <c r="B87" t="s">
        <v>425</v>
      </c>
      <c r="C87" s="330" t="s">
        <v>426</v>
      </c>
      <c r="D87" s="334" t="s">
        <v>1559</v>
      </c>
      <c r="E87" s="334" t="s">
        <v>1560</v>
      </c>
      <c r="F87" t="s">
        <v>427</v>
      </c>
      <c r="G87" s="324" t="s">
        <v>1369</v>
      </c>
      <c r="H87" t="s">
        <v>1545</v>
      </c>
      <c r="I87" t="s">
        <v>1510</v>
      </c>
    </row>
    <row r="88" spans="1:9" ht="14.45">
      <c r="A88" t="s">
        <v>6</v>
      </c>
      <c r="B88" t="s">
        <v>430</v>
      </c>
      <c r="C88" s="330" t="s">
        <v>431</v>
      </c>
      <c r="D88" s="334" t="s">
        <v>1561</v>
      </c>
      <c r="E88" s="334" t="s">
        <v>1562</v>
      </c>
      <c r="F88" t="s">
        <v>432</v>
      </c>
      <c r="G88" s="324" t="s">
        <v>1369</v>
      </c>
      <c r="H88" t="s">
        <v>1545</v>
      </c>
      <c r="I88" t="s">
        <v>1510</v>
      </c>
    </row>
    <row r="89" spans="1:9" ht="14.45">
      <c r="A89" t="s">
        <v>6</v>
      </c>
      <c r="B89" t="s">
        <v>435</v>
      </c>
      <c r="C89" s="330" t="s">
        <v>436</v>
      </c>
      <c r="D89" s="333" t="s">
        <v>1563</v>
      </c>
      <c r="E89" s="333" t="s">
        <v>1564</v>
      </c>
      <c r="F89" t="s">
        <v>437</v>
      </c>
      <c r="G89" s="324" t="s">
        <v>1369</v>
      </c>
      <c r="H89" t="s">
        <v>1545</v>
      </c>
      <c r="I89" t="s">
        <v>1510</v>
      </c>
    </row>
    <row r="90" spans="1:9" ht="14.45">
      <c r="A90" t="s">
        <v>6</v>
      </c>
      <c r="B90" t="s">
        <v>440</v>
      </c>
      <c r="C90" s="330" t="s">
        <v>441</v>
      </c>
      <c r="D90" s="333" t="s">
        <v>1565</v>
      </c>
      <c r="E90" s="333" t="s">
        <v>1566</v>
      </c>
      <c r="F90" t="s">
        <v>442</v>
      </c>
      <c r="G90" s="324" t="s">
        <v>1369</v>
      </c>
      <c r="H90" t="s">
        <v>1545</v>
      </c>
      <c r="I90" t="s">
        <v>1510</v>
      </c>
    </row>
    <row r="91" spans="1:9" ht="14.45">
      <c r="A91" t="s">
        <v>6</v>
      </c>
      <c r="B91" t="s">
        <v>445</v>
      </c>
      <c r="C91" s="330" t="s">
        <v>446</v>
      </c>
      <c r="D91" s="333" t="s">
        <v>1567</v>
      </c>
      <c r="E91" s="333" t="s">
        <v>1568</v>
      </c>
      <c r="F91" t="s">
        <v>447</v>
      </c>
      <c r="G91" s="324" t="s">
        <v>1369</v>
      </c>
      <c r="H91" t="s">
        <v>1545</v>
      </c>
      <c r="I91" t="s">
        <v>1510</v>
      </c>
    </row>
    <row r="92" spans="1:9" ht="14.45">
      <c r="A92" t="s">
        <v>6</v>
      </c>
      <c r="B92" t="s">
        <v>451</v>
      </c>
      <c r="C92" s="330" t="s">
        <v>452</v>
      </c>
      <c r="D92" s="333" t="s">
        <v>1569</v>
      </c>
      <c r="E92" s="333" t="s">
        <v>1570</v>
      </c>
      <c r="F92" t="s">
        <v>447</v>
      </c>
      <c r="G92" s="324" t="s">
        <v>1369</v>
      </c>
      <c r="H92" t="s">
        <v>1545</v>
      </c>
      <c r="I92" t="s">
        <v>1510</v>
      </c>
    </row>
    <row r="93" spans="1:9" ht="14.45">
      <c r="A93" t="s">
        <v>6</v>
      </c>
      <c r="B93" t="s">
        <v>455</v>
      </c>
      <c r="C93" s="330" t="s">
        <v>456</v>
      </c>
      <c r="D93" s="330" t="s">
        <v>1571</v>
      </c>
      <c r="E93" s="330" t="s">
        <v>1572</v>
      </c>
      <c r="F93" t="s">
        <v>292</v>
      </c>
      <c r="G93" s="324" t="s">
        <v>1369</v>
      </c>
      <c r="H93" t="s">
        <v>1545</v>
      </c>
      <c r="I93" t="s">
        <v>1548</v>
      </c>
    </row>
    <row r="94" spans="1:9" ht="14.45">
      <c r="A94" t="s">
        <v>6</v>
      </c>
      <c r="B94" t="s">
        <v>459</v>
      </c>
      <c r="C94" s="330" t="s">
        <v>460</v>
      </c>
      <c r="D94" s="330" t="s">
        <v>1573</v>
      </c>
      <c r="E94" s="330" t="s">
        <v>1574</v>
      </c>
      <c r="F94" t="s">
        <v>292</v>
      </c>
      <c r="G94" s="324" t="s">
        <v>1369</v>
      </c>
      <c r="H94" t="s">
        <v>1545</v>
      </c>
      <c r="I94" t="s">
        <v>1548</v>
      </c>
    </row>
    <row r="95" spans="1:9" ht="14.45">
      <c r="A95" t="s">
        <v>6</v>
      </c>
      <c r="B95" t="s">
        <v>463</v>
      </c>
      <c r="C95" s="330" t="s">
        <v>464</v>
      </c>
      <c r="D95" s="334" t="s">
        <v>1575</v>
      </c>
      <c r="E95" s="334" t="s">
        <v>1576</v>
      </c>
      <c r="F95" t="s">
        <v>401</v>
      </c>
      <c r="G95" s="324" t="s">
        <v>1369</v>
      </c>
      <c r="H95" t="s">
        <v>1545</v>
      </c>
      <c r="I95" t="s">
        <v>1548</v>
      </c>
    </row>
    <row r="96" spans="1:9" ht="14.45">
      <c r="A96" t="s">
        <v>6</v>
      </c>
      <c r="B96" t="s">
        <v>467</v>
      </c>
      <c r="C96" s="330" t="s">
        <v>468</v>
      </c>
      <c r="D96" s="334" t="s">
        <v>1577</v>
      </c>
      <c r="E96" s="334" t="s">
        <v>1578</v>
      </c>
      <c r="F96" s="337">
        <v>4540</v>
      </c>
      <c r="G96" s="324" t="s">
        <v>1369</v>
      </c>
      <c r="H96" t="s">
        <v>1545</v>
      </c>
      <c r="I96" t="s">
        <v>1548</v>
      </c>
    </row>
    <row r="97" spans="1:9" ht="14.45">
      <c r="A97" t="s">
        <v>6</v>
      </c>
      <c r="B97" t="s">
        <v>471</v>
      </c>
      <c r="C97" s="330" t="s">
        <v>472</v>
      </c>
      <c r="D97" s="333" t="s">
        <v>1579</v>
      </c>
      <c r="E97" s="333" t="s">
        <v>1580</v>
      </c>
      <c r="F97" t="s">
        <v>406</v>
      </c>
      <c r="G97" s="324" t="s">
        <v>1369</v>
      </c>
      <c r="H97" t="s">
        <v>1545</v>
      </c>
      <c r="I97" t="s">
        <v>1510</v>
      </c>
    </row>
    <row r="98" spans="1:9" ht="14.45">
      <c r="A98" t="s">
        <v>6</v>
      </c>
      <c r="B98" t="s">
        <v>475</v>
      </c>
      <c r="C98" s="330" t="s">
        <v>476</v>
      </c>
      <c r="D98" s="333" t="s">
        <v>1581</v>
      </c>
      <c r="E98" s="333" t="s">
        <v>1582</v>
      </c>
      <c r="F98" t="s">
        <v>319</v>
      </c>
      <c r="G98" s="324" t="s">
        <v>1369</v>
      </c>
      <c r="H98" t="s">
        <v>1545</v>
      </c>
      <c r="I98" t="s">
        <v>1510</v>
      </c>
    </row>
    <row r="99" spans="1:9" ht="14.45">
      <c r="A99" t="s">
        <v>6</v>
      </c>
      <c r="B99" t="s">
        <v>479</v>
      </c>
      <c r="C99" s="330" t="s">
        <v>480</v>
      </c>
      <c r="D99" s="334" t="s">
        <v>1583</v>
      </c>
      <c r="E99" s="334" t="s">
        <v>1584</v>
      </c>
      <c r="F99" t="s">
        <v>287</v>
      </c>
      <c r="G99" s="324" t="s">
        <v>1369</v>
      </c>
      <c r="H99" t="s">
        <v>1545</v>
      </c>
      <c r="I99" t="s">
        <v>1548</v>
      </c>
    </row>
    <row r="100" spans="1:9" ht="14.45">
      <c r="A100" t="s">
        <v>6</v>
      </c>
      <c r="B100" t="s">
        <v>483</v>
      </c>
      <c r="C100" s="330" t="s">
        <v>484</v>
      </c>
      <c r="D100" s="330" t="s">
        <v>1585</v>
      </c>
      <c r="E100" s="330" t="s">
        <v>1586</v>
      </c>
      <c r="F100" t="s">
        <v>292</v>
      </c>
      <c r="G100" s="324" t="s">
        <v>1369</v>
      </c>
      <c r="H100" t="s">
        <v>1545</v>
      </c>
      <c r="I100" t="s">
        <v>1548</v>
      </c>
    </row>
    <row r="101" spans="1:9" ht="14.45">
      <c r="A101" t="s">
        <v>6</v>
      </c>
      <c r="B101" t="s">
        <v>487</v>
      </c>
      <c r="C101" s="330" t="s">
        <v>488</v>
      </c>
      <c r="D101" s="333" t="s">
        <v>1587</v>
      </c>
      <c r="E101" s="333" t="s">
        <v>1588</v>
      </c>
      <c r="G101" s="324" t="s">
        <v>1369</v>
      </c>
      <c r="H101" t="s">
        <v>1545</v>
      </c>
      <c r="I101" t="s">
        <v>1510</v>
      </c>
    </row>
    <row r="102" spans="1:9" ht="14.45">
      <c r="A102" t="s">
        <v>6</v>
      </c>
      <c r="B102" t="s">
        <v>491</v>
      </c>
      <c r="C102" s="330" t="s">
        <v>493</v>
      </c>
      <c r="D102" s="334" t="s">
        <v>1589</v>
      </c>
      <c r="E102" s="334" t="s">
        <v>1590</v>
      </c>
      <c r="F102" t="s">
        <v>494</v>
      </c>
      <c r="G102" s="324" t="s">
        <v>1369</v>
      </c>
      <c r="H102" t="s">
        <v>1545</v>
      </c>
      <c r="I102" t="s">
        <v>1510</v>
      </c>
    </row>
    <row r="103" spans="1:9" ht="14.45">
      <c r="A103" t="s">
        <v>6</v>
      </c>
      <c r="B103" t="s">
        <v>497</v>
      </c>
      <c r="C103" s="330" t="s">
        <v>498</v>
      </c>
      <c r="D103" s="334" t="s">
        <v>1591</v>
      </c>
      <c r="E103" s="334" t="s">
        <v>1592</v>
      </c>
      <c r="F103" t="s">
        <v>499</v>
      </c>
      <c r="G103" s="324" t="s">
        <v>1369</v>
      </c>
      <c r="H103" t="s">
        <v>1545</v>
      </c>
      <c r="I103" t="s">
        <v>1510</v>
      </c>
    </row>
    <row r="104" spans="1:9" ht="14.45">
      <c r="A104" t="s">
        <v>5</v>
      </c>
      <c r="B104" t="s">
        <v>565</v>
      </c>
      <c r="C104" s="330" t="s">
        <v>567</v>
      </c>
      <c r="D104" s="330" t="s">
        <v>1593</v>
      </c>
      <c r="E104" s="330" t="s">
        <v>1594</v>
      </c>
      <c r="F104" t="s">
        <v>568</v>
      </c>
      <c r="G104" s="324" t="s">
        <v>1369</v>
      </c>
      <c r="H104" t="s">
        <v>1545</v>
      </c>
      <c r="I104" t="s">
        <v>1548</v>
      </c>
    </row>
    <row r="105" spans="1:9" ht="14.45">
      <c r="A105" t="s">
        <v>5</v>
      </c>
      <c r="B105" t="s">
        <v>571</v>
      </c>
      <c r="C105" s="330" t="s">
        <v>572</v>
      </c>
      <c r="D105" s="333" t="s">
        <v>1595</v>
      </c>
      <c r="E105" s="333" t="s">
        <v>1596</v>
      </c>
      <c r="F105" t="s">
        <v>573</v>
      </c>
      <c r="G105" s="324" t="s">
        <v>1369</v>
      </c>
      <c r="H105" t="s">
        <v>1545</v>
      </c>
      <c r="I105" t="s">
        <v>1510</v>
      </c>
    </row>
    <row r="106" spans="1:9" ht="14.45">
      <c r="A106" t="s">
        <v>5</v>
      </c>
      <c r="B106" t="s">
        <v>576</v>
      </c>
      <c r="C106" s="330" t="s">
        <v>577</v>
      </c>
      <c r="D106" s="333" t="s">
        <v>1597</v>
      </c>
      <c r="E106" s="333" t="s">
        <v>1598</v>
      </c>
      <c r="F106" t="s">
        <v>578</v>
      </c>
      <c r="G106" s="324" t="s">
        <v>1369</v>
      </c>
      <c r="H106" t="s">
        <v>1545</v>
      </c>
      <c r="I106" t="s">
        <v>1510</v>
      </c>
    </row>
    <row r="107" spans="1:9" ht="14.45">
      <c r="A107" t="s">
        <v>5</v>
      </c>
      <c r="B107" t="s">
        <v>581</v>
      </c>
      <c r="C107" s="330" t="s">
        <v>583</v>
      </c>
      <c r="D107" s="332" t="s">
        <v>1599</v>
      </c>
      <c r="E107" s="332" t="s">
        <v>1600</v>
      </c>
      <c r="F107" t="s">
        <v>584</v>
      </c>
      <c r="G107" s="324" t="s">
        <v>1369</v>
      </c>
      <c r="H107" t="s">
        <v>1545</v>
      </c>
      <c r="I107" t="s">
        <v>1510</v>
      </c>
    </row>
    <row r="108" spans="1:9" ht="14.45">
      <c r="A108" t="s">
        <v>5</v>
      </c>
      <c r="B108" t="s">
        <v>586</v>
      </c>
      <c r="C108" s="330" t="s">
        <v>587</v>
      </c>
      <c r="D108" s="333" t="s">
        <v>1601</v>
      </c>
      <c r="E108" s="333" t="s">
        <v>1602</v>
      </c>
      <c r="G108" s="324" t="s">
        <v>1369</v>
      </c>
      <c r="H108" t="s">
        <v>1545</v>
      </c>
      <c r="I108" t="s">
        <v>1548</v>
      </c>
    </row>
    <row r="109" spans="1:9" ht="14.45">
      <c r="A109" t="s">
        <v>5</v>
      </c>
      <c r="B109" t="s">
        <v>590</v>
      </c>
      <c r="C109" s="330" t="s">
        <v>591</v>
      </c>
      <c r="D109" s="333" t="s">
        <v>1603</v>
      </c>
      <c r="E109" s="333" t="s">
        <v>1602</v>
      </c>
      <c r="G109" s="324" t="s">
        <v>1369</v>
      </c>
      <c r="H109" t="s">
        <v>1545</v>
      </c>
      <c r="I109" t="s">
        <v>1548</v>
      </c>
    </row>
    <row r="110" spans="1:9" ht="14.45">
      <c r="A110" t="s">
        <v>5</v>
      </c>
      <c r="B110" t="s">
        <v>593</v>
      </c>
      <c r="C110" s="330" t="s">
        <v>594</v>
      </c>
      <c r="D110" s="333" t="s">
        <v>1604</v>
      </c>
      <c r="E110" s="333" t="s">
        <v>1605</v>
      </c>
      <c r="G110" s="324" t="s">
        <v>1369</v>
      </c>
      <c r="H110" t="s">
        <v>1545</v>
      </c>
      <c r="I110" t="s">
        <v>1510</v>
      </c>
    </row>
    <row r="111" spans="1:9" ht="14.45">
      <c r="A111" t="s">
        <v>5</v>
      </c>
      <c r="B111" t="s">
        <v>597</v>
      </c>
      <c r="C111" s="330" t="s">
        <v>598</v>
      </c>
      <c r="D111" s="333" t="s">
        <v>1606</v>
      </c>
      <c r="E111" s="333" t="s">
        <v>1607</v>
      </c>
      <c r="F111" t="s">
        <v>599</v>
      </c>
      <c r="G111" s="324" t="s">
        <v>1369</v>
      </c>
      <c r="H111" t="s">
        <v>1545</v>
      </c>
      <c r="I111" t="s">
        <v>1510</v>
      </c>
    </row>
    <row r="112" spans="1:9" ht="14.45">
      <c r="A112" t="s">
        <v>5</v>
      </c>
      <c r="B112" t="s">
        <v>601</v>
      </c>
      <c r="C112" s="330" t="s">
        <v>602</v>
      </c>
      <c r="D112" s="333" t="s">
        <v>1608</v>
      </c>
      <c r="E112" s="333" t="s">
        <v>1609</v>
      </c>
      <c r="F112" t="s">
        <v>1610</v>
      </c>
      <c r="G112" s="324" t="s">
        <v>1369</v>
      </c>
      <c r="H112" t="s">
        <v>1545</v>
      </c>
      <c r="I112" t="s">
        <v>1510</v>
      </c>
    </row>
    <row r="113" spans="1:9" ht="14.45">
      <c r="A113" t="s">
        <v>5</v>
      </c>
      <c r="B113" t="s">
        <v>604</v>
      </c>
      <c r="C113" s="330" t="s">
        <v>606</v>
      </c>
      <c r="D113" s="332" t="s">
        <v>1537</v>
      </c>
      <c r="E113" s="332" t="s">
        <v>1538</v>
      </c>
      <c r="G113" s="324" t="s">
        <v>1369</v>
      </c>
      <c r="H113" t="s">
        <v>1545</v>
      </c>
      <c r="I113" t="s">
        <v>1510</v>
      </c>
    </row>
    <row r="114" spans="1:9" ht="14.45">
      <c r="A114" t="s">
        <v>5</v>
      </c>
      <c r="B114" t="s">
        <v>607</v>
      </c>
      <c r="C114" s="330" t="s">
        <v>608</v>
      </c>
      <c r="D114" s="332" t="s">
        <v>1537</v>
      </c>
      <c r="E114" s="332" t="s">
        <v>1538</v>
      </c>
      <c r="G114" s="324" t="s">
        <v>1369</v>
      </c>
      <c r="H114" t="s">
        <v>1545</v>
      </c>
      <c r="I114" t="s">
        <v>1510</v>
      </c>
    </row>
    <row r="115" spans="1:9" ht="14.45">
      <c r="A115" t="s">
        <v>5</v>
      </c>
      <c r="B115" t="s">
        <v>610</v>
      </c>
      <c r="C115" s="330" t="s">
        <v>611</v>
      </c>
      <c r="D115" s="332" t="s">
        <v>1537</v>
      </c>
      <c r="E115" s="332" t="s">
        <v>1538</v>
      </c>
      <c r="G115" s="324" t="s">
        <v>1369</v>
      </c>
      <c r="H115" t="s">
        <v>1545</v>
      </c>
      <c r="I115" t="s">
        <v>1510</v>
      </c>
    </row>
    <row r="116" spans="1:9" ht="14.45">
      <c r="A116" t="s">
        <v>5</v>
      </c>
      <c r="B116" t="s">
        <v>613</v>
      </c>
      <c r="C116" s="330" t="s">
        <v>615</v>
      </c>
      <c r="D116" s="332" t="s">
        <v>1537</v>
      </c>
      <c r="E116" s="332" t="s">
        <v>1538</v>
      </c>
      <c r="G116" s="324" t="s">
        <v>1369</v>
      </c>
      <c r="H116" t="s">
        <v>1545</v>
      </c>
      <c r="I116" t="s">
        <v>1510</v>
      </c>
    </row>
    <row r="117" spans="1:9" ht="14.45">
      <c r="A117" t="s">
        <v>5</v>
      </c>
      <c r="B117" t="s">
        <v>618</v>
      </c>
      <c r="C117" s="330" t="s">
        <v>619</v>
      </c>
      <c r="D117" s="332" t="s">
        <v>1537</v>
      </c>
      <c r="E117" s="332" t="s">
        <v>1538</v>
      </c>
      <c r="G117" s="324" t="s">
        <v>1369</v>
      </c>
      <c r="H117" t="s">
        <v>1545</v>
      </c>
      <c r="I117" t="s">
        <v>1510</v>
      </c>
    </row>
    <row r="118" spans="1:9" ht="14.45">
      <c r="A118" t="s">
        <v>4</v>
      </c>
      <c r="B118" t="s">
        <v>622</v>
      </c>
      <c r="C118" s="330" t="s">
        <v>624</v>
      </c>
      <c r="D118" s="334" t="s">
        <v>1611</v>
      </c>
      <c r="E118" s="332" t="s">
        <v>1447</v>
      </c>
      <c r="F118" t="s">
        <v>578</v>
      </c>
      <c r="G118" s="324" t="s">
        <v>1369</v>
      </c>
      <c r="H118" t="s">
        <v>1545</v>
      </c>
      <c r="I118" t="s">
        <v>1510</v>
      </c>
    </row>
    <row r="119" spans="1:9" ht="14.45">
      <c r="A119" t="s">
        <v>4</v>
      </c>
      <c r="B119" t="s">
        <v>627</v>
      </c>
      <c r="C119" s="330" t="s">
        <v>628</v>
      </c>
      <c r="D119" s="334" t="s">
        <v>1612</v>
      </c>
      <c r="E119" s="332" t="s">
        <v>1447</v>
      </c>
      <c r="F119" t="s">
        <v>1453</v>
      </c>
      <c r="G119" s="324" t="s">
        <v>1369</v>
      </c>
      <c r="H119" t="s">
        <v>1545</v>
      </c>
      <c r="I119" t="s">
        <v>1510</v>
      </c>
    </row>
    <row r="120" spans="1:9" ht="14.45">
      <c r="A120" t="s">
        <v>4</v>
      </c>
      <c r="B120" t="s">
        <v>676</v>
      </c>
      <c r="C120" s="330" t="s">
        <v>677</v>
      </c>
      <c r="D120" s="334" t="s">
        <v>1613</v>
      </c>
      <c r="E120" s="332" t="s">
        <v>1447</v>
      </c>
      <c r="F120" t="s">
        <v>1614</v>
      </c>
      <c r="G120" s="324" t="s">
        <v>1369</v>
      </c>
      <c r="H120" t="s">
        <v>1545</v>
      </c>
      <c r="I120" t="s">
        <v>1510</v>
      </c>
    </row>
    <row r="121" spans="1:9" ht="14.45">
      <c r="A121" t="s">
        <v>11</v>
      </c>
      <c r="B121" t="s">
        <v>733</v>
      </c>
      <c r="C121" s="330" t="s">
        <v>734</v>
      </c>
      <c r="D121" s="332" t="s">
        <v>1615</v>
      </c>
      <c r="E121" s="332" t="s">
        <v>1616</v>
      </c>
      <c r="F121" t="s">
        <v>584</v>
      </c>
      <c r="G121" s="324" t="s">
        <v>1369</v>
      </c>
      <c r="H121" t="s">
        <v>1545</v>
      </c>
      <c r="I121" t="s">
        <v>1510</v>
      </c>
    </row>
    <row r="122" spans="1:9" ht="14.45">
      <c r="A122" t="s">
        <v>7</v>
      </c>
      <c r="B122" t="s">
        <v>736</v>
      </c>
      <c r="C122" s="330" t="s">
        <v>738</v>
      </c>
      <c r="D122" s="333" t="s">
        <v>1438</v>
      </c>
      <c r="E122" s="333" t="s">
        <v>1439</v>
      </c>
      <c r="F122" t="s">
        <v>1617</v>
      </c>
      <c r="G122" s="324" t="s">
        <v>1421</v>
      </c>
      <c r="H122" t="s">
        <v>117</v>
      </c>
      <c r="I122" t="s">
        <v>1618</v>
      </c>
    </row>
    <row r="123" spans="1:9" ht="14.45">
      <c r="A123" t="s">
        <v>11</v>
      </c>
      <c r="B123" t="s">
        <v>741</v>
      </c>
      <c r="C123" s="330" t="s">
        <v>742</v>
      </c>
      <c r="D123" s="330" t="s">
        <v>1619</v>
      </c>
      <c r="E123" s="330" t="s">
        <v>1620</v>
      </c>
      <c r="F123" t="s">
        <v>847</v>
      </c>
      <c r="G123" s="324" t="s">
        <v>1369</v>
      </c>
      <c r="H123" t="s">
        <v>1545</v>
      </c>
      <c r="I123" t="s">
        <v>1548</v>
      </c>
    </row>
    <row r="124" spans="1:9" ht="14.45">
      <c r="A124" t="s">
        <v>11</v>
      </c>
      <c r="B124" t="s">
        <v>745</v>
      </c>
      <c r="C124" s="330" t="s">
        <v>746</v>
      </c>
      <c r="D124" s="330" t="s">
        <v>1621</v>
      </c>
      <c r="E124" s="330" t="s">
        <v>1622</v>
      </c>
      <c r="F124" t="s">
        <v>747</v>
      </c>
      <c r="G124" s="324" t="s">
        <v>1369</v>
      </c>
      <c r="H124" t="s">
        <v>1545</v>
      </c>
      <c r="I124" t="s">
        <v>1510</v>
      </c>
    </row>
    <row r="125" spans="1:9" ht="14.45">
      <c r="A125" t="s">
        <v>11</v>
      </c>
      <c r="B125" t="s">
        <v>750</v>
      </c>
      <c r="C125" s="330" t="s">
        <v>751</v>
      </c>
      <c r="D125" s="330" t="s">
        <v>1623</v>
      </c>
      <c r="E125" s="330" t="s">
        <v>1624</v>
      </c>
      <c r="F125" t="s">
        <v>752</v>
      </c>
      <c r="G125" s="324" t="s">
        <v>1369</v>
      </c>
      <c r="H125" t="s">
        <v>1545</v>
      </c>
      <c r="I125" t="s">
        <v>1510</v>
      </c>
    </row>
    <row r="126" spans="1:9" ht="14.45">
      <c r="A126" t="s">
        <v>11</v>
      </c>
      <c r="B126" t="s">
        <v>754</v>
      </c>
      <c r="C126" s="330" t="s">
        <v>755</v>
      </c>
      <c r="D126" s="330" t="s">
        <v>1625</v>
      </c>
      <c r="E126" s="330" t="s">
        <v>1626</v>
      </c>
      <c r="F126" t="s">
        <v>107</v>
      </c>
      <c r="G126" s="324" t="s">
        <v>1369</v>
      </c>
      <c r="H126" t="s">
        <v>1545</v>
      </c>
      <c r="I126" t="s">
        <v>1548</v>
      </c>
    </row>
    <row r="127" spans="1:9" ht="14.45">
      <c r="A127" t="s">
        <v>11</v>
      </c>
      <c r="B127" t="s">
        <v>772</v>
      </c>
      <c r="C127" s="330" t="s">
        <v>774</v>
      </c>
      <c r="D127" s="330" t="s">
        <v>1627</v>
      </c>
      <c r="E127" s="330" t="s">
        <v>1628</v>
      </c>
      <c r="F127" t="s">
        <v>584</v>
      </c>
      <c r="G127" s="324" t="s">
        <v>1398</v>
      </c>
      <c r="H127" t="s">
        <v>1545</v>
      </c>
      <c r="I127" t="s">
        <v>1536</v>
      </c>
    </row>
    <row r="128" spans="1:9" ht="14.45">
      <c r="A128" t="s">
        <v>4</v>
      </c>
      <c r="B128" t="s">
        <v>820</v>
      </c>
      <c r="C128" s="330" t="s">
        <v>822</v>
      </c>
      <c r="D128" s="334" t="s">
        <v>1629</v>
      </c>
      <c r="E128" s="332" t="s">
        <v>1447</v>
      </c>
      <c r="F128" t="s">
        <v>1630</v>
      </c>
      <c r="G128" s="324" t="s">
        <v>1369</v>
      </c>
      <c r="H128" t="s">
        <v>1545</v>
      </c>
      <c r="I128" t="s">
        <v>1510</v>
      </c>
    </row>
    <row r="129" spans="1:9" ht="14.45">
      <c r="A129" t="s">
        <v>4</v>
      </c>
      <c r="B129" t="s">
        <v>824</v>
      </c>
      <c r="C129" s="330" t="s">
        <v>826</v>
      </c>
      <c r="D129" s="334" t="s">
        <v>1631</v>
      </c>
      <c r="E129" s="332" t="s">
        <v>1447</v>
      </c>
      <c r="F129" t="s">
        <v>1630</v>
      </c>
      <c r="G129" s="324" t="s">
        <v>1369</v>
      </c>
      <c r="H129" t="s">
        <v>1545</v>
      </c>
      <c r="I129" t="s">
        <v>1510</v>
      </c>
    </row>
    <row r="130" spans="1:9" ht="14.45">
      <c r="A130" t="s">
        <v>4</v>
      </c>
      <c r="B130" t="s">
        <v>828</v>
      </c>
      <c r="C130" s="330" t="s">
        <v>829</v>
      </c>
      <c r="D130" s="334" t="s">
        <v>1632</v>
      </c>
      <c r="E130" s="332" t="s">
        <v>1447</v>
      </c>
      <c r="F130" t="s">
        <v>578</v>
      </c>
      <c r="G130" s="324" t="s">
        <v>1369</v>
      </c>
      <c r="H130" t="s">
        <v>1545</v>
      </c>
      <c r="I130" t="s">
        <v>1510</v>
      </c>
    </row>
    <row r="131" spans="1:9" ht="14.45">
      <c r="A131" t="s">
        <v>10</v>
      </c>
      <c r="B131" t="s">
        <v>831</v>
      </c>
      <c r="C131" s="330" t="s">
        <v>833</v>
      </c>
      <c r="D131" s="333" t="s">
        <v>1633</v>
      </c>
      <c r="E131" s="333" t="s">
        <v>1634</v>
      </c>
      <c r="F131" t="s">
        <v>834</v>
      </c>
      <c r="G131" s="324" t="s">
        <v>1421</v>
      </c>
      <c r="H131" t="s">
        <v>117</v>
      </c>
      <c r="I131" t="s">
        <v>1618</v>
      </c>
    </row>
    <row r="132" spans="1:9" ht="14.45">
      <c r="A132" t="s">
        <v>13</v>
      </c>
      <c r="B132" t="s">
        <v>836</v>
      </c>
      <c r="C132" s="330" t="s">
        <v>837</v>
      </c>
      <c r="D132" s="330" t="s">
        <v>1635</v>
      </c>
      <c r="E132" s="330" t="s">
        <v>1636</v>
      </c>
      <c r="F132" t="s">
        <v>838</v>
      </c>
      <c r="G132" s="324" t="s">
        <v>1421</v>
      </c>
      <c r="H132" t="s">
        <v>117</v>
      </c>
      <c r="I132" t="s">
        <v>1618</v>
      </c>
    </row>
    <row r="133" spans="1:9" ht="14.45">
      <c r="A133" t="s">
        <v>232</v>
      </c>
      <c r="B133" t="s">
        <v>840</v>
      </c>
      <c r="C133" s="330" t="s">
        <v>841</v>
      </c>
      <c r="D133" s="330" t="s">
        <v>1637</v>
      </c>
      <c r="E133" s="332" t="s">
        <v>1447</v>
      </c>
      <c r="F133" t="s">
        <v>842</v>
      </c>
      <c r="G133" s="324" t="s">
        <v>1421</v>
      </c>
      <c r="H133" t="s">
        <v>117</v>
      </c>
      <c r="I133" t="s">
        <v>1618</v>
      </c>
    </row>
    <row r="134" spans="1:9" ht="14.45">
      <c r="A134" t="s">
        <v>8</v>
      </c>
      <c r="B134" t="s">
        <v>844</v>
      </c>
      <c r="C134" s="330" t="s">
        <v>846</v>
      </c>
      <c r="D134" s="333" t="s">
        <v>1638</v>
      </c>
      <c r="E134" s="333" t="s">
        <v>1639</v>
      </c>
      <c r="F134" t="s">
        <v>847</v>
      </c>
      <c r="G134" s="324" t="s">
        <v>1421</v>
      </c>
      <c r="H134" t="s">
        <v>117</v>
      </c>
      <c r="I134" t="s">
        <v>1618</v>
      </c>
    </row>
    <row r="135" spans="1:9" ht="14.45">
      <c r="A135" t="s">
        <v>8</v>
      </c>
      <c r="B135" t="s">
        <v>849</v>
      </c>
      <c r="C135" s="330" t="s">
        <v>851</v>
      </c>
      <c r="D135" s="333" t="s">
        <v>1640</v>
      </c>
      <c r="E135" s="333" t="s">
        <v>1641</v>
      </c>
      <c r="F135" t="s">
        <v>852</v>
      </c>
      <c r="G135" s="324" t="s">
        <v>1421</v>
      </c>
      <c r="H135" t="s">
        <v>117</v>
      </c>
      <c r="I135" t="s">
        <v>1618</v>
      </c>
    </row>
    <row r="136" spans="1:9" ht="14.45">
      <c r="A136" t="s">
        <v>5</v>
      </c>
      <c r="B136" t="s">
        <v>1642</v>
      </c>
      <c r="C136" s="330" t="s">
        <v>1643</v>
      </c>
      <c r="D136" s="333" t="s">
        <v>1644</v>
      </c>
      <c r="E136" s="333" t="s">
        <v>1645</v>
      </c>
      <c r="F136" t="s">
        <v>781</v>
      </c>
      <c r="G136" s="324" t="s">
        <v>1369</v>
      </c>
      <c r="H136" t="s">
        <v>1545</v>
      </c>
      <c r="I136" t="s">
        <v>1510</v>
      </c>
    </row>
    <row r="137" spans="1:9" ht="14.45">
      <c r="A137" t="s">
        <v>5</v>
      </c>
      <c r="B137" t="s">
        <v>854</v>
      </c>
      <c r="C137" s="330" t="s">
        <v>855</v>
      </c>
      <c r="D137" s="333" t="s">
        <v>1646</v>
      </c>
      <c r="E137" s="333" t="s">
        <v>1647</v>
      </c>
      <c r="F137" t="s">
        <v>314</v>
      </c>
      <c r="G137" s="324" t="s">
        <v>1369</v>
      </c>
      <c r="H137" t="s">
        <v>1545</v>
      </c>
      <c r="I137" t="s">
        <v>1510</v>
      </c>
    </row>
    <row r="138" spans="1:9" ht="14.45">
      <c r="A138" t="s">
        <v>5</v>
      </c>
      <c r="B138" t="s">
        <v>858</v>
      </c>
      <c r="C138" s="330" t="s">
        <v>859</v>
      </c>
      <c r="D138" s="333" t="s">
        <v>1648</v>
      </c>
      <c r="E138" s="333" t="s">
        <v>1647</v>
      </c>
      <c r="F138" t="s">
        <v>578</v>
      </c>
      <c r="G138" s="324" t="s">
        <v>1369</v>
      </c>
      <c r="H138" t="s">
        <v>1545</v>
      </c>
      <c r="I138" t="s">
        <v>1510</v>
      </c>
    </row>
    <row r="139" spans="1:9" ht="14.45">
      <c r="A139" t="s">
        <v>5</v>
      </c>
      <c r="B139" t="s">
        <v>861</v>
      </c>
      <c r="C139" s="330" t="s">
        <v>862</v>
      </c>
      <c r="D139" s="333" t="s">
        <v>1649</v>
      </c>
      <c r="E139" s="333" t="s">
        <v>1650</v>
      </c>
      <c r="F139" t="s">
        <v>406</v>
      </c>
      <c r="G139" s="324" t="s">
        <v>1369</v>
      </c>
      <c r="H139" t="s">
        <v>1545</v>
      </c>
      <c r="I139" t="s">
        <v>1510</v>
      </c>
    </row>
    <row r="140" spans="1:9" ht="14.45">
      <c r="A140" t="s">
        <v>5</v>
      </c>
      <c r="B140" t="s">
        <v>820</v>
      </c>
      <c r="C140" s="330" t="s">
        <v>1651</v>
      </c>
      <c r="D140" s="333" t="s">
        <v>1652</v>
      </c>
      <c r="E140" s="333" t="s">
        <v>1647</v>
      </c>
      <c r="F140" t="s">
        <v>747</v>
      </c>
      <c r="G140" s="324" t="s">
        <v>1369</v>
      </c>
      <c r="H140" t="s">
        <v>1545</v>
      </c>
      <c r="I140" t="s">
        <v>1510</v>
      </c>
    </row>
    <row r="141" spans="1:9" ht="14.45">
      <c r="A141" t="s">
        <v>5</v>
      </c>
      <c r="B141" t="s">
        <v>824</v>
      </c>
      <c r="C141" s="330" t="s">
        <v>1653</v>
      </c>
      <c r="D141" s="333" t="s">
        <v>1654</v>
      </c>
      <c r="E141" s="333" t="s">
        <v>1647</v>
      </c>
      <c r="F141" t="s">
        <v>1655</v>
      </c>
      <c r="G141" s="324" t="s">
        <v>1369</v>
      </c>
      <c r="H141" t="s">
        <v>1545</v>
      </c>
      <c r="I141" t="s">
        <v>1510</v>
      </c>
    </row>
    <row r="142" spans="1:9" ht="14.45">
      <c r="A142" t="s">
        <v>5</v>
      </c>
      <c r="B142" t="s">
        <v>868</v>
      </c>
      <c r="C142" s="330" t="s">
        <v>869</v>
      </c>
      <c r="D142" s="333" t="s">
        <v>1656</v>
      </c>
      <c r="E142" s="333" t="s">
        <v>1647</v>
      </c>
      <c r="F142" t="s">
        <v>1657</v>
      </c>
      <c r="G142" s="324" t="s">
        <v>1369</v>
      </c>
      <c r="H142" t="s">
        <v>1545</v>
      </c>
      <c r="I142" t="s">
        <v>1510</v>
      </c>
    </row>
    <row r="143" spans="1:9" ht="14.45">
      <c r="A143" t="s">
        <v>5</v>
      </c>
      <c r="B143" t="s">
        <v>778</v>
      </c>
      <c r="C143" s="330" t="s">
        <v>780</v>
      </c>
      <c r="D143" s="333" t="s">
        <v>1658</v>
      </c>
      <c r="E143" s="333" t="s">
        <v>1645</v>
      </c>
      <c r="F143" t="s">
        <v>781</v>
      </c>
      <c r="G143" s="324" t="s">
        <v>1369</v>
      </c>
      <c r="H143" t="s">
        <v>1545</v>
      </c>
      <c r="I143" t="s">
        <v>1510</v>
      </c>
    </row>
    <row r="144" spans="1:9" ht="15" customHeight="1">
      <c r="A144" s="2" t="s">
        <v>11</v>
      </c>
      <c r="B144" s="2" t="s">
        <v>89</v>
      </c>
      <c r="C144" s="331" t="s">
        <v>90</v>
      </c>
      <c r="D144" s="330" t="s">
        <v>1392</v>
      </c>
      <c r="E144" s="332" t="s">
        <v>1393</v>
      </c>
      <c r="F144" s="2" t="s">
        <v>91</v>
      </c>
      <c r="G144" s="324" t="s">
        <v>1659</v>
      </c>
      <c r="H144" t="s">
        <v>1370</v>
      </c>
      <c r="I144" t="s">
        <v>1660</v>
      </c>
    </row>
    <row r="145" spans="1:9" ht="15" customHeight="1">
      <c r="A145" s="2" t="s">
        <v>1380</v>
      </c>
      <c r="B145" s="2" t="s">
        <v>119</v>
      </c>
      <c r="C145" s="331" t="s">
        <v>121</v>
      </c>
      <c r="D145" s="334" t="s">
        <v>1408</v>
      </c>
      <c r="E145" s="334" t="s">
        <v>1409</v>
      </c>
      <c r="F145" s="4">
        <v>45870.988194444442</v>
      </c>
      <c r="G145" s="324" t="s">
        <v>1382</v>
      </c>
      <c r="H145" t="s">
        <v>1370</v>
      </c>
      <c r="I145" t="s">
        <v>1661</v>
      </c>
    </row>
    <row r="146" spans="1:9" ht="15" customHeight="1">
      <c r="A146" s="2" t="s">
        <v>1380</v>
      </c>
      <c r="B146" s="2" t="s">
        <v>123</v>
      </c>
      <c r="C146" s="331" t="s">
        <v>124</v>
      </c>
      <c r="D146" s="334" t="s">
        <v>1411</v>
      </c>
      <c r="E146" s="334" t="s">
        <v>1412</v>
      </c>
      <c r="F146" s="4">
        <v>45870.900694444441</v>
      </c>
      <c r="G146" s="324" t="s">
        <v>1382</v>
      </c>
      <c r="H146" t="s">
        <v>1370</v>
      </c>
      <c r="I146" t="s">
        <v>1661</v>
      </c>
    </row>
    <row r="147" spans="1:9" ht="15" customHeight="1">
      <c r="A147" s="2" t="s">
        <v>4</v>
      </c>
      <c r="B147" s="2" t="s">
        <v>252</v>
      </c>
      <c r="C147" s="331" t="s">
        <v>254</v>
      </c>
      <c r="D147" s="333" t="s">
        <v>1477</v>
      </c>
      <c r="E147" s="333" t="s">
        <v>1478</v>
      </c>
      <c r="F147" s="2" t="s">
        <v>255</v>
      </c>
      <c r="G147" s="324" t="s">
        <v>1388</v>
      </c>
      <c r="H147" t="s">
        <v>1370</v>
      </c>
      <c r="I147" t="s">
        <v>1662</v>
      </c>
    </row>
    <row r="148" spans="1:9" ht="15" customHeight="1">
      <c r="A148" s="2" t="s">
        <v>12</v>
      </c>
      <c r="B148" s="2" t="s">
        <v>331</v>
      </c>
      <c r="C148" s="331" t="s">
        <v>332</v>
      </c>
      <c r="D148" s="333" t="s">
        <v>1663</v>
      </c>
      <c r="E148" s="333" t="s">
        <v>1664</v>
      </c>
      <c r="F148" s="2" t="s">
        <v>333</v>
      </c>
      <c r="G148" s="324" t="s">
        <v>1665</v>
      </c>
      <c r="H148" t="s">
        <v>1489</v>
      </c>
      <c r="I148" t="s">
        <v>1666</v>
      </c>
    </row>
    <row r="149" spans="1:9" ht="15" customHeight="1">
      <c r="A149" s="2" t="s">
        <v>12</v>
      </c>
      <c r="B149" s="2" t="s">
        <v>356</v>
      </c>
      <c r="C149" s="331" t="s">
        <v>357</v>
      </c>
      <c r="D149" s="333" t="s">
        <v>1528</v>
      </c>
      <c r="E149" s="333" t="s">
        <v>1529</v>
      </c>
      <c r="F149" s="2" t="s">
        <v>333</v>
      </c>
      <c r="G149" s="324" t="s">
        <v>1665</v>
      </c>
      <c r="H149" t="s">
        <v>1489</v>
      </c>
      <c r="I149" t="s">
        <v>1666</v>
      </c>
    </row>
    <row r="150" spans="1:9" ht="15" customHeight="1">
      <c r="A150" s="2" t="s">
        <v>12</v>
      </c>
      <c r="B150" s="2" t="s">
        <v>360</v>
      </c>
      <c r="C150" s="331" t="s">
        <v>361</v>
      </c>
      <c r="D150" s="333" t="s">
        <v>1530</v>
      </c>
      <c r="E150" s="333" t="s">
        <v>1531</v>
      </c>
      <c r="F150" s="2" t="s">
        <v>333</v>
      </c>
      <c r="G150" s="324" t="s">
        <v>1665</v>
      </c>
      <c r="H150" t="s">
        <v>1489</v>
      </c>
      <c r="I150" t="s">
        <v>1666</v>
      </c>
    </row>
    <row r="151" spans="1:9" ht="15" customHeight="1">
      <c r="A151" s="2" t="s">
        <v>6</v>
      </c>
      <c r="B151" s="2" t="s">
        <v>391</v>
      </c>
      <c r="C151" s="331" t="s">
        <v>392</v>
      </c>
      <c r="D151" s="333" t="s">
        <v>1543</v>
      </c>
      <c r="E151" s="333" t="s">
        <v>1544</v>
      </c>
      <c r="F151" s="2" t="s">
        <v>333</v>
      </c>
      <c r="G151" s="324" t="s">
        <v>1665</v>
      </c>
      <c r="H151" t="s">
        <v>1545</v>
      </c>
      <c r="I151" t="s">
        <v>1666</v>
      </c>
    </row>
    <row r="152" spans="1:9" ht="15" customHeight="1">
      <c r="A152" s="2" t="s">
        <v>6</v>
      </c>
      <c r="B152" s="2" t="s">
        <v>409</v>
      </c>
      <c r="C152" s="331" t="s">
        <v>410</v>
      </c>
      <c r="D152" s="333" t="s">
        <v>1553</v>
      </c>
      <c r="E152" s="333" t="s">
        <v>1554</v>
      </c>
      <c r="F152" s="2" t="s">
        <v>333</v>
      </c>
      <c r="G152" s="324" t="s">
        <v>1665</v>
      </c>
      <c r="H152" t="s">
        <v>1545</v>
      </c>
      <c r="I152" t="s">
        <v>1666</v>
      </c>
    </row>
    <row r="153" spans="1:9" ht="15" customHeight="1">
      <c r="A153" s="2" t="s">
        <v>6</v>
      </c>
      <c r="B153" s="2" t="s">
        <v>487</v>
      </c>
      <c r="C153" s="331" t="s">
        <v>488</v>
      </c>
      <c r="D153" s="333" t="s">
        <v>1587</v>
      </c>
      <c r="E153" s="333" t="s">
        <v>1588</v>
      </c>
      <c r="F153" s="2" t="s">
        <v>333</v>
      </c>
      <c r="G153" s="324" t="s">
        <v>1665</v>
      </c>
      <c r="H153" t="s">
        <v>1545</v>
      </c>
      <c r="I153" t="s">
        <v>1666</v>
      </c>
    </row>
    <row r="154" spans="1:9" ht="15" customHeight="1">
      <c r="A154" s="2" t="s">
        <v>6</v>
      </c>
      <c r="B154" s="2" t="s">
        <v>501</v>
      </c>
      <c r="C154" s="331" t="s">
        <v>503</v>
      </c>
      <c r="D154" s="333" t="s">
        <v>1667</v>
      </c>
      <c r="E154" s="333" t="s">
        <v>1668</v>
      </c>
      <c r="F154" s="2" t="s">
        <v>447</v>
      </c>
      <c r="G154" s="324" t="s">
        <v>1665</v>
      </c>
      <c r="H154" t="s">
        <v>1545</v>
      </c>
      <c r="I154" t="s">
        <v>1669</v>
      </c>
    </row>
    <row r="155" spans="1:9" ht="15" customHeight="1">
      <c r="A155" s="2" t="s">
        <v>6</v>
      </c>
      <c r="B155" s="2" t="s">
        <v>506</v>
      </c>
      <c r="C155" s="331" t="s">
        <v>508</v>
      </c>
      <c r="D155" s="333" t="s">
        <v>1670</v>
      </c>
      <c r="E155" s="333" t="s">
        <v>1671</v>
      </c>
      <c r="F155" s="2" t="s">
        <v>447</v>
      </c>
      <c r="G155" s="324" t="s">
        <v>1665</v>
      </c>
      <c r="H155" t="s">
        <v>1545</v>
      </c>
      <c r="I155" t="s">
        <v>1669</v>
      </c>
    </row>
    <row r="156" spans="1:9" ht="15" customHeight="1">
      <c r="A156" s="2" t="s">
        <v>6</v>
      </c>
      <c r="B156" s="2" t="s">
        <v>510</v>
      </c>
      <c r="C156" s="331" t="s">
        <v>511</v>
      </c>
      <c r="D156" s="333" t="s">
        <v>1672</v>
      </c>
      <c r="E156" s="333" t="s">
        <v>1673</v>
      </c>
      <c r="F156" s="2" t="s">
        <v>512</v>
      </c>
      <c r="G156" s="324" t="s">
        <v>1665</v>
      </c>
      <c r="H156" t="s">
        <v>1545</v>
      </c>
      <c r="I156" t="s">
        <v>1669</v>
      </c>
    </row>
    <row r="157" spans="1:9" ht="15" customHeight="1">
      <c r="A157" s="2" t="s">
        <v>6</v>
      </c>
      <c r="B157" s="2" t="s">
        <v>516</v>
      </c>
      <c r="C157" s="331" t="s">
        <v>517</v>
      </c>
      <c r="D157" s="333" t="s">
        <v>1674</v>
      </c>
      <c r="E157" s="333" t="s">
        <v>1675</v>
      </c>
      <c r="F157" s="2" t="s">
        <v>512</v>
      </c>
      <c r="G157" s="324" t="s">
        <v>1665</v>
      </c>
      <c r="H157" t="s">
        <v>1545</v>
      </c>
      <c r="I157" t="s">
        <v>1669</v>
      </c>
    </row>
    <row r="158" spans="1:9" ht="15" customHeight="1">
      <c r="A158" s="2" t="s">
        <v>6</v>
      </c>
      <c r="B158" s="2" t="s">
        <v>519</v>
      </c>
      <c r="C158" s="331" t="s">
        <v>520</v>
      </c>
      <c r="D158" s="333" t="s">
        <v>1676</v>
      </c>
      <c r="E158" s="333" t="s">
        <v>1677</v>
      </c>
      <c r="F158" s="2" t="s">
        <v>512</v>
      </c>
      <c r="G158" s="324" t="s">
        <v>1665</v>
      </c>
      <c r="H158" t="s">
        <v>1545</v>
      </c>
      <c r="I158" t="s">
        <v>1669</v>
      </c>
    </row>
    <row r="159" spans="1:9" ht="15" customHeight="1">
      <c r="A159" s="2" t="s">
        <v>6</v>
      </c>
      <c r="B159" s="2" t="s">
        <v>522</v>
      </c>
      <c r="C159" s="331" t="s">
        <v>523</v>
      </c>
      <c r="D159" s="333" t="s">
        <v>1678</v>
      </c>
      <c r="E159" s="333" t="s">
        <v>1679</v>
      </c>
      <c r="F159" s="2" t="s">
        <v>512</v>
      </c>
      <c r="G159" s="324" t="s">
        <v>1665</v>
      </c>
      <c r="H159" t="s">
        <v>1545</v>
      </c>
      <c r="I159" t="s">
        <v>1669</v>
      </c>
    </row>
    <row r="160" spans="1:9" ht="15" customHeight="1">
      <c r="A160" s="2" t="s">
        <v>6</v>
      </c>
      <c r="B160" s="2" t="s">
        <v>525</v>
      </c>
      <c r="C160" s="331" t="s">
        <v>526</v>
      </c>
      <c r="D160" s="333" t="s">
        <v>1680</v>
      </c>
      <c r="E160" s="333" t="s">
        <v>1681</v>
      </c>
      <c r="F160" s="2" t="s">
        <v>512</v>
      </c>
      <c r="G160" s="324" t="s">
        <v>1665</v>
      </c>
      <c r="H160" t="s">
        <v>1545</v>
      </c>
      <c r="I160" t="s">
        <v>1669</v>
      </c>
    </row>
    <row r="161" spans="1:9" ht="15" customHeight="1">
      <c r="A161" s="2" t="s">
        <v>6</v>
      </c>
      <c r="B161" s="2" t="s">
        <v>528</v>
      </c>
      <c r="C161" s="331" t="s">
        <v>529</v>
      </c>
      <c r="D161" s="333" t="s">
        <v>1682</v>
      </c>
      <c r="E161" s="333" t="s">
        <v>1683</v>
      </c>
      <c r="F161" s="2" t="s">
        <v>512</v>
      </c>
      <c r="G161" s="324" t="s">
        <v>1665</v>
      </c>
      <c r="H161" t="s">
        <v>1545</v>
      </c>
      <c r="I161" t="s">
        <v>1669</v>
      </c>
    </row>
    <row r="162" spans="1:9" ht="15" customHeight="1">
      <c r="A162" s="2" t="s">
        <v>6</v>
      </c>
      <c r="B162" s="2" t="s">
        <v>531</v>
      </c>
      <c r="C162" s="331" t="s">
        <v>532</v>
      </c>
      <c r="D162" s="333" t="s">
        <v>1684</v>
      </c>
      <c r="E162" s="333" t="s">
        <v>1685</v>
      </c>
      <c r="F162" s="2" t="s">
        <v>512</v>
      </c>
      <c r="G162" s="324" t="s">
        <v>1665</v>
      </c>
      <c r="H162" t="s">
        <v>1545</v>
      </c>
      <c r="I162" t="s">
        <v>1669</v>
      </c>
    </row>
    <row r="163" spans="1:9" ht="15" customHeight="1">
      <c r="A163" s="2" t="s">
        <v>6</v>
      </c>
      <c r="B163" s="2" t="s">
        <v>534</v>
      </c>
      <c r="C163" s="331" t="s">
        <v>535</v>
      </c>
      <c r="D163" s="333" t="s">
        <v>1686</v>
      </c>
      <c r="E163" s="333" t="s">
        <v>1687</v>
      </c>
      <c r="F163" s="2" t="s">
        <v>512</v>
      </c>
      <c r="G163" s="324" t="s">
        <v>1665</v>
      </c>
      <c r="H163" t="s">
        <v>1545</v>
      </c>
      <c r="I163" t="s">
        <v>1669</v>
      </c>
    </row>
    <row r="164" spans="1:9" ht="15" customHeight="1">
      <c r="A164" s="2" t="s">
        <v>6</v>
      </c>
      <c r="B164" s="2" t="s">
        <v>537</v>
      </c>
      <c r="C164" s="331" t="s">
        <v>538</v>
      </c>
      <c r="D164" s="333" t="s">
        <v>1688</v>
      </c>
      <c r="E164" s="333" t="s">
        <v>1689</v>
      </c>
      <c r="F164" s="2" t="s">
        <v>512</v>
      </c>
      <c r="G164" s="324" t="s">
        <v>1665</v>
      </c>
      <c r="H164" t="s">
        <v>1545</v>
      </c>
      <c r="I164" t="s">
        <v>1669</v>
      </c>
    </row>
    <row r="165" spans="1:9" ht="15" customHeight="1">
      <c r="A165" s="2" t="s">
        <v>6</v>
      </c>
      <c r="B165" s="2" t="s">
        <v>540</v>
      </c>
      <c r="C165" s="331" t="s">
        <v>541</v>
      </c>
      <c r="D165" s="333" t="s">
        <v>1690</v>
      </c>
      <c r="E165" s="333" t="s">
        <v>1691</v>
      </c>
      <c r="F165" s="2" t="s">
        <v>512</v>
      </c>
      <c r="G165" s="324" t="s">
        <v>1665</v>
      </c>
      <c r="H165" t="s">
        <v>1545</v>
      </c>
      <c r="I165" t="s">
        <v>1669</v>
      </c>
    </row>
    <row r="166" spans="1:9" ht="15" customHeight="1">
      <c r="A166" s="2" t="s">
        <v>6</v>
      </c>
      <c r="B166" s="2" t="s">
        <v>543</v>
      </c>
      <c r="C166" s="331" t="s">
        <v>544</v>
      </c>
      <c r="D166" s="333" t="s">
        <v>1692</v>
      </c>
      <c r="E166" s="333" t="s">
        <v>1693</v>
      </c>
      <c r="F166" s="2" t="s">
        <v>512</v>
      </c>
      <c r="G166" s="324" t="s">
        <v>1665</v>
      </c>
      <c r="H166" t="s">
        <v>1545</v>
      </c>
      <c r="I166" t="s">
        <v>1694</v>
      </c>
    </row>
    <row r="167" spans="1:9" ht="15" customHeight="1">
      <c r="A167" s="2" t="s">
        <v>6</v>
      </c>
      <c r="B167" s="2" t="s">
        <v>546</v>
      </c>
      <c r="C167" s="331" t="s">
        <v>547</v>
      </c>
      <c r="D167" s="333" t="s">
        <v>1695</v>
      </c>
      <c r="E167" s="333" t="s">
        <v>1696</v>
      </c>
      <c r="F167" s="2" t="s">
        <v>512</v>
      </c>
      <c r="G167" s="324" t="s">
        <v>1665</v>
      </c>
      <c r="H167" t="s">
        <v>1545</v>
      </c>
      <c r="I167" t="s">
        <v>1694</v>
      </c>
    </row>
    <row r="168" spans="1:9" ht="15" customHeight="1">
      <c r="A168" s="2" t="s">
        <v>6</v>
      </c>
      <c r="B168" s="2" t="s">
        <v>549</v>
      </c>
      <c r="C168" s="331" t="s">
        <v>550</v>
      </c>
      <c r="D168" s="333" t="s">
        <v>1697</v>
      </c>
      <c r="E168" s="333" t="s">
        <v>1698</v>
      </c>
      <c r="F168" s="2" t="s">
        <v>442</v>
      </c>
      <c r="G168" s="324" t="s">
        <v>1665</v>
      </c>
      <c r="H168" t="s">
        <v>1545</v>
      </c>
      <c r="I168" t="s">
        <v>1699</v>
      </c>
    </row>
    <row r="169" spans="1:9" ht="15" customHeight="1">
      <c r="A169" s="2" t="s">
        <v>6</v>
      </c>
      <c r="B169" s="2" t="s">
        <v>553</v>
      </c>
      <c r="C169" s="331" t="s">
        <v>554</v>
      </c>
      <c r="D169" s="333" t="s">
        <v>1700</v>
      </c>
      <c r="E169" s="333" t="s">
        <v>1701</v>
      </c>
      <c r="F169" s="2" t="s">
        <v>442</v>
      </c>
      <c r="G169" s="324" t="s">
        <v>1665</v>
      </c>
      <c r="H169" t="s">
        <v>1545</v>
      </c>
      <c r="I169" t="s">
        <v>1699</v>
      </c>
    </row>
    <row r="170" spans="1:9" ht="15" customHeight="1">
      <c r="A170" s="2" t="s">
        <v>6</v>
      </c>
      <c r="B170" s="2" t="s">
        <v>556</v>
      </c>
      <c r="C170" s="331" t="s">
        <v>557</v>
      </c>
      <c r="D170" s="333" t="s">
        <v>1702</v>
      </c>
      <c r="E170" s="333" t="s">
        <v>1698</v>
      </c>
      <c r="F170" s="2" t="s">
        <v>558</v>
      </c>
      <c r="G170" s="324" t="s">
        <v>1665</v>
      </c>
      <c r="H170" t="s">
        <v>1545</v>
      </c>
      <c r="I170" t="s">
        <v>1666</v>
      </c>
    </row>
    <row r="171" spans="1:9" ht="15" customHeight="1">
      <c r="A171" s="2" t="s">
        <v>6</v>
      </c>
      <c r="B171" s="2" t="s">
        <v>561</v>
      </c>
      <c r="C171" s="331" t="s">
        <v>562</v>
      </c>
      <c r="D171" s="333" t="s">
        <v>1703</v>
      </c>
      <c r="E171" s="333" t="s">
        <v>1701</v>
      </c>
      <c r="F171" s="2" t="s">
        <v>563</v>
      </c>
      <c r="G171" s="324" t="s">
        <v>1665</v>
      </c>
      <c r="H171" t="s">
        <v>1545</v>
      </c>
      <c r="I171" t="s">
        <v>1666</v>
      </c>
    </row>
    <row r="172" spans="1:9" ht="15" customHeight="1">
      <c r="A172" s="2" t="s">
        <v>5</v>
      </c>
      <c r="B172" s="2" t="s">
        <v>601</v>
      </c>
      <c r="C172" s="331" t="s">
        <v>602</v>
      </c>
      <c r="D172" s="333" t="s">
        <v>1608</v>
      </c>
      <c r="E172" s="333" t="s">
        <v>1609</v>
      </c>
      <c r="F172" s="2" t="s">
        <v>603</v>
      </c>
      <c r="G172" s="324" t="s">
        <v>1665</v>
      </c>
      <c r="H172" t="s">
        <v>1545</v>
      </c>
      <c r="I172" t="s">
        <v>1666</v>
      </c>
    </row>
    <row r="173" spans="1:9" ht="15" customHeight="1">
      <c r="A173" s="2" t="s">
        <v>5</v>
      </c>
      <c r="B173" s="2" t="s">
        <v>613</v>
      </c>
      <c r="C173" s="331" t="s">
        <v>615</v>
      </c>
      <c r="D173" s="332" t="s">
        <v>1537</v>
      </c>
      <c r="E173" s="332" t="s">
        <v>1538</v>
      </c>
      <c r="F173" s="2" t="s">
        <v>616</v>
      </c>
      <c r="G173" s="324" t="s">
        <v>1665</v>
      </c>
      <c r="H173" t="s">
        <v>1545</v>
      </c>
      <c r="I173" t="s">
        <v>1666</v>
      </c>
    </row>
    <row r="174" spans="1:9" ht="15" customHeight="1">
      <c r="A174" s="2" t="s">
        <v>5</v>
      </c>
      <c r="B174" s="2" t="s">
        <v>1704</v>
      </c>
      <c r="C174" s="331" t="s">
        <v>619</v>
      </c>
      <c r="D174" s="332" t="s">
        <v>1537</v>
      </c>
      <c r="E174" s="332" t="s">
        <v>1538</v>
      </c>
      <c r="F174" s="2" t="s">
        <v>620</v>
      </c>
      <c r="G174" s="324" t="s">
        <v>1665</v>
      </c>
      <c r="H174" t="s">
        <v>1545</v>
      </c>
      <c r="I174" t="s">
        <v>1666</v>
      </c>
    </row>
    <row r="175" spans="1:9" ht="15" customHeight="1">
      <c r="A175" s="2" t="s">
        <v>4</v>
      </c>
      <c r="B175" s="2" t="s">
        <v>630</v>
      </c>
      <c r="C175" s="331" t="s">
        <v>632</v>
      </c>
      <c r="D175" s="333" t="s">
        <v>1705</v>
      </c>
      <c r="E175" s="333" t="s">
        <v>1706</v>
      </c>
      <c r="F175" s="2" t="s">
        <v>333</v>
      </c>
      <c r="G175" s="324" t="s">
        <v>1665</v>
      </c>
      <c r="H175" t="s">
        <v>1545</v>
      </c>
      <c r="I175" t="s">
        <v>1707</v>
      </c>
    </row>
    <row r="176" spans="1:9" ht="15" customHeight="1">
      <c r="A176" s="2" t="s">
        <v>4</v>
      </c>
      <c r="B176" s="2" t="s">
        <v>636</v>
      </c>
      <c r="C176" s="331" t="s">
        <v>1708</v>
      </c>
      <c r="D176" s="333" t="s">
        <v>1709</v>
      </c>
      <c r="E176" s="333" t="s">
        <v>1710</v>
      </c>
      <c r="F176" s="2" t="s">
        <v>333</v>
      </c>
      <c r="G176" s="324" t="s">
        <v>1665</v>
      </c>
      <c r="H176" t="s">
        <v>1545</v>
      </c>
      <c r="I176" t="s">
        <v>1666</v>
      </c>
    </row>
    <row r="177" spans="1:9" ht="15" customHeight="1">
      <c r="A177" s="2" t="s">
        <v>4</v>
      </c>
      <c r="B177" s="2" t="s">
        <v>640</v>
      </c>
      <c r="C177" s="331" t="s">
        <v>1711</v>
      </c>
      <c r="D177" s="333" t="s">
        <v>1712</v>
      </c>
      <c r="E177" s="333" t="s">
        <v>1713</v>
      </c>
      <c r="F177" s="2" t="s">
        <v>333</v>
      </c>
      <c r="G177" s="324" t="s">
        <v>1665</v>
      </c>
      <c r="H177" t="s">
        <v>1545</v>
      </c>
      <c r="I177" t="s">
        <v>1666</v>
      </c>
    </row>
    <row r="178" spans="1:9" ht="15" customHeight="1">
      <c r="A178" s="2" t="s">
        <v>4</v>
      </c>
      <c r="B178" s="2" t="s">
        <v>643</v>
      </c>
      <c r="C178" s="331" t="s">
        <v>1714</v>
      </c>
      <c r="D178" s="333" t="s">
        <v>1715</v>
      </c>
      <c r="E178" s="333" t="s">
        <v>1716</v>
      </c>
      <c r="F178" s="2" t="s">
        <v>333</v>
      </c>
      <c r="G178" s="324" t="s">
        <v>1665</v>
      </c>
      <c r="H178" t="s">
        <v>1545</v>
      </c>
      <c r="I178" t="s">
        <v>1666</v>
      </c>
    </row>
    <row r="179" spans="1:9" ht="15" customHeight="1">
      <c r="A179" s="2" t="s">
        <v>4</v>
      </c>
      <c r="B179" s="2" t="s">
        <v>646</v>
      </c>
      <c r="C179" s="331" t="s">
        <v>1717</v>
      </c>
      <c r="D179" s="333" t="s">
        <v>1718</v>
      </c>
      <c r="E179" s="333" t="s">
        <v>1719</v>
      </c>
      <c r="F179" s="2" t="s">
        <v>333</v>
      </c>
      <c r="G179" s="324" t="s">
        <v>1382</v>
      </c>
      <c r="H179" t="s">
        <v>1545</v>
      </c>
      <c r="I179" t="s">
        <v>1383</v>
      </c>
    </row>
    <row r="180" spans="1:9" ht="15" customHeight="1">
      <c r="A180" s="2" t="s">
        <v>4</v>
      </c>
      <c r="B180" s="2" t="s">
        <v>649</v>
      </c>
      <c r="C180" s="331" t="s">
        <v>1720</v>
      </c>
      <c r="D180" s="333" t="s">
        <v>1721</v>
      </c>
      <c r="E180" s="333" t="s">
        <v>1722</v>
      </c>
      <c r="F180" s="2" t="s">
        <v>333</v>
      </c>
      <c r="G180" s="324" t="s">
        <v>1382</v>
      </c>
      <c r="H180" t="s">
        <v>1545</v>
      </c>
      <c r="I180" t="s">
        <v>1383</v>
      </c>
    </row>
    <row r="181" spans="1:9" ht="15" customHeight="1">
      <c r="A181" s="2" t="s">
        <v>4</v>
      </c>
      <c r="B181" s="2" t="s">
        <v>652</v>
      </c>
      <c r="C181" s="331" t="s">
        <v>1723</v>
      </c>
      <c r="D181" s="333" t="s">
        <v>1724</v>
      </c>
      <c r="E181" s="333" t="s">
        <v>1725</v>
      </c>
      <c r="F181" s="2" t="s">
        <v>333</v>
      </c>
      <c r="G181" s="324" t="s">
        <v>1665</v>
      </c>
      <c r="H181" t="s">
        <v>1545</v>
      </c>
      <c r="I181" t="s">
        <v>1666</v>
      </c>
    </row>
    <row r="182" spans="1:9" ht="15" customHeight="1">
      <c r="A182" s="2" t="s">
        <v>4</v>
      </c>
      <c r="B182" s="2" t="s">
        <v>655</v>
      </c>
      <c r="C182" s="331" t="s">
        <v>1726</v>
      </c>
      <c r="D182" s="333" t="s">
        <v>1727</v>
      </c>
      <c r="E182" s="333" t="s">
        <v>1728</v>
      </c>
      <c r="F182" s="2" t="s">
        <v>333</v>
      </c>
      <c r="G182" s="324" t="s">
        <v>1665</v>
      </c>
      <c r="H182" t="s">
        <v>1545</v>
      </c>
      <c r="I182" t="s">
        <v>1666</v>
      </c>
    </row>
    <row r="183" spans="1:9" ht="15" customHeight="1">
      <c r="A183" s="2" t="s">
        <v>4</v>
      </c>
      <c r="B183" s="2" t="s">
        <v>658</v>
      </c>
      <c r="C183" s="331" t="s">
        <v>1729</v>
      </c>
      <c r="D183" s="333" t="s">
        <v>1730</v>
      </c>
      <c r="E183" s="333" t="s">
        <v>1731</v>
      </c>
      <c r="F183" s="2" t="s">
        <v>333</v>
      </c>
      <c r="G183" s="324" t="s">
        <v>1659</v>
      </c>
      <c r="H183" t="s">
        <v>1404</v>
      </c>
      <c r="I183" t="s">
        <v>1732</v>
      </c>
    </row>
    <row r="184" spans="1:9" ht="15" customHeight="1">
      <c r="A184" s="2" t="s">
        <v>4</v>
      </c>
      <c r="B184" s="2" t="s">
        <v>661</v>
      </c>
      <c r="C184" s="331" t="s">
        <v>1733</v>
      </c>
      <c r="D184" s="333" t="s">
        <v>1734</v>
      </c>
      <c r="E184" s="333" t="s">
        <v>1735</v>
      </c>
      <c r="F184" s="2" t="s">
        <v>333</v>
      </c>
      <c r="G184" s="324" t="s">
        <v>1659</v>
      </c>
      <c r="H184" t="s">
        <v>1404</v>
      </c>
      <c r="I184" t="s">
        <v>1732</v>
      </c>
    </row>
    <row r="185" spans="1:9" ht="15" customHeight="1">
      <c r="A185" s="2" t="s">
        <v>4</v>
      </c>
      <c r="B185" s="2" t="s">
        <v>664</v>
      </c>
      <c r="C185" s="331" t="s">
        <v>1736</v>
      </c>
      <c r="D185" s="333" t="s">
        <v>1737</v>
      </c>
      <c r="E185" s="333" t="s">
        <v>1738</v>
      </c>
      <c r="F185" s="2" t="s">
        <v>333</v>
      </c>
      <c r="G185" s="324" t="s">
        <v>1665</v>
      </c>
      <c r="H185" t="s">
        <v>1545</v>
      </c>
      <c r="I185" t="s">
        <v>1666</v>
      </c>
    </row>
    <row r="186" spans="1:9" ht="15" customHeight="1">
      <c r="A186" s="2" t="s">
        <v>4</v>
      </c>
      <c r="B186" s="2" t="s">
        <v>667</v>
      </c>
      <c r="C186" s="331" t="s">
        <v>1739</v>
      </c>
      <c r="D186" s="333" t="s">
        <v>1740</v>
      </c>
      <c r="E186" s="333" t="s">
        <v>1741</v>
      </c>
      <c r="F186" s="2" t="s">
        <v>333</v>
      </c>
      <c r="G186" s="324" t="s">
        <v>1665</v>
      </c>
      <c r="H186" t="s">
        <v>1545</v>
      </c>
      <c r="I186" t="s">
        <v>1666</v>
      </c>
    </row>
    <row r="187" spans="1:9" ht="15" customHeight="1">
      <c r="A187" s="2" t="s">
        <v>4</v>
      </c>
      <c r="B187" s="2" t="s">
        <v>670</v>
      </c>
      <c r="C187" s="331" t="s">
        <v>1742</v>
      </c>
      <c r="D187" s="333" t="s">
        <v>1743</v>
      </c>
      <c r="E187" s="333" t="s">
        <v>1744</v>
      </c>
      <c r="F187" s="2" t="s">
        <v>333</v>
      </c>
      <c r="G187" s="324" t="s">
        <v>1665</v>
      </c>
      <c r="H187" t="s">
        <v>1545</v>
      </c>
      <c r="I187" t="s">
        <v>1666</v>
      </c>
    </row>
    <row r="188" spans="1:9" ht="15" customHeight="1">
      <c r="A188" s="2" t="s">
        <v>4</v>
      </c>
      <c r="B188" s="2" t="s">
        <v>673</v>
      </c>
      <c r="C188" s="331" t="s">
        <v>1745</v>
      </c>
      <c r="D188" s="333" t="s">
        <v>1746</v>
      </c>
      <c r="E188" s="333" t="s">
        <v>1747</v>
      </c>
      <c r="F188" s="2" t="s">
        <v>333</v>
      </c>
      <c r="G188" s="324" t="s">
        <v>1665</v>
      </c>
      <c r="H188" t="s">
        <v>1545</v>
      </c>
      <c r="I188" t="s">
        <v>1666</v>
      </c>
    </row>
    <row r="189" spans="1:9" ht="15" customHeight="1">
      <c r="A189" s="304" t="s">
        <v>680</v>
      </c>
      <c r="B189" s="304" t="s">
        <v>681</v>
      </c>
      <c r="C189" s="331"/>
      <c r="D189" s="333" t="s">
        <v>1748</v>
      </c>
      <c r="E189" s="333" t="s">
        <v>1749</v>
      </c>
      <c r="F189" s="304" t="s">
        <v>682</v>
      </c>
      <c r="G189" s="324" t="s">
        <v>1665</v>
      </c>
      <c r="H189" t="s">
        <v>1545</v>
      </c>
      <c r="I189" t="s">
        <v>1666</v>
      </c>
    </row>
    <row r="190" spans="1:9" ht="15" customHeight="1">
      <c r="A190" s="2" t="s">
        <v>4</v>
      </c>
      <c r="B190" s="2" t="s">
        <v>686</v>
      </c>
      <c r="C190" s="331" t="s">
        <v>1750</v>
      </c>
      <c r="D190" s="333" t="s">
        <v>1751</v>
      </c>
      <c r="E190" s="333" t="s">
        <v>1752</v>
      </c>
      <c r="F190" s="2" t="s">
        <v>687</v>
      </c>
      <c r="G190" s="324" t="s">
        <v>1665</v>
      </c>
      <c r="H190" t="s">
        <v>1545</v>
      </c>
      <c r="I190" t="s">
        <v>1666</v>
      </c>
    </row>
    <row r="191" spans="1:9" ht="15" customHeight="1">
      <c r="A191" s="2" t="s">
        <v>4</v>
      </c>
      <c r="B191" s="2" t="s">
        <v>690</v>
      </c>
      <c r="C191" s="331" t="s">
        <v>1753</v>
      </c>
      <c r="D191" s="333" t="s">
        <v>1754</v>
      </c>
      <c r="E191" s="333" t="s">
        <v>1755</v>
      </c>
      <c r="F191" s="2" t="s">
        <v>578</v>
      </c>
      <c r="G191" s="324" t="s">
        <v>1665</v>
      </c>
      <c r="H191" t="s">
        <v>1545</v>
      </c>
      <c r="I191" t="s">
        <v>1666</v>
      </c>
    </row>
    <row r="192" spans="1:9" ht="15" customHeight="1">
      <c r="A192" s="2" t="s">
        <v>11</v>
      </c>
      <c r="B192" s="315" t="s">
        <v>693</v>
      </c>
      <c r="C192" s="331"/>
      <c r="D192" s="333" t="s">
        <v>1756</v>
      </c>
      <c r="E192" s="333" t="s">
        <v>1757</v>
      </c>
      <c r="F192" s="2" t="s">
        <v>694</v>
      </c>
      <c r="G192" s="324" t="s">
        <v>1665</v>
      </c>
      <c r="H192" t="s">
        <v>1545</v>
      </c>
      <c r="I192" t="s">
        <v>1666</v>
      </c>
    </row>
    <row r="193" spans="1:9" ht="15" customHeight="1">
      <c r="A193" s="2" t="s">
        <v>11</v>
      </c>
      <c r="B193" s="315" t="s">
        <v>698</v>
      </c>
      <c r="C193" s="331"/>
      <c r="D193" s="333" t="s">
        <v>1758</v>
      </c>
      <c r="E193" s="333" t="s">
        <v>1759</v>
      </c>
      <c r="F193" s="2" t="s">
        <v>694</v>
      </c>
      <c r="G193" s="324" t="s">
        <v>1665</v>
      </c>
      <c r="H193" t="s">
        <v>1545</v>
      </c>
      <c r="I193" t="s">
        <v>1666</v>
      </c>
    </row>
    <row r="194" spans="1:9" ht="15" customHeight="1">
      <c r="A194" s="2" t="s">
        <v>4</v>
      </c>
      <c r="B194" s="2" t="s">
        <v>701</v>
      </c>
      <c r="C194" s="331"/>
      <c r="D194" s="333" t="s">
        <v>1760</v>
      </c>
      <c r="E194" s="333" t="s">
        <v>1761</v>
      </c>
      <c r="F194" s="2" t="s">
        <v>333</v>
      </c>
      <c r="G194" s="324" t="s">
        <v>1665</v>
      </c>
      <c r="H194" t="s">
        <v>1545</v>
      </c>
      <c r="I194" t="s">
        <v>1666</v>
      </c>
    </row>
    <row r="195" spans="1:9" ht="15" customHeight="1">
      <c r="A195" s="2" t="s">
        <v>4</v>
      </c>
      <c r="B195" s="2" t="s">
        <v>704</v>
      </c>
      <c r="C195" s="331"/>
      <c r="D195" s="333" t="s">
        <v>1762</v>
      </c>
      <c r="E195" s="333" t="s">
        <v>1763</v>
      </c>
      <c r="F195" s="2" t="s">
        <v>333</v>
      </c>
      <c r="G195" s="324" t="s">
        <v>1665</v>
      </c>
      <c r="H195" t="s">
        <v>1545</v>
      </c>
      <c r="I195" t="s">
        <v>1666</v>
      </c>
    </row>
    <row r="196" spans="1:9" ht="15" customHeight="1">
      <c r="A196" s="2" t="s">
        <v>11</v>
      </c>
      <c r="B196" s="2" t="s">
        <v>707</v>
      </c>
      <c r="C196" s="331"/>
      <c r="D196" s="333" t="s">
        <v>1764</v>
      </c>
      <c r="E196" s="333" t="s">
        <v>1765</v>
      </c>
      <c r="F196" s="2" t="s">
        <v>333</v>
      </c>
      <c r="G196" s="324" t="s">
        <v>1665</v>
      </c>
      <c r="H196" t="s">
        <v>1545</v>
      </c>
      <c r="I196" t="s">
        <v>1666</v>
      </c>
    </row>
    <row r="197" spans="1:9" ht="15" customHeight="1">
      <c r="A197" s="2" t="s">
        <v>9</v>
      </c>
      <c r="B197" s="2" t="s">
        <v>710</v>
      </c>
      <c r="C197" s="335" t="s">
        <v>1766</v>
      </c>
      <c r="D197" s="334" t="s">
        <v>1767</v>
      </c>
      <c r="E197" s="334" t="s">
        <v>1768</v>
      </c>
      <c r="F197" s="2" t="s">
        <v>711</v>
      </c>
      <c r="G197" s="324" t="s">
        <v>1665</v>
      </c>
      <c r="H197" t="s">
        <v>1545</v>
      </c>
      <c r="I197" t="s">
        <v>1666</v>
      </c>
    </row>
    <row r="198" spans="1:9" ht="15" customHeight="1">
      <c r="A198" s="2" t="s">
        <v>9</v>
      </c>
      <c r="B198" s="2" t="s">
        <v>714</v>
      </c>
      <c r="C198" s="335" t="s">
        <v>1769</v>
      </c>
      <c r="D198" s="334" t="s">
        <v>1770</v>
      </c>
      <c r="E198" s="334" t="s">
        <v>1771</v>
      </c>
      <c r="F198" s="2" t="s">
        <v>715</v>
      </c>
      <c r="G198" s="324" t="s">
        <v>1665</v>
      </c>
      <c r="H198" t="s">
        <v>1545</v>
      </c>
      <c r="I198" t="s">
        <v>1666</v>
      </c>
    </row>
    <row r="199" spans="1:9" ht="15" customHeight="1">
      <c r="A199" s="2" t="s">
        <v>1380</v>
      </c>
      <c r="B199" s="2" t="s">
        <v>718</v>
      </c>
      <c r="C199" s="335" t="s">
        <v>1772</v>
      </c>
      <c r="D199" s="334" t="s">
        <v>1773</v>
      </c>
      <c r="E199" s="334" t="s">
        <v>1774</v>
      </c>
      <c r="F199" s="2">
        <v>45870.797222222202</v>
      </c>
      <c r="G199" s="324" t="s">
        <v>1382</v>
      </c>
      <c r="H199" t="s">
        <v>1545</v>
      </c>
      <c r="I199" t="s">
        <v>1383</v>
      </c>
    </row>
    <row r="200" spans="1:9" ht="15" customHeight="1">
      <c r="A200" s="2" t="s">
        <v>1380</v>
      </c>
      <c r="B200" s="2" t="s">
        <v>722</v>
      </c>
      <c r="C200" s="335" t="s">
        <v>1775</v>
      </c>
      <c r="D200" s="334" t="s">
        <v>1776</v>
      </c>
      <c r="E200" s="334" t="s">
        <v>1777</v>
      </c>
      <c r="F200" s="4" t="s">
        <v>724</v>
      </c>
      <c r="G200" s="324" t="s">
        <v>1382</v>
      </c>
      <c r="H200" t="s">
        <v>1545</v>
      </c>
      <c r="I200" t="s">
        <v>1383</v>
      </c>
    </row>
    <row r="201" spans="1:9" ht="15" customHeight="1">
      <c r="A201" s="2" t="s">
        <v>1380</v>
      </c>
      <c r="B201" s="2" t="s">
        <v>727</v>
      </c>
      <c r="C201" s="331" t="s">
        <v>1778</v>
      </c>
      <c r="D201" s="333" t="s">
        <v>1779</v>
      </c>
      <c r="E201" s="333" t="s">
        <v>1780</v>
      </c>
      <c r="F201" s="2" t="s">
        <v>333</v>
      </c>
      <c r="G201" s="324" t="s">
        <v>1665</v>
      </c>
      <c r="H201" t="s">
        <v>1545</v>
      </c>
      <c r="I201" t="s">
        <v>1666</v>
      </c>
    </row>
    <row r="202" spans="1:9" ht="15" customHeight="1">
      <c r="A202" s="2" t="s">
        <v>1380</v>
      </c>
      <c r="B202" s="2" t="s">
        <v>730</v>
      </c>
      <c r="C202" s="331" t="s">
        <v>1781</v>
      </c>
      <c r="D202" s="333" t="s">
        <v>1782</v>
      </c>
      <c r="E202" s="333" t="s">
        <v>1783</v>
      </c>
      <c r="F202" s="2" t="s">
        <v>333</v>
      </c>
      <c r="G202" s="324" t="s">
        <v>1665</v>
      </c>
      <c r="H202" t="s">
        <v>1545</v>
      </c>
      <c r="I202" t="s">
        <v>1666</v>
      </c>
    </row>
    <row r="203" spans="1:9" ht="15" customHeight="1">
      <c r="A203" s="2" t="s">
        <v>11</v>
      </c>
      <c r="B203" s="2" t="s">
        <v>754</v>
      </c>
      <c r="C203" s="331" t="s">
        <v>755</v>
      </c>
      <c r="D203" s="332" t="s">
        <v>1625</v>
      </c>
      <c r="E203" s="332" t="s">
        <v>1626</v>
      </c>
      <c r="F203" s="2" t="s">
        <v>752</v>
      </c>
      <c r="G203" s="324" t="s">
        <v>1665</v>
      </c>
      <c r="H203" t="s">
        <v>1545</v>
      </c>
      <c r="I203" t="s">
        <v>1666</v>
      </c>
    </row>
    <row r="204" spans="1:9" ht="15" customHeight="1">
      <c r="A204" s="2" t="s">
        <v>7</v>
      </c>
      <c r="B204" s="2" t="s">
        <v>757</v>
      </c>
      <c r="C204" s="331"/>
      <c r="D204" s="333" t="s">
        <v>1784</v>
      </c>
      <c r="E204" s="333" t="s">
        <v>1785</v>
      </c>
      <c r="F204" s="2" t="s">
        <v>333</v>
      </c>
      <c r="G204" s="324" t="s">
        <v>1665</v>
      </c>
      <c r="H204" t="s">
        <v>1545</v>
      </c>
      <c r="I204" t="s">
        <v>1666</v>
      </c>
    </row>
    <row r="205" spans="1:9" ht="15" customHeight="1">
      <c r="A205" s="2" t="s">
        <v>7</v>
      </c>
      <c r="B205" s="2" t="s">
        <v>760</v>
      </c>
      <c r="C205" s="331"/>
      <c r="D205" s="333" t="s">
        <v>1786</v>
      </c>
      <c r="E205" s="333" t="s">
        <v>1785</v>
      </c>
      <c r="F205" s="2" t="s">
        <v>333</v>
      </c>
      <c r="G205" s="324" t="s">
        <v>1665</v>
      </c>
      <c r="H205" t="s">
        <v>1545</v>
      </c>
      <c r="I205" t="s">
        <v>1666</v>
      </c>
    </row>
    <row r="206" spans="1:9" ht="15" customHeight="1">
      <c r="A206" s="2" t="s">
        <v>7</v>
      </c>
      <c r="B206" s="2" t="s">
        <v>763</v>
      </c>
      <c r="C206" s="331" t="s">
        <v>1787</v>
      </c>
      <c r="D206" s="333" t="s">
        <v>1788</v>
      </c>
      <c r="E206" s="333" t="s">
        <v>1789</v>
      </c>
      <c r="F206" s="2" t="s">
        <v>333</v>
      </c>
      <c r="G206" s="324" t="s">
        <v>1665</v>
      </c>
      <c r="H206" t="s">
        <v>1545</v>
      </c>
      <c r="I206" t="s">
        <v>1666</v>
      </c>
    </row>
    <row r="207" spans="1:9" ht="15" customHeight="1">
      <c r="A207" s="2" t="s">
        <v>11</v>
      </c>
      <c r="B207" s="2" t="s">
        <v>766</v>
      </c>
      <c r="C207" s="331"/>
      <c r="D207" s="333" t="s">
        <v>1790</v>
      </c>
      <c r="E207" s="333" t="s">
        <v>1791</v>
      </c>
      <c r="F207" s="2" t="s">
        <v>53</v>
      </c>
      <c r="G207" s="324" t="s">
        <v>1665</v>
      </c>
      <c r="H207" t="s">
        <v>1545</v>
      </c>
      <c r="I207" t="s">
        <v>1666</v>
      </c>
    </row>
    <row r="208" spans="1:9" ht="15" customHeight="1">
      <c r="A208" s="2" t="s">
        <v>11</v>
      </c>
      <c r="B208" s="2" t="s">
        <v>769</v>
      </c>
      <c r="C208" s="331"/>
      <c r="D208" s="333" t="s">
        <v>1792</v>
      </c>
      <c r="E208" s="333" t="s">
        <v>1793</v>
      </c>
      <c r="F208" s="2" t="s">
        <v>1</v>
      </c>
      <c r="G208" s="324" t="s">
        <v>1665</v>
      </c>
      <c r="H208" t="s">
        <v>1545</v>
      </c>
      <c r="I208" t="s">
        <v>1666</v>
      </c>
    </row>
    <row r="209" spans="1:9" ht="15" customHeight="1">
      <c r="A209" s="2" t="s">
        <v>11</v>
      </c>
      <c r="B209" s="2" t="s">
        <v>776</v>
      </c>
      <c r="C209" s="331"/>
      <c r="D209" s="332" t="s">
        <v>1537</v>
      </c>
      <c r="E209" s="332" t="s">
        <v>1538</v>
      </c>
      <c r="F209" s="2"/>
      <c r="G209" s="324" t="s">
        <v>1665</v>
      </c>
      <c r="H209" t="s">
        <v>1545</v>
      </c>
      <c r="I209" t="s">
        <v>1666</v>
      </c>
    </row>
    <row r="210" spans="1:9" ht="15" customHeight="1">
      <c r="A210" s="2" t="s">
        <v>1380</v>
      </c>
      <c r="B210" s="2" t="s">
        <v>69</v>
      </c>
      <c r="C210" s="331" t="s">
        <v>71</v>
      </c>
      <c r="D210" s="332" t="s">
        <v>1381</v>
      </c>
      <c r="E210" s="332" t="s">
        <v>1447</v>
      </c>
      <c r="F210" s="6">
        <v>45871</v>
      </c>
      <c r="G210" s="324" t="s">
        <v>1382</v>
      </c>
      <c r="H210" t="s">
        <v>1370</v>
      </c>
      <c r="I210" t="s">
        <v>1383</v>
      </c>
    </row>
    <row r="211" spans="1:9" ht="15" customHeight="1">
      <c r="A211" s="2" t="s">
        <v>8</v>
      </c>
      <c r="B211" s="2" t="s">
        <v>185</v>
      </c>
      <c r="C211" s="331" t="s">
        <v>186</v>
      </c>
      <c r="D211" s="333" t="s">
        <v>1451</v>
      </c>
      <c r="E211" s="333" t="s">
        <v>1452</v>
      </c>
      <c r="F211" s="2">
        <v>0</v>
      </c>
      <c r="G211" s="324" t="s">
        <v>1421</v>
      </c>
      <c r="H211" t="s">
        <v>1370</v>
      </c>
      <c r="I211" t="s">
        <v>1422</v>
      </c>
    </row>
    <row r="212" spans="1:9" ht="15" customHeight="1">
      <c r="A212" s="2" t="s">
        <v>8</v>
      </c>
      <c r="B212" s="2" t="s">
        <v>188</v>
      </c>
      <c r="C212" s="331" t="s">
        <v>190</v>
      </c>
      <c r="D212" s="333" t="s">
        <v>1451</v>
      </c>
      <c r="E212" s="333" t="s">
        <v>1452</v>
      </c>
      <c r="F212" s="2">
        <v>3386.0639999999999</v>
      </c>
      <c r="G212" s="324" t="s">
        <v>1421</v>
      </c>
      <c r="H212" t="s">
        <v>1370</v>
      </c>
      <c r="I212" t="s">
        <v>1422</v>
      </c>
    </row>
    <row r="213" spans="1:9" ht="15" customHeight="1">
      <c r="A213" s="2" t="s">
        <v>232</v>
      </c>
      <c r="B213" s="2" t="s">
        <v>201</v>
      </c>
      <c r="C213" s="331" t="s">
        <v>203</v>
      </c>
      <c r="D213" s="333" t="s">
        <v>1459</v>
      </c>
      <c r="E213" s="333" t="s">
        <v>1460</v>
      </c>
      <c r="F213" s="2">
        <v>15.972</v>
      </c>
      <c r="G213" s="324" t="s">
        <v>1421</v>
      </c>
      <c r="H213" t="s">
        <v>1370</v>
      </c>
      <c r="I213" t="s">
        <v>1422</v>
      </c>
    </row>
    <row r="214" spans="1:9" ht="15" customHeight="1">
      <c r="A214" s="2" t="s">
        <v>232</v>
      </c>
      <c r="B214" s="2" t="s">
        <v>224</v>
      </c>
      <c r="C214" s="331" t="s">
        <v>226</v>
      </c>
      <c r="D214" s="333" t="s">
        <v>1459</v>
      </c>
      <c r="E214" s="333" t="s">
        <v>1460</v>
      </c>
      <c r="F214" s="2">
        <v>69478.2</v>
      </c>
      <c r="G214" s="324" t="s">
        <v>1421</v>
      </c>
      <c r="H214" t="s">
        <v>1370</v>
      </c>
      <c r="I214" t="s">
        <v>1422</v>
      </c>
    </row>
    <row r="215" spans="1:9" ht="15" customHeight="1">
      <c r="A215" s="2" t="s">
        <v>8</v>
      </c>
      <c r="B215" s="2" t="s">
        <v>237</v>
      </c>
      <c r="C215" s="331" t="s">
        <v>238</v>
      </c>
      <c r="D215" s="333" t="s">
        <v>1459</v>
      </c>
      <c r="E215" s="333" t="s">
        <v>1460</v>
      </c>
      <c r="F215" s="2">
        <v>0</v>
      </c>
      <c r="G215" s="324" t="s">
        <v>1421</v>
      </c>
      <c r="H215" t="s">
        <v>1370</v>
      </c>
      <c r="I215" t="s">
        <v>1422</v>
      </c>
    </row>
    <row r="216" spans="1:9" ht="15" customHeight="1">
      <c r="A216" s="2" t="s">
        <v>8</v>
      </c>
      <c r="B216" s="2" t="s">
        <v>240</v>
      </c>
      <c r="C216" s="331" t="s">
        <v>241</v>
      </c>
      <c r="D216" s="333" t="s">
        <v>1470</v>
      </c>
      <c r="E216" s="333" t="s">
        <v>1471</v>
      </c>
      <c r="F216" s="2">
        <v>28790.861000000001</v>
      </c>
      <c r="G216" s="324" t="s">
        <v>1421</v>
      </c>
      <c r="H216" t="s">
        <v>1370</v>
      </c>
      <c r="I216" t="s">
        <v>1422</v>
      </c>
    </row>
    <row r="217" spans="1:9" ht="15" customHeight="1">
      <c r="A217" s="2" t="s">
        <v>8</v>
      </c>
      <c r="B217" s="2" t="s">
        <v>244</v>
      </c>
      <c r="C217" s="331" t="s">
        <v>245</v>
      </c>
      <c r="D217" s="333" t="s">
        <v>1470</v>
      </c>
      <c r="E217" s="333" t="s">
        <v>1471</v>
      </c>
      <c r="F217" s="2">
        <v>30015.381000000001</v>
      </c>
      <c r="G217" s="324" t="s">
        <v>1421</v>
      </c>
      <c r="H217" t="s">
        <v>1370</v>
      </c>
      <c r="I217" t="s">
        <v>1422</v>
      </c>
    </row>
    <row r="218" spans="1:9" ht="15" customHeight="1">
      <c r="A218" s="2" t="s">
        <v>6</v>
      </c>
      <c r="B218" s="2" t="s">
        <v>808</v>
      </c>
      <c r="C218" s="331"/>
      <c r="D218" s="333" t="s">
        <v>1794</v>
      </c>
      <c r="E218" s="333" t="s">
        <v>1795</v>
      </c>
      <c r="F218" s="2" t="s">
        <v>442</v>
      </c>
      <c r="G218" s="324" t="s">
        <v>1665</v>
      </c>
      <c r="H218" t="s">
        <v>1545</v>
      </c>
      <c r="I218" t="s">
        <v>1796</v>
      </c>
    </row>
    <row r="219" spans="1:9" ht="15" customHeight="1">
      <c r="A219" s="2" t="s">
        <v>6</v>
      </c>
      <c r="B219" s="304" t="s">
        <v>445</v>
      </c>
      <c r="C219" s="331" t="s">
        <v>446</v>
      </c>
      <c r="D219" s="333" t="s">
        <v>1567</v>
      </c>
      <c r="E219" s="333" t="s">
        <v>1568</v>
      </c>
      <c r="F219" s="304" t="s">
        <v>809</v>
      </c>
      <c r="G219" s="324" t="s">
        <v>1665</v>
      </c>
      <c r="H219" t="s">
        <v>1545</v>
      </c>
      <c r="I219" t="s">
        <v>1666</v>
      </c>
    </row>
    <row r="220" spans="1:9" ht="15" customHeight="1">
      <c r="A220" s="2" t="s">
        <v>6</v>
      </c>
      <c r="B220" s="2" t="s">
        <v>451</v>
      </c>
      <c r="C220" s="331" t="s">
        <v>452</v>
      </c>
      <c r="D220" s="333" t="s">
        <v>1569</v>
      </c>
      <c r="E220" s="333" t="s">
        <v>1570</v>
      </c>
      <c r="F220" s="2" t="s">
        <v>809</v>
      </c>
      <c r="G220" s="324" t="s">
        <v>1665</v>
      </c>
      <c r="H220" t="s">
        <v>1545</v>
      </c>
      <c r="I220" t="s">
        <v>1666</v>
      </c>
    </row>
    <row r="221" spans="1:9" ht="15" customHeight="1">
      <c r="A221" s="2" t="s">
        <v>9</v>
      </c>
      <c r="B221" s="2" t="s">
        <v>581</v>
      </c>
      <c r="C221" s="331" t="s">
        <v>583</v>
      </c>
      <c r="D221" s="332" t="s">
        <v>1599</v>
      </c>
      <c r="E221" s="332" t="s">
        <v>1600</v>
      </c>
      <c r="F221" s="2" t="s">
        <v>584</v>
      </c>
      <c r="G221" s="324" t="s">
        <v>1665</v>
      </c>
      <c r="H221" t="s">
        <v>1545</v>
      </c>
      <c r="I221" t="s">
        <v>1666</v>
      </c>
    </row>
    <row r="222" spans="1:9" ht="15" customHeight="1">
      <c r="D222" s="332"/>
      <c r="E222" s="332"/>
    </row>
  </sheetData>
  <mergeCells count="1">
    <mergeCell ref="D29:E29"/>
  </mergeCell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CB38-9321-4143-B2D7-1E3E6DBFB7FF}">
  <dimension ref="A1:AH101"/>
  <sheetViews>
    <sheetView topLeftCell="E1" workbookViewId="0">
      <selection activeCell="N50" sqref="N50"/>
    </sheetView>
  </sheetViews>
  <sheetFormatPr defaultRowHeight="14.45"/>
  <cols>
    <col min="32" max="32" width="29.85546875" bestFit="1" customWidth="1"/>
    <col min="33" max="33" width="28.140625" bestFit="1" customWidth="1"/>
    <col min="34" max="34" width="53.42578125" bestFit="1" customWidth="1"/>
  </cols>
  <sheetData>
    <row r="1" spans="1:34">
      <c r="A1" t="s">
        <v>1797</v>
      </c>
      <c r="B1" t="s">
        <v>1798</v>
      </c>
      <c r="C1" t="s">
        <v>1799</v>
      </c>
      <c r="D1" t="s">
        <v>1800</v>
      </c>
      <c r="E1" t="s">
        <v>1801</v>
      </c>
      <c r="F1" t="s">
        <v>1802</v>
      </c>
      <c r="G1" t="s">
        <v>1803</v>
      </c>
      <c r="H1" t="s">
        <v>1804</v>
      </c>
      <c r="I1" t="s">
        <v>1805</v>
      </c>
      <c r="J1" t="s">
        <v>1806</v>
      </c>
      <c r="K1" t="s">
        <v>1807</v>
      </c>
      <c r="L1" t="s">
        <v>1808</v>
      </c>
      <c r="M1" t="s">
        <v>1809</v>
      </c>
      <c r="N1" t="s">
        <v>1810</v>
      </c>
      <c r="O1" t="s">
        <v>1811</v>
      </c>
      <c r="P1" t="s">
        <v>1812</v>
      </c>
      <c r="Q1" t="s">
        <v>1813</v>
      </c>
      <c r="R1" t="s">
        <v>1814</v>
      </c>
      <c r="S1" t="s">
        <v>1815</v>
      </c>
      <c r="T1" t="s">
        <v>1816</v>
      </c>
      <c r="U1" t="s">
        <v>1817</v>
      </c>
      <c r="V1" t="s">
        <v>1818</v>
      </c>
      <c r="W1" t="s">
        <v>1819</v>
      </c>
      <c r="X1" t="s">
        <v>1820</v>
      </c>
      <c r="AF1" s="326" t="s">
        <v>1821</v>
      </c>
      <c r="AG1" s="326" t="s">
        <v>1797</v>
      </c>
      <c r="AH1" s="326">
        <v>1</v>
      </c>
    </row>
    <row r="2" spans="1:34">
      <c r="A2">
        <v>1</v>
      </c>
      <c r="B2" t="s">
        <v>1822</v>
      </c>
      <c r="C2" s="274">
        <v>45702.66138888889</v>
      </c>
      <c r="D2">
        <v>14713929294</v>
      </c>
      <c r="E2" t="s">
        <v>1823</v>
      </c>
      <c r="F2" t="s">
        <v>1824</v>
      </c>
      <c r="G2" t="s">
        <v>1825</v>
      </c>
      <c r="H2">
        <v>5313</v>
      </c>
      <c r="I2">
        <v>50.050310000000003</v>
      </c>
      <c r="J2">
        <v>-97.675169999999994</v>
      </c>
      <c r="K2">
        <v>26.18</v>
      </c>
      <c r="L2" t="s">
        <v>1826</v>
      </c>
      <c r="M2" t="s">
        <v>1827</v>
      </c>
      <c r="N2" t="s">
        <v>292</v>
      </c>
      <c r="O2" t="s">
        <v>1828</v>
      </c>
      <c r="P2" t="s">
        <v>1829</v>
      </c>
      <c r="Q2" t="s">
        <v>1830</v>
      </c>
      <c r="R2" t="s">
        <v>1831</v>
      </c>
      <c r="S2" t="s">
        <v>1832</v>
      </c>
      <c r="T2">
        <v>6318</v>
      </c>
      <c r="U2" s="274">
        <v>45702.666354166664</v>
      </c>
      <c r="V2" t="s">
        <v>1833</v>
      </c>
      <c r="W2" t="s">
        <v>1833</v>
      </c>
      <c r="X2" t="s">
        <v>1834</v>
      </c>
      <c r="AF2" s="326" t="s">
        <v>1821</v>
      </c>
      <c r="AG2" s="326" t="s">
        <v>1798</v>
      </c>
      <c r="AH2" s="326" t="s">
        <v>1822</v>
      </c>
    </row>
    <row r="3" spans="1:34">
      <c r="A3">
        <v>2</v>
      </c>
      <c r="B3" t="s">
        <v>1822</v>
      </c>
      <c r="C3" s="274">
        <v>45702.662847222222</v>
      </c>
      <c r="D3">
        <v>14758548479</v>
      </c>
      <c r="E3" t="s">
        <v>1823</v>
      </c>
      <c r="F3" t="s">
        <v>895</v>
      </c>
      <c r="G3" t="s">
        <v>1835</v>
      </c>
      <c r="H3">
        <v>4824</v>
      </c>
      <c r="I3">
        <v>43.896155999999998</v>
      </c>
      <c r="J3">
        <v>-91.343170000000001</v>
      </c>
      <c r="K3">
        <v>289.02999999999997</v>
      </c>
      <c r="L3" t="s">
        <v>1836</v>
      </c>
      <c r="M3" t="s">
        <v>1837</v>
      </c>
      <c r="N3" t="s">
        <v>292</v>
      </c>
      <c r="O3" t="s">
        <v>1838</v>
      </c>
      <c r="P3" t="s">
        <v>1839</v>
      </c>
      <c r="Q3" t="s">
        <v>1840</v>
      </c>
      <c r="R3" t="s">
        <v>1841</v>
      </c>
      <c r="S3" t="s">
        <v>442</v>
      </c>
      <c r="T3">
        <v>25</v>
      </c>
      <c r="U3" s="274">
        <v>45702.666354166664</v>
      </c>
      <c r="V3" t="s">
        <v>1842</v>
      </c>
      <c r="W3" t="s">
        <v>1842</v>
      </c>
      <c r="X3" s="325" t="s">
        <v>1843</v>
      </c>
      <c r="AF3" s="326" t="s">
        <v>1821</v>
      </c>
      <c r="AG3" s="326" t="s">
        <v>1799</v>
      </c>
      <c r="AH3" s="327">
        <v>45702.66138888889</v>
      </c>
    </row>
    <row r="4" spans="1:34">
      <c r="A4">
        <v>3</v>
      </c>
      <c r="B4" t="s">
        <v>1844</v>
      </c>
      <c r="C4" s="274">
        <v>45702.662175925929</v>
      </c>
      <c r="D4">
        <v>14713929294</v>
      </c>
      <c r="E4" t="s">
        <v>1823</v>
      </c>
      <c r="F4" t="s">
        <v>1824</v>
      </c>
      <c r="G4" t="s">
        <v>1825</v>
      </c>
      <c r="H4">
        <v>5313</v>
      </c>
      <c r="I4">
        <v>50.055370000000003</v>
      </c>
      <c r="J4">
        <v>-97.69462</v>
      </c>
      <c r="K4">
        <v>27.14</v>
      </c>
      <c r="L4" t="s">
        <v>1826</v>
      </c>
      <c r="M4" t="s">
        <v>1827</v>
      </c>
      <c r="N4" t="s">
        <v>292</v>
      </c>
      <c r="O4" t="s">
        <v>1828</v>
      </c>
      <c r="P4" t="s">
        <v>1829</v>
      </c>
      <c r="Q4" t="s">
        <v>1830</v>
      </c>
      <c r="R4" t="s">
        <v>1831</v>
      </c>
      <c r="S4" t="s">
        <v>1832</v>
      </c>
      <c r="T4">
        <v>6318</v>
      </c>
      <c r="U4" s="274">
        <v>45702.666354166664</v>
      </c>
      <c r="V4" t="s">
        <v>1833</v>
      </c>
      <c r="W4" t="s">
        <v>1833</v>
      </c>
      <c r="X4" s="325" t="s">
        <v>1845</v>
      </c>
      <c r="AF4" s="326" t="s">
        <v>1821</v>
      </c>
      <c r="AG4" s="326" t="s">
        <v>1800</v>
      </c>
      <c r="AH4" s="326">
        <v>14713929294</v>
      </c>
    </row>
    <row r="5" spans="1:34">
      <c r="A5">
        <v>4</v>
      </c>
      <c r="B5" t="s">
        <v>1822</v>
      </c>
      <c r="C5" s="274">
        <v>45702.659629629627</v>
      </c>
      <c r="D5">
        <v>14758548479</v>
      </c>
      <c r="E5" t="s">
        <v>1823</v>
      </c>
      <c r="F5" t="s">
        <v>895</v>
      </c>
      <c r="G5" t="s">
        <v>1835</v>
      </c>
      <c r="H5">
        <v>4820</v>
      </c>
      <c r="I5">
        <v>43.934190000000001</v>
      </c>
      <c r="J5">
        <v>-91.370919999999998</v>
      </c>
      <c r="K5">
        <v>292.05</v>
      </c>
      <c r="L5" t="s">
        <v>1836</v>
      </c>
      <c r="M5" t="s">
        <v>1846</v>
      </c>
      <c r="N5" t="s">
        <v>292</v>
      </c>
      <c r="O5" t="s">
        <v>1838</v>
      </c>
      <c r="P5" t="s">
        <v>1839</v>
      </c>
      <c r="Q5" t="s">
        <v>1840</v>
      </c>
      <c r="R5" t="s">
        <v>1841</v>
      </c>
      <c r="S5" t="s">
        <v>442</v>
      </c>
      <c r="T5">
        <v>25</v>
      </c>
      <c r="U5" s="274">
        <v>45702.666342592594</v>
      </c>
      <c r="V5" t="s">
        <v>1842</v>
      </c>
      <c r="W5" t="s">
        <v>1842</v>
      </c>
      <c r="X5" s="325" t="s">
        <v>1847</v>
      </c>
      <c r="AF5" s="326" t="s">
        <v>1821</v>
      </c>
      <c r="AG5" s="326" t="s">
        <v>1801</v>
      </c>
      <c r="AH5" s="326" t="s">
        <v>1823</v>
      </c>
    </row>
    <row r="6" spans="1:34">
      <c r="A6">
        <v>5</v>
      </c>
      <c r="B6" t="s">
        <v>1844</v>
      </c>
      <c r="C6" s="274">
        <v>45702.661585648151</v>
      </c>
      <c r="D6">
        <v>14718021618</v>
      </c>
      <c r="E6" t="s">
        <v>1823</v>
      </c>
      <c r="F6" t="s">
        <v>53</v>
      </c>
      <c r="G6" t="s">
        <v>1848</v>
      </c>
      <c r="H6">
        <v>6092</v>
      </c>
      <c r="I6">
        <v>49.810786999999998</v>
      </c>
      <c r="J6">
        <v>-104.16321000000001</v>
      </c>
      <c r="K6">
        <v>67.11</v>
      </c>
      <c r="L6" t="s">
        <v>1849</v>
      </c>
      <c r="M6" t="s">
        <v>1850</v>
      </c>
      <c r="N6" t="s">
        <v>292</v>
      </c>
      <c r="O6" t="s">
        <v>1851</v>
      </c>
      <c r="P6" t="s">
        <v>1829</v>
      </c>
      <c r="Q6" t="s">
        <v>1852</v>
      </c>
      <c r="R6" t="s">
        <v>1853</v>
      </c>
      <c r="S6" t="s">
        <v>1832</v>
      </c>
      <c r="T6">
        <v>6375</v>
      </c>
      <c r="U6" s="274">
        <v>45702.666342592594</v>
      </c>
      <c r="V6" t="s">
        <v>1854</v>
      </c>
      <c r="W6" t="s">
        <v>1854</v>
      </c>
      <c r="X6" t="s">
        <v>1855</v>
      </c>
      <c r="AF6" s="326" t="s">
        <v>1821</v>
      </c>
      <c r="AG6" s="326" t="s">
        <v>1802</v>
      </c>
      <c r="AH6" s="326" t="s">
        <v>1824</v>
      </c>
    </row>
    <row r="7" spans="1:34">
      <c r="A7">
        <v>6</v>
      </c>
      <c r="B7" t="s">
        <v>1844</v>
      </c>
      <c r="C7" s="274">
        <v>45702.646874999999</v>
      </c>
      <c r="D7">
        <v>14758548479</v>
      </c>
      <c r="E7" t="s">
        <v>1823</v>
      </c>
      <c r="F7" t="s">
        <v>895</v>
      </c>
      <c r="G7" t="s">
        <v>1835</v>
      </c>
      <c r="H7">
        <v>4821</v>
      </c>
      <c r="I7">
        <v>44.023159999999997</v>
      </c>
      <c r="J7">
        <v>-91.559746000000004</v>
      </c>
      <c r="K7">
        <v>303.89999999999998</v>
      </c>
      <c r="L7" t="s">
        <v>1836</v>
      </c>
      <c r="M7" t="s">
        <v>1856</v>
      </c>
      <c r="N7" t="s">
        <v>292</v>
      </c>
      <c r="O7" t="s">
        <v>1838</v>
      </c>
      <c r="P7" t="s">
        <v>1839</v>
      </c>
      <c r="Q7" t="s">
        <v>1840</v>
      </c>
      <c r="R7" t="s">
        <v>1841</v>
      </c>
      <c r="S7" t="s">
        <v>442</v>
      </c>
      <c r="T7">
        <v>25</v>
      </c>
      <c r="U7" s="274">
        <v>45702.666342592594</v>
      </c>
      <c r="V7" t="s">
        <v>1842</v>
      </c>
      <c r="W7" t="s">
        <v>333</v>
      </c>
      <c r="X7" t="s">
        <v>1857</v>
      </c>
      <c r="AF7" s="326" t="s">
        <v>1821</v>
      </c>
      <c r="AG7" s="326" t="s">
        <v>1803</v>
      </c>
      <c r="AH7" s="326" t="s">
        <v>1825</v>
      </c>
    </row>
    <row r="8" spans="1:34">
      <c r="A8">
        <v>7</v>
      </c>
      <c r="B8" t="s">
        <v>1822</v>
      </c>
      <c r="C8" s="274">
        <v>45702.66134259259</v>
      </c>
      <c r="D8">
        <v>14718021618</v>
      </c>
      <c r="E8" t="s">
        <v>1823</v>
      </c>
      <c r="F8" t="s">
        <v>53</v>
      </c>
      <c r="G8" t="s">
        <v>1848</v>
      </c>
      <c r="H8">
        <v>6092</v>
      </c>
      <c r="I8">
        <v>49.808439999999997</v>
      </c>
      <c r="J8">
        <v>-104.158646</v>
      </c>
      <c r="K8">
        <v>67.400000000000006</v>
      </c>
      <c r="L8" t="s">
        <v>1849</v>
      </c>
      <c r="M8" t="s">
        <v>1850</v>
      </c>
      <c r="N8" t="s">
        <v>292</v>
      </c>
      <c r="O8" t="s">
        <v>1851</v>
      </c>
      <c r="P8" t="s">
        <v>1829</v>
      </c>
      <c r="Q8" t="s">
        <v>1852</v>
      </c>
      <c r="R8" t="s">
        <v>1853</v>
      </c>
      <c r="S8" t="s">
        <v>1832</v>
      </c>
      <c r="T8">
        <v>6375</v>
      </c>
      <c r="U8" s="274">
        <v>45702.666342592594</v>
      </c>
      <c r="V8" t="s">
        <v>1854</v>
      </c>
      <c r="W8" t="s">
        <v>1854</v>
      </c>
      <c r="X8" s="325" t="s">
        <v>1858</v>
      </c>
      <c r="AF8" s="326" t="s">
        <v>1821</v>
      </c>
      <c r="AG8" s="326" t="s">
        <v>1804</v>
      </c>
      <c r="AH8" s="326">
        <v>5313</v>
      </c>
    </row>
    <row r="9" spans="1:34">
      <c r="A9">
        <v>8</v>
      </c>
      <c r="B9" t="s">
        <v>1844</v>
      </c>
      <c r="C9" s="274">
        <v>45702.662592592591</v>
      </c>
      <c r="D9">
        <v>14764894316</v>
      </c>
      <c r="E9" t="s">
        <v>1823</v>
      </c>
      <c r="F9" t="s">
        <v>895</v>
      </c>
      <c r="G9" t="s">
        <v>1859</v>
      </c>
      <c r="H9">
        <v>5777</v>
      </c>
      <c r="I9">
        <v>27.304639999999999</v>
      </c>
      <c r="J9">
        <v>-98.641409999999993</v>
      </c>
      <c r="K9">
        <v>64.16</v>
      </c>
      <c r="L9" t="s">
        <v>416</v>
      </c>
      <c r="M9" t="s">
        <v>1860</v>
      </c>
      <c r="N9" t="s">
        <v>292</v>
      </c>
      <c r="O9" t="s">
        <v>1861</v>
      </c>
      <c r="P9" t="s">
        <v>1862</v>
      </c>
      <c r="Q9" t="s">
        <v>427</v>
      </c>
      <c r="R9" t="s">
        <v>1863</v>
      </c>
      <c r="S9" t="s">
        <v>442</v>
      </c>
      <c r="T9">
        <v>6727</v>
      </c>
      <c r="U9" s="274">
        <v>45702.666342592594</v>
      </c>
      <c r="V9" t="s">
        <v>1864</v>
      </c>
      <c r="W9" t="s">
        <v>1864</v>
      </c>
      <c r="X9" s="325" t="s">
        <v>1865</v>
      </c>
      <c r="AF9" s="326" t="s">
        <v>1821</v>
      </c>
      <c r="AG9" s="326" t="s">
        <v>1805</v>
      </c>
      <c r="AH9" s="326">
        <v>50.050310000000003</v>
      </c>
    </row>
    <row r="10" spans="1:34">
      <c r="A10">
        <v>9</v>
      </c>
      <c r="B10" t="s">
        <v>1844</v>
      </c>
      <c r="C10" s="274">
        <v>45702.659641203703</v>
      </c>
      <c r="D10">
        <v>14758548479</v>
      </c>
      <c r="E10" t="s">
        <v>1823</v>
      </c>
      <c r="F10" t="s">
        <v>895</v>
      </c>
      <c r="G10" t="s">
        <v>1835</v>
      </c>
      <c r="H10">
        <v>4820</v>
      </c>
      <c r="I10">
        <v>43.934190000000001</v>
      </c>
      <c r="J10">
        <v>-91.370919999999998</v>
      </c>
      <c r="K10">
        <v>292.05</v>
      </c>
      <c r="L10" t="s">
        <v>1836</v>
      </c>
      <c r="M10" t="s">
        <v>1846</v>
      </c>
      <c r="N10" t="s">
        <v>292</v>
      </c>
      <c r="O10" t="s">
        <v>1838</v>
      </c>
      <c r="P10" t="s">
        <v>1839</v>
      </c>
      <c r="Q10" t="s">
        <v>1840</v>
      </c>
      <c r="R10" t="s">
        <v>1841</v>
      </c>
      <c r="S10" t="s">
        <v>442</v>
      </c>
      <c r="T10">
        <v>25</v>
      </c>
      <c r="U10" s="274">
        <v>45702.666342592594</v>
      </c>
      <c r="V10" t="s">
        <v>1842</v>
      </c>
      <c r="W10" t="s">
        <v>1842</v>
      </c>
      <c r="X10" s="325" t="s">
        <v>1847</v>
      </c>
      <c r="AF10" s="326" t="s">
        <v>1821</v>
      </c>
      <c r="AG10" s="326" t="s">
        <v>1806</v>
      </c>
      <c r="AH10" s="326">
        <v>-97.675169999999994</v>
      </c>
    </row>
    <row r="11" spans="1:34">
      <c r="A11">
        <v>10</v>
      </c>
      <c r="B11" t="s">
        <v>1822</v>
      </c>
      <c r="C11" s="274">
        <v>45702.661736111113</v>
      </c>
      <c r="D11">
        <v>14709821184</v>
      </c>
      <c r="E11" t="s">
        <v>1823</v>
      </c>
      <c r="F11" t="s">
        <v>895</v>
      </c>
      <c r="G11" t="s">
        <v>1866</v>
      </c>
      <c r="H11">
        <v>4396</v>
      </c>
      <c r="I11">
        <v>48.761147000000001</v>
      </c>
      <c r="J11">
        <v>-86.550380000000004</v>
      </c>
      <c r="K11">
        <v>75.62</v>
      </c>
      <c r="L11" t="s">
        <v>1867</v>
      </c>
      <c r="M11" t="s">
        <v>1868</v>
      </c>
      <c r="N11" t="s">
        <v>292</v>
      </c>
      <c r="O11" t="s">
        <v>1828</v>
      </c>
      <c r="P11" t="s">
        <v>1829</v>
      </c>
      <c r="Q11" t="s">
        <v>1869</v>
      </c>
      <c r="R11" t="s">
        <v>1870</v>
      </c>
      <c r="S11" t="s">
        <v>1832</v>
      </c>
      <c r="T11">
        <v>6415</v>
      </c>
      <c r="U11" s="274">
        <v>45702.666319444441</v>
      </c>
      <c r="V11" t="s">
        <v>1871</v>
      </c>
      <c r="W11" t="s">
        <v>1871</v>
      </c>
      <c r="X11" s="325" t="s">
        <v>1872</v>
      </c>
      <c r="AF11" s="326" t="s">
        <v>1821</v>
      </c>
      <c r="AG11" s="326" t="s">
        <v>1807</v>
      </c>
      <c r="AH11" s="326">
        <v>26.18</v>
      </c>
    </row>
    <row r="12" spans="1:34">
      <c r="A12">
        <v>11</v>
      </c>
      <c r="B12" t="s">
        <v>1822</v>
      </c>
      <c r="C12" s="274">
        <v>45702.660196759258</v>
      </c>
      <c r="D12">
        <v>14752611853</v>
      </c>
      <c r="E12" t="s">
        <v>1823</v>
      </c>
      <c r="F12" t="s">
        <v>53</v>
      </c>
      <c r="G12" t="s">
        <v>1873</v>
      </c>
      <c r="H12">
        <v>5538</v>
      </c>
      <c r="I12">
        <v>28.969683</v>
      </c>
      <c r="J12">
        <v>-96.660740000000004</v>
      </c>
      <c r="K12">
        <v>959.53</v>
      </c>
      <c r="L12" t="s">
        <v>1874</v>
      </c>
      <c r="M12" t="s">
        <v>1875</v>
      </c>
      <c r="N12" t="s">
        <v>292</v>
      </c>
      <c r="O12" t="s">
        <v>1861</v>
      </c>
      <c r="P12" t="s">
        <v>1862</v>
      </c>
      <c r="Q12" t="s">
        <v>427</v>
      </c>
      <c r="R12" t="s">
        <v>1863</v>
      </c>
      <c r="S12" t="s">
        <v>442</v>
      </c>
      <c r="T12">
        <v>6726</v>
      </c>
      <c r="U12" s="274">
        <v>45702.666307870371</v>
      </c>
      <c r="V12" t="s">
        <v>1876</v>
      </c>
      <c r="W12" t="s">
        <v>1876</v>
      </c>
      <c r="X12" s="325" t="s">
        <v>1877</v>
      </c>
      <c r="AF12" s="326" t="s">
        <v>1821</v>
      </c>
      <c r="AG12" s="326" t="s">
        <v>1808</v>
      </c>
      <c r="AH12" s="326" t="s">
        <v>1826</v>
      </c>
    </row>
    <row r="13" spans="1:34">
      <c r="A13">
        <v>12</v>
      </c>
      <c r="B13" t="s">
        <v>1844</v>
      </c>
      <c r="C13" s="274">
        <v>45702.662060185183</v>
      </c>
      <c r="D13">
        <v>14718009362</v>
      </c>
      <c r="E13" t="s">
        <v>1823</v>
      </c>
      <c r="F13" t="s">
        <v>53</v>
      </c>
      <c r="G13" t="s">
        <v>1878</v>
      </c>
      <c r="H13">
        <v>4405</v>
      </c>
      <c r="I13">
        <v>48.788001999999999</v>
      </c>
      <c r="J13">
        <v>-87.11636</v>
      </c>
      <c r="K13">
        <v>110.83</v>
      </c>
      <c r="L13" t="s">
        <v>1867</v>
      </c>
      <c r="M13" t="s">
        <v>1879</v>
      </c>
      <c r="N13" t="s">
        <v>292</v>
      </c>
      <c r="O13" t="s">
        <v>1828</v>
      </c>
      <c r="P13" t="s">
        <v>1829</v>
      </c>
      <c r="Q13" t="s">
        <v>1869</v>
      </c>
      <c r="R13" t="s">
        <v>1870</v>
      </c>
      <c r="S13" t="s">
        <v>1832</v>
      </c>
      <c r="T13">
        <v>6415</v>
      </c>
      <c r="U13" s="274">
        <v>45702.666307870371</v>
      </c>
      <c r="V13" t="s">
        <v>1880</v>
      </c>
      <c r="W13" t="s">
        <v>1880</v>
      </c>
      <c r="X13" s="325" t="s">
        <v>1881</v>
      </c>
      <c r="AF13" s="326" t="s">
        <v>1821</v>
      </c>
      <c r="AG13" s="326" t="s">
        <v>1809</v>
      </c>
      <c r="AH13" s="326" t="s">
        <v>1827</v>
      </c>
    </row>
    <row r="14" spans="1:34">
      <c r="A14">
        <v>13</v>
      </c>
      <c r="B14" t="s">
        <v>1844</v>
      </c>
      <c r="C14" s="274">
        <v>45702.662465277775</v>
      </c>
      <c r="D14">
        <v>14752611853</v>
      </c>
      <c r="E14" t="s">
        <v>1823</v>
      </c>
      <c r="F14" t="s">
        <v>53</v>
      </c>
      <c r="G14" t="s">
        <v>1873</v>
      </c>
      <c r="H14">
        <v>5538</v>
      </c>
      <c r="I14">
        <v>28.983457999999999</v>
      </c>
      <c r="J14">
        <v>-96.634039999999999</v>
      </c>
      <c r="K14">
        <v>957.66</v>
      </c>
      <c r="L14" t="s">
        <v>1874</v>
      </c>
      <c r="M14" t="s">
        <v>1875</v>
      </c>
      <c r="N14" t="s">
        <v>292</v>
      </c>
      <c r="O14" t="s">
        <v>1861</v>
      </c>
      <c r="P14" t="s">
        <v>1862</v>
      </c>
      <c r="Q14" t="s">
        <v>427</v>
      </c>
      <c r="R14" t="s">
        <v>1863</v>
      </c>
      <c r="S14" t="s">
        <v>442</v>
      </c>
      <c r="T14">
        <v>6726</v>
      </c>
      <c r="U14" s="274">
        <v>45702.666307870371</v>
      </c>
      <c r="V14" t="s">
        <v>1876</v>
      </c>
      <c r="W14" t="s">
        <v>1876</v>
      </c>
      <c r="X14" s="325" t="s">
        <v>1882</v>
      </c>
      <c r="AF14" s="326" t="s">
        <v>1821</v>
      </c>
      <c r="AG14" s="326" t="s">
        <v>1810</v>
      </c>
      <c r="AH14" s="326" t="s">
        <v>292</v>
      </c>
    </row>
    <row r="15" spans="1:34">
      <c r="A15">
        <v>14</v>
      </c>
      <c r="B15" t="s">
        <v>1844</v>
      </c>
      <c r="C15" s="274">
        <v>45702.661990740744</v>
      </c>
      <c r="D15">
        <v>14736977502</v>
      </c>
      <c r="E15" t="s">
        <v>1823</v>
      </c>
      <c r="F15" t="s">
        <v>1824</v>
      </c>
      <c r="G15" t="s">
        <v>1883</v>
      </c>
      <c r="H15">
        <v>4958</v>
      </c>
      <c r="I15">
        <v>46.834667000000003</v>
      </c>
      <c r="J15">
        <v>-97.873159999999999</v>
      </c>
      <c r="K15">
        <v>276.85000000000002</v>
      </c>
      <c r="L15" t="s">
        <v>1884</v>
      </c>
      <c r="M15" t="s">
        <v>1885</v>
      </c>
      <c r="N15" t="s">
        <v>292</v>
      </c>
      <c r="O15" t="s">
        <v>1886</v>
      </c>
      <c r="P15" t="s">
        <v>1839</v>
      </c>
      <c r="Q15" t="s">
        <v>1887</v>
      </c>
      <c r="R15" t="s">
        <v>1888</v>
      </c>
      <c r="S15" t="s">
        <v>442</v>
      </c>
      <c r="T15">
        <v>2</v>
      </c>
      <c r="U15" s="274">
        <v>45702.666296296295</v>
      </c>
      <c r="V15" t="s">
        <v>1889</v>
      </c>
      <c r="W15" t="s">
        <v>1889</v>
      </c>
      <c r="X15" t="s">
        <v>1890</v>
      </c>
      <c r="AF15" s="326" t="s">
        <v>1821</v>
      </c>
      <c r="AG15" s="326" t="s">
        <v>1811</v>
      </c>
      <c r="AH15" s="326" t="s">
        <v>1828</v>
      </c>
    </row>
    <row r="16" spans="1:34">
      <c r="A16">
        <v>15</v>
      </c>
      <c r="B16" t="s">
        <v>1822</v>
      </c>
      <c r="C16" s="274">
        <v>45702.662233796298</v>
      </c>
      <c r="D16">
        <v>14722133327</v>
      </c>
      <c r="E16" t="s">
        <v>1891</v>
      </c>
      <c r="F16" t="s">
        <v>53</v>
      </c>
      <c r="G16" t="s">
        <v>1892</v>
      </c>
      <c r="H16">
        <v>1127</v>
      </c>
      <c r="I16">
        <v>24.51616215</v>
      </c>
      <c r="J16">
        <v>-100.87031955</v>
      </c>
      <c r="K16">
        <v>492.22</v>
      </c>
      <c r="L16" t="s">
        <v>1893</v>
      </c>
      <c r="M16" t="s">
        <v>1894</v>
      </c>
      <c r="N16" t="s">
        <v>292</v>
      </c>
      <c r="O16" t="s">
        <v>1895</v>
      </c>
      <c r="P16" t="s">
        <v>1862</v>
      </c>
      <c r="Q16" t="s">
        <v>1893</v>
      </c>
      <c r="R16" t="s">
        <v>1896</v>
      </c>
      <c r="S16" t="s">
        <v>1897</v>
      </c>
      <c r="T16">
        <v>6802</v>
      </c>
      <c r="U16" s="274">
        <v>45702.666134259256</v>
      </c>
      <c r="V16" t="s">
        <v>1898</v>
      </c>
      <c r="W16" t="s">
        <v>1898</v>
      </c>
      <c r="X16" t="s">
        <v>1899</v>
      </c>
      <c r="AF16" s="326" t="s">
        <v>1821</v>
      </c>
      <c r="AG16" s="326" t="s">
        <v>1812</v>
      </c>
      <c r="AH16" s="326" t="s">
        <v>1829</v>
      </c>
    </row>
    <row r="17" spans="1:34">
      <c r="A17">
        <v>16</v>
      </c>
      <c r="B17" t="s">
        <v>1844</v>
      </c>
      <c r="C17" s="274">
        <v>45702.659722222219</v>
      </c>
      <c r="D17">
        <v>14764723440</v>
      </c>
      <c r="E17" t="s">
        <v>1891</v>
      </c>
      <c r="F17" t="s">
        <v>1900</v>
      </c>
      <c r="G17" t="s">
        <v>1901</v>
      </c>
      <c r="H17">
        <v>2619</v>
      </c>
      <c r="I17">
        <v>22.048855159999999</v>
      </c>
      <c r="J17">
        <v>-99.683734729999998</v>
      </c>
      <c r="K17">
        <v>252</v>
      </c>
      <c r="L17" t="s">
        <v>1902</v>
      </c>
      <c r="M17" t="s">
        <v>1903</v>
      </c>
      <c r="N17" t="s">
        <v>292</v>
      </c>
      <c r="O17" t="s">
        <v>1895</v>
      </c>
      <c r="P17" t="s">
        <v>1862</v>
      </c>
      <c r="Q17" t="s">
        <v>1902</v>
      </c>
      <c r="R17" t="s">
        <v>1904</v>
      </c>
      <c r="S17" t="s">
        <v>1897</v>
      </c>
      <c r="T17">
        <v>6815</v>
      </c>
      <c r="U17" s="274">
        <v>45702.666134259256</v>
      </c>
      <c r="V17" t="s">
        <v>1905</v>
      </c>
      <c r="W17" t="s">
        <v>1906</v>
      </c>
      <c r="X17" t="s">
        <v>1907</v>
      </c>
      <c r="AF17" s="326" t="s">
        <v>1821</v>
      </c>
      <c r="AG17" s="326" t="s">
        <v>1813</v>
      </c>
      <c r="AH17" s="326" t="s">
        <v>1830</v>
      </c>
    </row>
    <row r="18" spans="1:34">
      <c r="A18">
        <v>17</v>
      </c>
      <c r="B18" t="s">
        <v>1822</v>
      </c>
      <c r="C18" s="274">
        <v>45702.655763888892</v>
      </c>
      <c r="D18">
        <v>14764723440</v>
      </c>
      <c r="E18" t="s">
        <v>1891</v>
      </c>
      <c r="F18" t="s">
        <v>1900</v>
      </c>
      <c r="G18" t="s">
        <v>1901</v>
      </c>
      <c r="H18">
        <v>2619</v>
      </c>
      <c r="I18">
        <v>22.105571489999999</v>
      </c>
      <c r="J18">
        <v>-99.714903230000004</v>
      </c>
      <c r="K18">
        <v>247.61</v>
      </c>
      <c r="L18" t="s">
        <v>1902</v>
      </c>
      <c r="M18" t="s">
        <v>1903</v>
      </c>
      <c r="N18" t="s">
        <v>292</v>
      </c>
      <c r="O18" t="s">
        <v>1895</v>
      </c>
      <c r="P18" t="s">
        <v>1862</v>
      </c>
      <c r="Q18" t="s">
        <v>1902</v>
      </c>
      <c r="R18" t="s">
        <v>1904</v>
      </c>
      <c r="S18" t="s">
        <v>1897</v>
      </c>
      <c r="T18">
        <v>6815</v>
      </c>
      <c r="U18" s="274">
        <v>45702.666134259256</v>
      </c>
      <c r="V18" t="s">
        <v>1906</v>
      </c>
      <c r="W18" t="s">
        <v>1906</v>
      </c>
      <c r="X18" s="325" t="s">
        <v>1908</v>
      </c>
      <c r="AF18" s="326" t="s">
        <v>1821</v>
      </c>
      <c r="AG18" s="326" t="s">
        <v>1814</v>
      </c>
      <c r="AH18" s="326" t="s">
        <v>1831</v>
      </c>
    </row>
    <row r="19" spans="1:34">
      <c r="A19">
        <v>18</v>
      </c>
      <c r="B19" t="s">
        <v>1844</v>
      </c>
      <c r="C19" s="274">
        <v>45702.652777777781</v>
      </c>
      <c r="D19">
        <v>14764723440</v>
      </c>
      <c r="E19" t="s">
        <v>1891</v>
      </c>
      <c r="F19" t="s">
        <v>1900</v>
      </c>
      <c r="G19" t="s">
        <v>1901</v>
      </c>
      <c r="H19">
        <v>2617</v>
      </c>
      <c r="I19">
        <v>22.149366329999999</v>
      </c>
      <c r="J19">
        <v>-99.740071060000005</v>
      </c>
      <c r="K19">
        <v>244.18</v>
      </c>
      <c r="L19" t="s">
        <v>1902</v>
      </c>
      <c r="M19" t="s">
        <v>1909</v>
      </c>
      <c r="N19" t="s">
        <v>292</v>
      </c>
      <c r="O19" t="s">
        <v>1895</v>
      </c>
      <c r="P19" t="s">
        <v>1862</v>
      </c>
      <c r="Q19" t="s">
        <v>1902</v>
      </c>
      <c r="R19" t="s">
        <v>1904</v>
      </c>
      <c r="S19" t="s">
        <v>1897</v>
      </c>
      <c r="T19">
        <v>6815</v>
      </c>
      <c r="U19" s="274">
        <v>45702.666134259256</v>
      </c>
      <c r="V19" t="s">
        <v>1905</v>
      </c>
      <c r="W19" t="s">
        <v>1906</v>
      </c>
      <c r="X19" s="325" t="s">
        <v>1910</v>
      </c>
      <c r="AF19" s="326" t="s">
        <v>1821</v>
      </c>
      <c r="AG19" s="326" t="s">
        <v>1815</v>
      </c>
      <c r="AH19" s="326" t="s">
        <v>1832</v>
      </c>
    </row>
    <row r="20" spans="1:34">
      <c r="A20">
        <v>19</v>
      </c>
      <c r="B20" t="s">
        <v>1822</v>
      </c>
      <c r="C20" s="274">
        <v>45702.635300925926</v>
      </c>
      <c r="D20">
        <v>14764723440</v>
      </c>
      <c r="E20" t="s">
        <v>1891</v>
      </c>
      <c r="F20" t="s">
        <v>1900</v>
      </c>
      <c r="G20" t="s">
        <v>1901</v>
      </c>
      <c r="H20">
        <v>2617</v>
      </c>
      <c r="I20">
        <v>22.257203830000002</v>
      </c>
      <c r="J20">
        <v>-99.861794889999999</v>
      </c>
      <c r="K20">
        <v>233.43</v>
      </c>
      <c r="L20" t="s">
        <v>1902</v>
      </c>
      <c r="M20" t="s">
        <v>1909</v>
      </c>
      <c r="N20" t="s">
        <v>292</v>
      </c>
      <c r="O20" t="s">
        <v>1895</v>
      </c>
      <c r="P20" t="s">
        <v>1862</v>
      </c>
      <c r="Q20" t="s">
        <v>1902</v>
      </c>
      <c r="R20" t="s">
        <v>1904</v>
      </c>
      <c r="S20" t="s">
        <v>1897</v>
      </c>
      <c r="T20">
        <v>6815</v>
      </c>
      <c r="U20" s="274">
        <v>45702.666134259256</v>
      </c>
      <c r="V20" t="s">
        <v>1905</v>
      </c>
      <c r="W20" t="s">
        <v>1906</v>
      </c>
      <c r="X20" s="325" t="s">
        <v>1911</v>
      </c>
      <c r="AF20" s="326" t="s">
        <v>1821</v>
      </c>
      <c r="AG20" s="326" t="s">
        <v>1816</v>
      </c>
      <c r="AH20" s="326">
        <v>6318</v>
      </c>
    </row>
    <row r="21" spans="1:34">
      <c r="A21">
        <v>20</v>
      </c>
      <c r="B21" t="s">
        <v>1822</v>
      </c>
      <c r="C21" s="274">
        <v>45702.625</v>
      </c>
      <c r="D21">
        <v>14722133327</v>
      </c>
      <c r="E21" t="s">
        <v>1891</v>
      </c>
      <c r="F21" t="s">
        <v>53</v>
      </c>
      <c r="G21" t="s">
        <v>1892</v>
      </c>
      <c r="H21">
        <v>1125</v>
      </c>
      <c r="I21">
        <v>24.302984479999999</v>
      </c>
      <c r="J21">
        <v>-100.85944588</v>
      </c>
      <c r="K21">
        <v>477.3</v>
      </c>
      <c r="L21" t="s">
        <v>1893</v>
      </c>
      <c r="M21" t="s">
        <v>1912</v>
      </c>
      <c r="N21" t="s">
        <v>292</v>
      </c>
      <c r="O21" t="s">
        <v>1895</v>
      </c>
      <c r="P21" t="s">
        <v>1862</v>
      </c>
      <c r="Q21" t="s">
        <v>1893</v>
      </c>
      <c r="R21" t="s">
        <v>1904</v>
      </c>
      <c r="S21" t="s">
        <v>1897</v>
      </c>
      <c r="T21">
        <v>6802</v>
      </c>
      <c r="U21" s="274">
        <v>45702.666134259256</v>
      </c>
      <c r="V21" t="s">
        <v>1898</v>
      </c>
      <c r="W21" t="s">
        <v>1898</v>
      </c>
      <c r="X21" s="325" t="s">
        <v>1913</v>
      </c>
      <c r="AF21" s="326" t="s">
        <v>1821</v>
      </c>
      <c r="AG21" s="326" t="s">
        <v>1817</v>
      </c>
      <c r="AH21" s="327">
        <v>45702.666354166664</v>
      </c>
    </row>
    <row r="22" spans="1:34">
      <c r="A22">
        <v>21</v>
      </c>
      <c r="B22" t="s">
        <v>1844</v>
      </c>
      <c r="C22" s="274">
        <v>45702.631944444445</v>
      </c>
      <c r="D22">
        <v>14764723440</v>
      </c>
      <c r="E22" t="s">
        <v>1891</v>
      </c>
      <c r="F22" t="s">
        <v>1900</v>
      </c>
      <c r="G22" t="s">
        <v>1901</v>
      </c>
      <c r="H22">
        <v>2616</v>
      </c>
      <c r="I22">
        <v>22.277285330000002</v>
      </c>
      <c r="J22">
        <v>-99.899911399999993</v>
      </c>
      <c r="K22">
        <v>230.44</v>
      </c>
      <c r="L22" t="s">
        <v>1902</v>
      </c>
      <c r="M22" t="s">
        <v>1914</v>
      </c>
      <c r="N22" t="s">
        <v>292</v>
      </c>
      <c r="O22" t="s">
        <v>1895</v>
      </c>
      <c r="P22" t="s">
        <v>1862</v>
      </c>
      <c r="Q22" t="s">
        <v>1902</v>
      </c>
      <c r="R22" t="s">
        <v>1904</v>
      </c>
      <c r="S22" t="s">
        <v>1897</v>
      </c>
      <c r="T22">
        <v>6815</v>
      </c>
      <c r="U22" s="274">
        <v>45702.666134259256</v>
      </c>
      <c r="V22" t="s">
        <v>1905</v>
      </c>
      <c r="W22" t="s">
        <v>1906</v>
      </c>
      <c r="X22" s="325" t="s">
        <v>1915</v>
      </c>
      <c r="AF22" s="326" t="s">
        <v>1821</v>
      </c>
      <c r="AG22" s="326" t="s">
        <v>1818</v>
      </c>
      <c r="AH22" s="326" t="s">
        <v>1833</v>
      </c>
    </row>
    <row r="23" spans="1:34">
      <c r="A23">
        <v>22</v>
      </c>
      <c r="B23" t="s">
        <v>1844</v>
      </c>
      <c r="C23" s="274">
        <v>45702.663194444445</v>
      </c>
      <c r="D23">
        <v>14757298912</v>
      </c>
      <c r="E23" t="s">
        <v>1891</v>
      </c>
      <c r="F23" t="s">
        <v>895</v>
      </c>
      <c r="G23" t="s">
        <v>1916</v>
      </c>
      <c r="H23">
        <v>5639</v>
      </c>
      <c r="I23">
        <v>50.37410577</v>
      </c>
      <c r="J23">
        <v>-102.51057637</v>
      </c>
      <c r="K23">
        <v>127.88</v>
      </c>
      <c r="L23" t="s">
        <v>1917</v>
      </c>
      <c r="M23" t="s">
        <v>1918</v>
      </c>
      <c r="N23" t="s">
        <v>292</v>
      </c>
      <c r="O23" t="s">
        <v>1828</v>
      </c>
      <c r="P23" t="s">
        <v>1829</v>
      </c>
      <c r="Q23" t="s">
        <v>1919</v>
      </c>
      <c r="R23" t="s">
        <v>1853</v>
      </c>
      <c r="S23" t="s">
        <v>1832</v>
      </c>
      <c r="T23">
        <v>6319</v>
      </c>
      <c r="U23" s="274">
        <v>45702.666134259256</v>
      </c>
      <c r="V23" t="s">
        <v>1920</v>
      </c>
      <c r="W23" t="s">
        <v>1921</v>
      </c>
      <c r="X23" s="325" t="s">
        <v>1922</v>
      </c>
      <c r="AF23" s="326" t="s">
        <v>1821</v>
      </c>
      <c r="AG23" s="326" t="s">
        <v>1819</v>
      </c>
      <c r="AH23" s="326" t="s">
        <v>1833</v>
      </c>
    </row>
    <row r="24" spans="1:34">
      <c r="A24">
        <v>23</v>
      </c>
      <c r="B24" t="s">
        <v>1822</v>
      </c>
      <c r="C24" s="274">
        <v>45702.65892361111</v>
      </c>
      <c r="D24">
        <v>14748923106</v>
      </c>
      <c r="E24" t="s">
        <v>1891</v>
      </c>
      <c r="F24" t="s">
        <v>895</v>
      </c>
      <c r="G24" t="s">
        <v>1923</v>
      </c>
      <c r="H24">
        <v>9016</v>
      </c>
      <c r="I24">
        <v>49.391959620000002</v>
      </c>
      <c r="J24">
        <v>-115.01543627</v>
      </c>
      <c r="K24">
        <v>44.52</v>
      </c>
      <c r="L24" t="s">
        <v>1924</v>
      </c>
      <c r="M24" t="s">
        <v>1925</v>
      </c>
      <c r="N24" t="s">
        <v>292</v>
      </c>
      <c r="O24" t="s">
        <v>1926</v>
      </c>
      <c r="P24" t="s">
        <v>1829</v>
      </c>
      <c r="Q24" t="s">
        <v>1927</v>
      </c>
      <c r="R24" t="s">
        <v>1928</v>
      </c>
      <c r="S24" t="s">
        <v>1832</v>
      </c>
      <c r="T24">
        <v>6111</v>
      </c>
      <c r="U24" s="274">
        <v>45702.666134259256</v>
      </c>
      <c r="V24" t="s">
        <v>1929</v>
      </c>
      <c r="W24" t="s">
        <v>1929</v>
      </c>
      <c r="X24" s="325" t="s">
        <v>1930</v>
      </c>
      <c r="AF24" s="326" t="s">
        <v>1821</v>
      </c>
      <c r="AG24" s="326" t="s">
        <v>1820</v>
      </c>
      <c r="AH24" s="326" t="s">
        <v>1834</v>
      </c>
    </row>
    <row r="25" spans="1:34">
      <c r="A25">
        <v>24</v>
      </c>
      <c r="B25" t="s">
        <v>1822</v>
      </c>
      <c r="C25" s="274">
        <v>45702.659733796296</v>
      </c>
      <c r="D25">
        <v>14722144847</v>
      </c>
      <c r="E25" t="s">
        <v>1891</v>
      </c>
      <c r="F25" t="s">
        <v>1824</v>
      </c>
      <c r="G25" t="s">
        <v>1931</v>
      </c>
      <c r="H25">
        <v>4303</v>
      </c>
      <c r="I25">
        <v>46.806424300000003</v>
      </c>
      <c r="J25">
        <v>-81.689042700000002</v>
      </c>
      <c r="K25">
        <v>11.36</v>
      </c>
      <c r="L25" t="s">
        <v>1932</v>
      </c>
      <c r="M25" t="s">
        <v>1933</v>
      </c>
      <c r="N25" t="s">
        <v>292</v>
      </c>
      <c r="O25" t="s">
        <v>1828</v>
      </c>
      <c r="P25" t="s">
        <v>1829</v>
      </c>
      <c r="Q25" t="s">
        <v>1869</v>
      </c>
      <c r="R25" t="s">
        <v>1870</v>
      </c>
      <c r="S25" t="s">
        <v>1832</v>
      </c>
      <c r="T25">
        <v>6412</v>
      </c>
      <c r="U25" s="274">
        <v>45702.666134259256</v>
      </c>
      <c r="V25" t="s">
        <v>1934</v>
      </c>
      <c r="W25" t="s">
        <v>1935</v>
      </c>
      <c r="X25" s="325" t="s">
        <v>1936</v>
      </c>
      <c r="AF25" s="326" t="s">
        <v>1937</v>
      </c>
      <c r="AG25" s="326" t="s">
        <v>1797</v>
      </c>
      <c r="AH25" s="326">
        <v>1</v>
      </c>
    </row>
    <row r="26" spans="1:34">
      <c r="A26">
        <v>25</v>
      </c>
      <c r="B26" t="s">
        <v>1844</v>
      </c>
      <c r="C26" s="274">
        <v>45702.659733796296</v>
      </c>
      <c r="D26">
        <v>14722137766</v>
      </c>
      <c r="E26" t="s">
        <v>1891</v>
      </c>
      <c r="F26" t="s">
        <v>1824</v>
      </c>
      <c r="G26" t="s">
        <v>1938</v>
      </c>
      <c r="H26">
        <v>9520</v>
      </c>
      <c r="I26">
        <v>51.351485160000003</v>
      </c>
      <c r="J26">
        <v>-117.44433673</v>
      </c>
      <c r="K26">
        <v>78.45</v>
      </c>
      <c r="L26" t="s">
        <v>1939</v>
      </c>
      <c r="M26" t="s">
        <v>1940</v>
      </c>
      <c r="N26" t="s">
        <v>292</v>
      </c>
      <c r="O26" t="s">
        <v>1926</v>
      </c>
      <c r="P26" t="s">
        <v>1829</v>
      </c>
      <c r="Q26" t="s">
        <v>1939</v>
      </c>
      <c r="R26" t="s">
        <v>1928</v>
      </c>
      <c r="S26" t="s">
        <v>1832</v>
      </c>
      <c r="T26">
        <v>6103</v>
      </c>
      <c r="U26" s="274">
        <v>45702.666134259256</v>
      </c>
      <c r="V26" t="s">
        <v>1941</v>
      </c>
      <c r="W26" t="s">
        <v>1942</v>
      </c>
      <c r="X26" s="325" t="s">
        <v>1943</v>
      </c>
      <c r="AF26" s="326" t="s">
        <v>1937</v>
      </c>
      <c r="AG26" s="326" t="s">
        <v>1798</v>
      </c>
      <c r="AH26" s="326" t="s">
        <v>1844</v>
      </c>
    </row>
    <row r="27" spans="1:34">
      <c r="A27">
        <v>26</v>
      </c>
      <c r="B27" t="s">
        <v>1844</v>
      </c>
      <c r="C27" s="274">
        <v>45702.649317129632</v>
      </c>
      <c r="D27">
        <v>14722133327</v>
      </c>
      <c r="E27" t="s">
        <v>1891</v>
      </c>
      <c r="F27" t="s">
        <v>53</v>
      </c>
      <c r="G27" t="s">
        <v>1892</v>
      </c>
      <c r="H27">
        <v>1125</v>
      </c>
      <c r="I27">
        <v>24.328427640000001</v>
      </c>
      <c r="J27">
        <v>-100.85402621999999</v>
      </c>
      <c r="K27">
        <v>479.09</v>
      </c>
      <c r="L27" t="s">
        <v>1893</v>
      </c>
      <c r="M27" t="s">
        <v>1912</v>
      </c>
      <c r="N27" t="s">
        <v>292</v>
      </c>
      <c r="O27" t="s">
        <v>1895</v>
      </c>
      <c r="P27" t="s">
        <v>1862</v>
      </c>
      <c r="Q27" t="s">
        <v>1893</v>
      </c>
      <c r="R27" t="s">
        <v>1904</v>
      </c>
      <c r="S27" t="s">
        <v>1897</v>
      </c>
      <c r="T27">
        <v>6802</v>
      </c>
      <c r="U27" s="274">
        <v>45702.666134259256</v>
      </c>
      <c r="V27" t="s">
        <v>1898</v>
      </c>
      <c r="W27" t="s">
        <v>1898</v>
      </c>
      <c r="X27" s="325" t="s">
        <v>1944</v>
      </c>
      <c r="AF27" s="326" t="s">
        <v>1937</v>
      </c>
      <c r="AG27" s="326" t="s">
        <v>1799</v>
      </c>
      <c r="AH27" s="327">
        <v>45702.661192129628</v>
      </c>
    </row>
    <row r="28" spans="1:34">
      <c r="A28">
        <v>27</v>
      </c>
      <c r="B28" t="s">
        <v>1844</v>
      </c>
      <c r="C28" s="274">
        <v>45702.444444444445</v>
      </c>
      <c r="D28">
        <v>14722133327</v>
      </c>
      <c r="E28" t="s">
        <v>1891</v>
      </c>
      <c r="F28" t="s">
        <v>53</v>
      </c>
      <c r="G28" t="s">
        <v>1892</v>
      </c>
      <c r="H28">
        <v>1122</v>
      </c>
      <c r="I28">
        <v>24.041876819999999</v>
      </c>
      <c r="J28">
        <v>-100.91513705</v>
      </c>
      <c r="K28">
        <v>459.02</v>
      </c>
      <c r="L28" t="s">
        <v>1893</v>
      </c>
      <c r="M28" t="s">
        <v>1945</v>
      </c>
      <c r="N28" t="s">
        <v>292</v>
      </c>
      <c r="O28" t="s">
        <v>1895</v>
      </c>
      <c r="P28" t="s">
        <v>1862</v>
      </c>
      <c r="Q28" t="s">
        <v>1893</v>
      </c>
      <c r="R28" t="s">
        <v>1904</v>
      </c>
      <c r="S28" t="s">
        <v>1897</v>
      </c>
      <c r="T28">
        <v>6802</v>
      </c>
      <c r="U28" s="274">
        <v>45702.666122685187</v>
      </c>
      <c r="V28" t="s">
        <v>1898</v>
      </c>
      <c r="W28" t="s">
        <v>1898</v>
      </c>
      <c r="X28" s="325" t="s">
        <v>1946</v>
      </c>
      <c r="AF28" s="326" t="s">
        <v>1937</v>
      </c>
      <c r="AG28" s="326" t="s">
        <v>1801</v>
      </c>
      <c r="AH28" s="326" t="s">
        <v>1823</v>
      </c>
    </row>
    <row r="29" spans="1:34">
      <c r="A29">
        <v>28</v>
      </c>
      <c r="B29" t="s">
        <v>1844</v>
      </c>
      <c r="C29" s="274">
        <v>45702.618067129632</v>
      </c>
      <c r="D29">
        <v>14722133327</v>
      </c>
      <c r="E29" t="s">
        <v>1891</v>
      </c>
      <c r="F29" t="s">
        <v>53</v>
      </c>
      <c r="G29" t="s">
        <v>1892</v>
      </c>
      <c r="H29">
        <v>1124</v>
      </c>
      <c r="I29">
        <v>24.223732309999999</v>
      </c>
      <c r="J29">
        <v>-100.87643572</v>
      </c>
      <c r="K29">
        <v>471.73</v>
      </c>
      <c r="L29" t="s">
        <v>1893</v>
      </c>
      <c r="M29" t="s">
        <v>1947</v>
      </c>
      <c r="N29" t="s">
        <v>292</v>
      </c>
      <c r="O29" t="s">
        <v>1895</v>
      </c>
      <c r="P29" t="s">
        <v>1862</v>
      </c>
      <c r="Q29" t="s">
        <v>1893</v>
      </c>
      <c r="R29" t="s">
        <v>1904</v>
      </c>
      <c r="S29" t="s">
        <v>1897</v>
      </c>
      <c r="T29">
        <v>6802</v>
      </c>
      <c r="U29" s="274">
        <v>45702.666122685187</v>
      </c>
      <c r="V29" t="s">
        <v>1898</v>
      </c>
      <c r="W29" t="s">
        <v>1898</v>
      </c>
      <c r="X29" s="325" t="s">
        <v>1948</v>
      </c>
      <c r="AF29" s="326" t="s">
        <v>1937</v>
      </c>
      <c r="AG29" s="326" t="s">
        <v>1802</v>
      </c>
      <c r="AH29" s="326" t="s">
        <v>1900</v>
      </c>
    </row>
    <row r="30" spans="1:34">
      <c r="A30">
        <v>29</v>
      </c>
      <c r="B30" t="s">
        <v>1822</v>
      </c>
      <c r="C30" s="274">
        <v>45702.615023148152</v>
      </c>
      <c r="D30">
        <v>14722133327</v>
      </c>
      <c r="E30" t="s">
        <v>1891</v>
      </c>
      <c r="F30" t="s">
        <v>53</v>
      </c>
      <c r="G30" t="s">
        <v>1892</v>
      </c>
      <c r="H30">
        <v>1124</v>
      </c>
      <c r="I30">
        <v>24.166738819999999</v>
      </c>
      <c r="J30">
        <v>-100.88858304999999</v>
      </c>
      <c r="K30">
        <v>467.67</v>
      </c>
      <c r="L30" t="s">
        <v>1893</v>
      </c>
      <c r="M30" t="s">
        <v>1947</v>
      </c>
      <c r="N30" t="s">
        <v>292</v>
      </c>
      <c r="O30" t="s">
        <v>1895</v>
      </c>
      <c r="P30" t="s">
        <v>1862</v>
      </c>
      <c r="Q30" t="s">
        <v>1893</v>
      </c>
      <c r="R30" t="s">
        <v>1904</v>
      </c>
      <c r="S30" t="s">
        <v>1897</v>
      </c>
      <c r="T30">
        <v>6802</v>
      </c>
      <c r="U30" s="274">
        <v>45702.666122685187</v>
      </c>
      <c r="V30" t="s">
        <v>1898</v>
      </c>
      <c r="W30" t="s">
        <v>1898</v>
      </c>
      <c r="X30" s="325" t="s">
        <v>1949</v>
      </c>
      <c r="AF30" s="326" t="s">
        <v>1937</v>
      </c>
      <c r="AG30" s="326" t="s">
        <v>1950</v>
      </c>
      <c r="AH30" s="326" t="s">
        <v>1951</v>
      </c>
    </row>
    <row r="31" spans="1:34">
      <c r="A31">
        <v>30</v>
      </c>
      <c r="B31" t="s">
        <v>1822</v>
      </c>
      <c r="C31" s="274">
        <v>45702.436863425923</v>
      </c>
      <c r="D31">
        <v>14722133327</v>
      </c>
      <c r="E31" t="s">
        <v>1891</v>
      </c>
      <c r="F31" t="s">
        <v>53</v>
      </c>
      <c r="G31" t="s">
        <v>1892</v>
      </c>
      <c r="H31">
        <v>1122</v>
      </c>
      <c r="I31">
        <v>24.01456915</v>
      </c>
      <c r="J31">
        <v>-100.92102739000001</v>
      </c>
      <c r="K31">
        <v>457.07</v>
      </c>
      <c r="L31" t="s">
        <v>1893</v>
      </c>
      <c r="M31" t="s">
        <v>1945</v>
      </c>
      <c r="N31" t="s">
        <v>292</v>
      </c>
      <c r="O31" t="s">
        <v>1895</v>
      </c>
      <c r="P31" t="s">
        <v>1862</v>
      </c>
      <c r="Q31" t="s">
        <v>1893</v>
      </c>
      <c r="R31" t="s">
        <v>1904</v>
      </c>
      <c r="S31" t="s">
        <v>1897</v>
      </c>
      <c r="T31">
        <v>6802</v>
      </c>
      <c r="U31" s="274">
        <v>45702.666122685187</v>
      </c>
      <c r="V31" t="s">
        <v>1898</v>
      </c>
      <c r="W31" t="s">
        <v>1898</v>
      </c>
      <c r="X31" s="325" t="s">
        <v>1952</v>
      </c>
      <c r="AF31" s="326" t="s">
        <v>1937</v>
      </c>
      <c r="AG31" s="326" t="s">
        <v>1953</v>
      </c>
      <c r="AH31" s="326">
        <v>8078</v>
      </c>
    </row>
    <row r="32" spans="1:34">
      <c r="A32">
        <v>31</v>
      </c>
      <c r="B32" t="s">
        <v>1844</v>
      </c>
      <c r="C32" s="274">
        <v>45702.420138888891</v>
      </c>
      <c r="D32">
        <v>14722133327</v>
      </c>
      <c r="E32" t="s">
        <v>1891</v>
      </c>
      <c r="F32" t="s">
        <v>53</v>
      </c>
      <c r="G32" t="s">
        <v>1892</v>
      </c>
      <c r="H32">
        <v>1121</v>
      </c>
      <c r="I32">
        <v>23.904401979999999</v>
      </c>
      <c r="J32">
        <v>-100.94459755</v>
      </c>
      <c r="K32">
        <v>449.39</v>
      </c>
      <c r="L32" t="s">
        <v>1893</v>
      </c>
      <c r="M32" t="s">
        <v>1893</v>
      </c>
      <c r="N32" t="s">
        <v>292</v>
      </c>
      <c r="O32" t="s">
        <v>1895</v>
      </c>
      <c r="P32" t="s">
        <v>1862</v>
      </c>
      <c r="Q32" t="s">
        <v>1893</v>
      </c>
      <c r="R32" t="s">
        <v>1904</v>
      </c>
      <c r="S32" t="s">
        <v>1897</v>
      </c>
      <c r="T32">
        <v>6802</v>
      </c>
      <c r="U32" s="274">
        <v>45702.666122685187</v>
      </c>
      <c r="V32" t="s">
        <v>1898</v>
      </c>
      <c r="W32" t="s">
        <v>1898</v>
      </c>
      <c r="X32" s="325" t="s">
        <v>1954</v>
      </c>
      <c r="AF32" s="326" t="s">
        <v>1937</v>
      </c>
      <c r="AG32" s="326" t="s">
        <v>1804</v>
      </c>
      <c r="AH32" s="326">
        <v>5112</v>
      </c>
    </row>
    <row r="33" spans="1:34">
      <c r="A33">
        <v>32</v>
      </c>
      <c r="B33" t="s">
        <v>1844</v>
      </c>
      <c r="C33" s="274">
        <v>45702.65625</v>
      </c>
      <c r="D33">
        <v>14722086417</v>
      </c>
      <c r="E33" t="s">
        <v>1891</v>
      </c>
      <c r="F33" t="s">
        <v>895</v>
      </c>
      <c r="G33" t="s">
        <v>1955</v>
      </c>
      <c r="H33">
        <v>9522</v>
      </c>
      <c r="I33">
        <v>51.30039687</v>
      </c>
      <c r="J33">
        <v>-117.4609854</v>
      </c>
      <c r="K33" t="s">
        <v>333</v>
      </c>
      <c r="L33" t="s">
        <v>333</v>
      </c>
      <c r="M33" t="s">
        <v>1956</v>
      </c>
      <c r="N33" t="s">
        <v>292</v>
      </c>
      <c r="O33" t="s">
        <v>333</v>
      </c>
      <c r="P33" t="s">
        <v>333</v>
      </c>
      <c r="Q33" t="s">
        <v>333</v>
      </c>
      <c r="R33" t="s">
        <v>333</v>
      </c>
      <c r="S33" t="s">
        <v>333</v>
      </c>
      <c r="T33" t="s">
        <v>333</v>
      </c>
      <c r="U33" s="274">
        <v>45702.666122685187</v>
      </c>
      <c r="V33" t="s">
        <v>1957</v>
      </c>
      <c r="W33" t="s">
        <v>1958</v>
      </c>
      <c r="X33" s="325" t="s">
        <v>1959</v>
      </c>
      <c r="AF33" s="326" t="s">
        <v>1937</v>
      </c>
      <c r="AG33" s="326" t="s">
        <v>1805</v>
      </c>
      <c r="AH33" s="326">
        <v>35.567369999999997</v>
      </c>
    </row>
    <row r="34" spans="1:34">
      <c r="A34">
        <v>33</v>
      </c>
      <c r="B34" t="s">
        <v>1822</v>
      </c>
      <c r="C34" s="274">
        <v>45702.659722222219</v>
      </c>
      <c r="D34">
        <v>14709811861</v>
      </c>
      <c r="E34" t="s">
        <v>1891</v>
      </c>
      <c r="F34" t="s">
        <v>895</v>
      </c>
      <c r="G34" t="s">
        <v>1960</v>
      </c>
      <c r="H34">
        <v>4435</v>
      </c>
      <c r="I34">
        <v>48.90952712</v>
      </c>
      <c r="J34">
        <v>-87.752363149999994</v>
      </c>
      <c r="K34">
        <v>32.26</v>
      </c>
      <c r="L34" t="s">
        <v>1961</v>
      </c>
      <c r="M34" t="s">
        <v>1962</v>
      </c>
      <c r="N34" t="s">
        <v>292</v>
      </c>
      <c r="O34" t="s">
        <v>1828</v>
      </c>
      <c r="P34" t="s">
        <v>1829</v>
      </c>
      <c r="Q34" t="s">
        <v>1869</v>
      </c>
      <c r="R34" t="s">
        <v>1870</v>
      </c>
      <c r="S34" t="s">
        <v>1832</v>
      </c>
      <c r="T34">
        <v>6410</v>
      </c>
      <c r="U34" s="274">
        <v>45702.666122685187</v>
      </c>
      <c r="V34" t="s">
        <v>1963</v>
      </c>
      <c r="W34" t="s">
        <v>1963</v>
      </c>
      <c r="X34" s="325" t="s">
        <v>1964</v>
      </c>
      <c r="AF34" s="326" t="s">
        <v>1937</v>
      </c>
      <c r="AG34" s="326" t="s">
        <v>1806</v>
      </c>
      <c r="AH34" s="326">
        <v>-94.831119999999999</v>
      </c>
    </row>
    <row r="35" spans="1:34">
      <c r="A35">
        <v>34</v>
      </c>
      <c r="B35" t="s">
        <v>1844</v>
      </c>
      <c r="C35" s="274">
        <v>45702.662974537037</v>
      </c>
      <c r="D35">
        <v>14634724304</v>
      </c>
      <c r="E35" t="s">
        <v>1891</v>
      </c>
      <c r="F35" t="s">
        <v>53</v>
      </c>
      <c r="G35" t="s">
        <v>1965</v>
      </c>
      <c r="H35">
        <v>4735</v>
      </c>
      <c r="I35">
        <v>38.369595199999999</v>
      </c>
      <c r="J35">
        <v>-94.584261769999998</v>
      </c>
      <c r="K35">
        <v>61.04</v>
      </c>
      <c r="L35" t="s">
        <v>1966</v>
      </c>
      <c r="M35" t="s">
        <v>1967</v>
      </c>
      <c r="N35" t="s">
        <v>292</v>
      </c>
      <c r="O35" t="s">
        <v>1968</v>
      </c>
      <c r="P35" t="s">
        <v>1969</v>
      </c>
      <c r="Q35" t="s">
        <v>1966</v>
      </c>
      <c r="R35" t="s">
        <v>1970</v>
      </c>
      <c r="S35" t="s">
        <v>442</v>
      </c>
      <c r="T35">
        <v>6706</v>
      </c>
      <c r="U35" s="274">
        <v>45702.666122685187</v>
      </c>
      <c r="V35" t="s">
        <v>1971</v>
      </c>
      <c r="W35" t="s">
        <v>1971</v>
      </c>
      <c r="X35" s="325" t="s">
        <v>1972</v>
      </c>
      <c r="AF35" s="326" t="s">
        <v>1937</v>
      </c>
      <c r="AG35" s="326" t="s">
        <v>1807</v>
      </c>
      <c r="AH35" s="326">
        <v>282.08</v>
      </c>
    </row>
    <row r="36" spans="1:34">
      <c r="A36">
        <v>35</v>
      </c>
      <c r="B36" t="s">
        <v>1844</v>
      </c>
      <c r="C36" s="274">
        <v>45702.660671296297</v>
      </c>
      <c r="D36">
        <v>14749261111</v>
      </c>
      <c r="E36" t="s">
        <v>1823</v>
      </c>
      <c r="F36" t="s">
        <v>53</v>
      </c>
      <c r="G36" t="s">
        <v>1973</v>
      </c>
      <c r="H36">
        <v>9647</v>
      </c>
      <c r="I36">
        <v>50.234543000000002</v>
      </c>
      <c r="J36">
        <v>-121.577805</v>
      </c>
      <c r="K36">
        <v>94.88</v>
      </c>
      <c r="L36" t="s">
        <v>1974</v>
      </c>
      <c r="M36" t="s">
        <v>1975</v>
      </c>
      <c r="N36" t="s">
        <v>292</v>
      </c>
      <c r="O36" t="s">
        <v>1926</v>
      </c>
      <c r="P36" t="s">
        <v>1829</v>
      </c>
      <c r="Q36" t="s">
        <v>1939</v>
      </c>
      <c r="R36" t="s">
        <v>1928</v>
      </c>
      <c r="S36" t="s">
        <v>1832</v>
      </c>
      <c r="T36">
        <v>6006</v>
      </c>
      <c r="U36" s="274">
        <v>45702.666076388887</v>
      </c>
      <c r="V36" t="s">
        <v>1976</v>
      </c>
      <c r="W36" t="s">
        <v>1976</v>
      </c>
      <c r="X36" s="325" t="s">
        <v>1977</v>
      </c>
      <c r="AF36" s="326" t="s">
        <v>1937</v>
      </c>
      <c r="AG36" s="326" t="s">
        <v>1808</v>
      </c>
      <c r="AH36" s="326" t="s">
        <v>1978</v>
      </c>
    </row>
    <row r="37" spans="1:34">
      <c r="A37">
        <v>36</v>
      </c>
      <c r="B37" t="s">
        <v>1822</v>
      </c>
      <c r="C37" s="274">
        <v>45702.662361111114</v>
      </c>
      <c r="D37">
        <v>14744980370</v>
      </c>
      <c r="E37" t="s">
        <v>1823</v>
      </c>
      <c r="F37" t="s">
        <v>895</v>
      </c>
      <c r="G37" t="s">
        <v>1979</v>
      </c>
      <c r="H37">
        <v>9027</v>
      </c>
      <c r="I37">
        <v>49.300719999999998</v>
      </c>
      <c r="J37">
        <v>-115.15957</v>
      </c>
      <c r="K37">
        <v>57.58</v>
      </c>
      <c r="L37" t="s">
        <v>1924</v>
      </c>
      <c r="M37" t="s">
        <v>1980</v>
      </c>
      <c r="N37" t="s">
        <v>292</v>
      </c>
      <c r="O37" t="s">
        <v>1926</v>
      </c>
      <c r="P37" t="s">
        <v>1829</v>
      </c>
      <c r="Q37" t="s">
        <v>1927</v>
      </c>
      <c r="R37" t="s">
        <v>1928</v>
      </c>
      <c r="S37" t="s">
        <v>1832</v>
      </c>
      <c r="T37">
        <v>6111</v>
      </c>
      <c r="U37" s="274">
        <v>45702.666076388887</v>
      </c>
      <c r="V37" t="s">
        <v>1981</v>
      </c>
      <c r="W37" t="s">
        <v>1981</v>
      </c>
      <c r="X37" s="325" t="s">
        <v>1982</v>
      </c>
      <c r="AF37" s="326" t="s">
        <v>1937</v>
      </c>
      <c r="AG37" s="326" t="s">
        <v>1809</v>
      </c>
      <c r="AH37" s="326" t="s">
        <v>1983</v>
      </c>
    </row>
    <row r="38" spans="1:34">
      <c r="A38">
        <v>37</v>
      </c>
      <c r="B38" t="s">
        <v>1844</v>
      </c>
      <c r="C38" s="274">
        <v>45702.662858796299</v>
      </c>
      <c r="D38">
        <v>14744980370</v>
      </c>
      <c r="E38" t="s">
        <v>1823</v>
      </c>
      <c r="F38" t="s">
        <v>895</v>
      </c>
      <c r="G38" t="s">
        <v>1979</v>
      </c>
      <c r="H38">
        <v>9027</v>
      </c>
      <c r="I38">
        <v>49.297718000000003</v>
      </c>
      <c r="J38">
        <v>-115.15407</v>
      </c>
      <c r="K38">
        <v>57.18</v>
      </c>
      <c r="L38" t="s">
        <v>1924</v>
      </c>
      <c r="M38" t="s">
        <v>1980</v>
      </c>
      <c r="N38" t="s">
        <v>292</v>
      </c>
      <c r="O38" t="s">
        <v>1926</v>
      </c>
      <c r="P38" t="s">
        <v>1829</v>
      </c>
      <c r="Q38" t="s">
        <v>1927</v>
      </c>
      <c r="R38" t="s">
        <v>1928</v>
      </c>
      <c r="S38" t="s">
        <v>1832</v>
      </c>
      <c r="T38">
        <v>6111</v>
      </c>
      <c r="U38" s="274">
        <v>45702.666076388887</v>
      </c>
      <c r="V38" t="s">
        <v>1981</v>
      </c>
      <c r="W38" t="s">
        <v>1981</v>
      </c>
      <c r="X38" s="325" t="s">
        <v>1984</v>
      </c>
      <c r="AF38" s="326" t="s">
        <v>1937</v>
      </c>
      <c r="AG38" s="326" t="s">
        <v>1800</v>
      </c>
      <c r="AH38" s="326">
        <v>14726049483</v>
      </c>
    </row>
    <row r="39" spans="1:34">
      <c r="A39">
        <v>38</v>
      </c>
      <c r="B39" t="s">
        <v>1822</v>
      </c>
      <c r="C39" s="274">
        <v>45702.663055555553</v>
      </c>
      <c r="D39">
        <v>14757118145</v>
      </c>
      <c r="E39" t="s">
        <v>1823</v>
      </c>
      <c r="F39" t="s">
        <v>53</v>
      </c>
      <c r="G39" t="s">
        <v>1985</v>
      </c>
      <c r="H39">
        <v>9643</v>
      </c>
      <c r="I39">
        <v>50.33578</v>
      </c>
      <c r="J39">
        <v>-121.39753</v>
      </c>
      <c r="K39">
        <v>79.510000000000005</v>
      </c>
      <c r="L39" t="s">
        <v>1974</v>
      </c>
      <c r="M39" t="s">
        <v>1986</v>
      </c>
      <c r="N39" t="s">
        <v>292</v>
      </c>
      <c r="O39" t="s">
        <v>1926</v>
      </c>
      <c r="P39" t="s">
        <v>1829</v>
      </c>
      <c r="Q39" t="s">
        <v>1939</v>
      </c>
      <c r="R39" t="s">
        <v>1928</v>
      </c>
      <c r="S39" t="s">
        <v>1832</v>
      </c>
      <c r="T39">
        <v>6006</v>
      </c>
      <c r="U39" s="274">
        <v>45702.665995370371</v>
      </c>
      <c r="V39" t="s">
        <v>1987</v>
      </c>
      <c r="W39" t="s">
        <v>1987</v>
      </c>
      <c r="X39" t="s">
        <v>1988</v>
      </c>
      <c r="AF39" s="326" t="s">
        <v>1937</v>
      </c>
      <c r="AG39" s="326" t="s">
        <v>1803</v>
      </c>
      <c r="AH39" s="326" t="s">
        <v>1989</v>
      </c>
    </row>
    <row r="40" spans="1:34">
      <c r="A40">
        <v>39</v>
      </c>
      <c r="B40" t="s">
        <v>1822</v>
      </c>
      <c r="C40" s="274">
        <v>45702.66233796296</v>
      </c>
      <c r="D40">
        <v>14705729410</v>
      </c>
      <c r="E40" t="s">
        <v>1823</v>
      </c>
      <c r="F40" t="s">
        <v>1900</v>
      </c>
      <c r="G40" t="s">
        <v>1990</v>
      </c>
      <c r="H40">
        <v>3428</v>
      </c>
      <c r="I40">
        <v>44.225037</v>
      </c>
      <c r="J40">
        <v>-79.838425000000001</v>
      </c>
      <c r="K40">
        <v>50.46</v>
      </c>
      <c r="L40" t="s">
        <v>1991</v>
      </c>
      <c r="M40" t="s">
        <v>1992</v>
      </c>
      <c r="N40" t="s">
        <v>292</v>
      </c>
      <c r="O40" t="s">
        <v>1993</v>
      </c>
      <c r="P40" t="s">
        <v>1839</v>
      </c>
      <c r="Q40" t="s">
        <v>1994</v>
      </c>
      <c r="R40" t="s">
        <v>1870</v>
      </c>
      <c r="S40" t="s">
        <v>1832</v>
      </c>
      <c r="T40">
        <v>6501</v>
      </c>
      <c r="U40" s="274">
        <v>45702.665949074071</v>
      </c>
      <c r="V40" t="s">
        <v>1995</v>
      </c>
      <c r="W40" t="s">
        <v>1995</v>
      </c>
      <c r="X40" s="325" t="s">
        <v>1996</v>
      </c>
      <c r="AF40" s="326" t="s">
        <v>1937</v>
      </c>
      <c r="AG40" s="326" t="s">
        <v>1810</v>
      </c>
      <c r="AH40" s="326" t="s">
        <v>292</v>
      </c>
    </row>
    <row r="41" spans="1:34">
      <c r="A41">
        <v>40</v>
      </c>
      <c r="B41" t="s">
        <v>1844</v>
      </c>
      <c r="C41" s="274">
        <v>45702.662349537037</v>
      </c>
      <c r="D41">
        <v>14705729410</v>
      </c>
      <c r="E41" t="s">
        <v>1823</v>
      </c>
      <c r="F41" t="s">
        <v>1900</v>
      </c>
      <c r="G41" t="s">
        <v>1990</v>
      </c>
      <c r="H41">
        <v>3428</v>
      </c>
      <c r="I41">
        <v>44.225037</v>
      </c>
      <c r="J41">
        <v>-79.838425000000001</v>
      </c>
      <c r="K41">
        <v>50.46</v>
      </c>
      <c r="L41" t="s">
        <v>1991</v>
      </c>
      <c r="M41" t="s">
        <v>1992</v>
      </c>
      <c r="N41" t="s">
        <v>292</v>
      </c>
      <c r="O41" t="s">
        <v>1993</v>
      </c>
      <c r="P41" t="s">
        <v>1839</v>
      </c>
      <c r="Q41" t="s">
        <v>1994</v>
      </c>
      <c r="R41" t="s">
        <v>1870</v>
      </c>
      <c r="S41" t="s">
        <v>1832</v>
      </c>
      <c r="T41">
        <v>6501</v>
      </c>
      <c r="U41" s="274">
        <v>45702.665949074071</v>
      </c>
      <c r="V41" t="s">
        <v>1995</v>
      </c>
      <c r="W41" t="s">
        <v>1995</v>
      </c>
      <c r="X41" s="325" t="s">
        <v>1996</v>
      </c>
      <c r="AF41" s="326" t="s">
        <v>1937</v>
      </c>
      <c r="AG41" s="326" t="s">
        <v>1811</v>
      </c>
      <c r="AH41" s="326" t="s">
        <v>1968</v>
      </c>
    </row>
    <row r="42" spans="1:34">
      <c r="A42">
        <v>41</v>
      </c>
      <c r="B42" t="s">
        <v>1822</v>
      </c>
      <c r="C42" s="274">
        <v>45702.662511574075</v>
      </c>
      <c r="D42">
        <v>14709813354</v>
      </c>
      <c r="E42" t="s">
        <v>1823</v>
      </c>
      <c r="F42" t="s">
        <v>1824</v>
      </c>
      <c r="G42" t="s">
        <v>1997</v>
      </c>
      <c r="H42">
        <v>8240</v>
      </c>
      <c r="I42">
        <v>51.32535</v>
      </c>
      <c r="J42">
        <v>-116.03724</v>
      </c>
      <c r="K42">
        <v>106.31</v>
      </c>
      <c r="L42" t="s">
        <v>1998</v>
      </c>
      <c r="M42" t="s">
        <v>1999</v>
      </c>
      <c r="N42" t="s">
        <v>292</v>
      </c>
      <c r="O42" t="s">
        <v>2000</v>
      </c>
      <c r="P42" t="s">
        <v>1829</v>
      </c>
      <c r="Q42" t="s">
        <v>2001</v>
      </c>
      <c r="R42" t="s">
        <v>2002</v>
      </c>
      <c r="S42" t="s">
        <v>1832</v>
      </c>
      <c r="T42">
        <v>6201</v>
      </c>
      <c r="U42" s="274">
        <v>45702.665949074071</v>
      </c>
      <c r="V42" t="s">
        <v>2003</v>
      </c>
      <c r="W42" t="s">
        <v>2003</v>
      </c>
      <c r="X42" t="s">
        <v>2004</v>
      </c>
      <c r="AF42" s="326" t="s">
        <v>1937</v>
      </c>
      <c r="AG42" s="326" t="s">
        <v>1812</v>
      </c>
      <c r="AH42" s="326" t="s">
        <v>1969</v>
      </c>
    </row>
    <row r="43" spans="1:34">
      <c r="A43">
        <v>42</v>
      </c>
      <c r="B43" t="s">
        <v>1844</v>
      </c>
      <c r="C43" s="274">
        <v>45702.658726851849</v>
      </c>
      <c r="D43">
        <v>14705729410</v>
      </c>
      <c r="E43" t="s">
        <v>1823</v>
      </c>
      <c r="F43" t="s">
        <v>1900</v>
      </c>
      <c r="G43" t="s">
        <v>1990</v>
      </c>
      <c r="H43">
        <v>3412</v>
      </c>
      <c r="I43">
        <v>44.271884999999997</v>
      </c>
      <c r="J43">
        <v>-79.843029999999999</v>
      </c>
      <c r="K43">
        <v>53.72</v>
      </c>
      <c r="L43" t="s">
        <v>1991</v>
      </c>
      <c r="M43" t="s">
        <v>2005</v>
      </c>
      <c r="N43" t="s">
        <v>292</v>
      </c>
      <c r="O43" t="s">
        <v>1993</v>
      </c>
      <c r="P43" t="s">
        <v>1839</v>
      </c>
      <c r="Q43" t="s">
        <v>1994</v>
      </c>
      <c r="R43" t="s">
        <v>1870</v>
      </c>
      <c r="S43" t="s">
        <v>1832</v>
      </c>
      <c r="T43">
        <v>6501</v>
      </c>
      <c r="U43" s="274">
        <v>45702.665949074071</v>
      </c>
      <c r="V43" t="s">
        <v>1995</v>
      </c>
      <c r="W43" t="s">
        <v>333</v>
      </c>
      <c r="X43" s="325" t="s">
        <v>2006</v>
      </c>
      <c r="AF43" s="326" t="s">
        <v>1937</v>
      </c>
      <c r="AG43" s="326" t="s">
        <v>1813</v>
      </c>
      <c r="AH43" s="326" t="s">
        <v>1966</v>
      </c>
    </row>
    <row r="44" spans="1:34">
      <c r="A44">
        <v>43</v>
      </c>
      <c r="B44" t="s">
        <v>1822</v>
      </c>
      <c r="C44" s="274">
        <v>45702.66269675926</v>
      </c>
      <c r="D44">
        <v>14749209494</v>
      </c>
      <c r="E44" t="s">
        <v>1823</v>
      </c>
      <c r="F44" t="s">
        <v>895</v>
      </c>
      <c r="G44" t="s">
        <v>2007</v>
      </c>
      <c r="H44">
        <v>4897</v>
      </c>
      <c r="I44">
        <v>46.324486</v>
      </c>
      <c r="J44">
        <v>-95.444900000000004</v>
      </c>
      <c r="K44">
        <v>170.42</v>
      </c>
      <c r="L44" t="s">
        <v>2008</v>
      </c>
      <c r="M44" t="s">
        <v>2009</v>
      </c>
      <c r="N44" t="s">
        <v>292</v>
      </c>
      <c r="O44" t="s">
        <v>1886</v>
      </c>
      <c r="P44" t="s">
        <v>1839</v>
      </c>
      <c r="Q44" t="s">
        <v>2010</v>
      </c>
      <c r="R44" t="s">
        <v>1841</v>
      </c>
      <c r="S44" t="s">
        <v>442</v>
      </c>
      <c r="T44">
        <v>5</v>
      </c>
      <c r="U44" s="274">
        <v>45702.665937500002</v>
      </c>
      <c r="V44" t="s">
        <v>2011</v>
      </c>
      <c r="W44" t="s">
        <v>2011</v>
      </c>
      <c r="X44" t="s">
        <v>2012</v>
      </c>
      <c r="AF44" s="326" t="s">
        <v>1937</v>
      </c>
      <c r="AG44" s="326" t="s">
        <v>1814</v>
      </c>
      <c r="AH44" s="326" t="s">
        <v>2013</v>
      </c>
    </row>
    <row r="45" spans="1:34">
      <c r="A45">
        <v>44</v>
      </c>
      <c r="B45" t="s">
        <v>1844</v>
      </c>
      <c r="C45" s="274">
        <v>45702.660462962966</v>
      </c>
      <c r="D45">
        <v>14722097045</v>
      </c>
      <c r="E45" t="s">
        <v>1823</v>
      </c>
      <c r="F45" t="s">
        <v>895</v>
      </c>
      <c r="G45" t="s">
        <v>2014</v>
      </c>
      <c r="H45">
        <v>3498</v>
      </c>
      <c r="I45">
        <v>43.589080000000003</v>
      </c>
      <c r="J45">
        <v>-79.789959999999994</v>
      </c>
      <c r="K45">
        <v>25.34</v>
      </c>
      <c r="L45" t="s">
        <v>2015</v>
      </c>
      <c r="M45" t="s">
        <v>2016</v>
      </c>
      <c r="N45" t="s">
        <v>292</v>
      </c>
      <c r="O45" t="s">
        <v>1993</v>
      </c>
      <c r="P45" t="s">
        <v>1839</v>
      </c>
      <c r="Q45" t="s">
        <v>1994</v>
      </c>
      <c r="R45" t="s">
        <v>1870</v>
      </c>
      <c r="S45" t="s">
        <v>1832</v>
      </c>
      <c r="T45">
        <v>6534</v>
      </c>
      <c r="U45" s="274">
        <v>45702.665914351855</v>
      </c>
      <c r="V45" t="s">
        <v>2017</v>
      </c>
      <c r="W45" t="s">
        <v>2017</v>
      </c>
      <c r="X45" s="325" t="s">
        <v>2018</v>
      </c>
      <c r="AF45" s="326" t="s">
        <v>1937</v>
      </c>
      <c r="AG45" s="326" t="s">
        <v>1815</v>
      </c>
      <c r="AH45" s="326" t="s">
        <v>442</v>
      </c>
    </row>
    <row r="46" spans="1:34">
      <c r="A46">
        <v>45</v>
      </c>
      <c r="B46" t="s">
        <v>1822</v>
      </c>
      <c r="C46" s="274">
        <v>45702.660451388889</v>
      </c>
      <c r="D46">
        <v>14722097045</v>
      </c>
      <c r="E46" t="s">
        <v>1823</v>
      </c>
      <c r="F46" t="s">
        <v>895</v>
      </c>
      <c r="G46" t="s">
        <v>2014</v>
      </c>
      <c r="H46">
        <v>3498</v>
      </c>
      <c r="I46">
        <v>43.589080000000003</v>
      </c>
      <c r="J46">
        <v>-79.789959999999994</v>
      </c>
      <c r="K46">
        <v>25.34</v>
      </c>
      <c r="L46" t="s">
        <v>2015</v>
      </c>
      <c r="M46" t="s">
        <v>2016</v>
      </c>
      <c r="N46" t="s">
        <v>292</v>
      </c>
      <c r="O46" t="s">
        <v>1993</v>
      </c>
      <c r="P46" t="s">
        <v>1839</v>
      </c>
      <c r="Q46" t="s">
        <v>1994</v>
      </c>
      <c r="R46" t="s">
        <v>1870</v>
      </c>
      <c r="S46" t="s">
        <v>1832</v>
      </c>
      <c r="T46">
        <v>6534</v>
      </c>
      <c r="U46" s="274">
        <v>45702.665914351855</v>
      </c>
      <c r="V46" t="s">
        <v>2017</v>
      </c>
      <c r="W46" t="s">
        <v>2017</v>
      </c>
      <c r="X46" s="325" t="s">
        <v>2018</v>
      </c>
      <c r="AF46" s="326" t="s">
        <v>1937</v>
      </c>
      <c r="AG46" s="326" t="s">
        <v>1816</v>
      </c>
      <c r="AH46" s="326">
        <v>6707</v>
      </c>
    </row>
    <row r="47" spans="1:34">
      <c r="A47">
        <v>46</v>
      </c>
      <c r="B47" t="s">
        <v>1822</v>
      </c>
      <c r="C47" s="274">
        <v>45702.661689814813</v>
      </c>
      <c r="D47">
        <v>14722097045</v>
      </c>
      <c r="E47" t="s">
        <v>1823</v>
      </c>
      <c r="F47" t="s">
        <v>895</v>
      </c>
      <c r="G47" t="s">
        <v>2014</v>
      </c>
      <c r="H47">
        <v>3500</v>
      </c>
      <c r="I47">
        <v>43.598953000000002</v>
      </c>
      <c r="J47">
        <v>-79.769904999999994</v>
      </c>
      <c r="K47">
        <v>24.07</v>
      </c>
      <c r="L47" t="s">
        <v>2015</v>
      </c>
      <c r="M47" t="s">
        <v>2019</v>
      </c>
      <c r="N47" t="s">
        <v>292</v>
      </c>
      <c r="O47" t="s">
        <v>1993</v>
      </c>
      <c r="P47" t="s">
        <v>1839</v>
      </c>
      <c r="Q47" t="s">
        <v>1994</v>
      </c>
      <c r="R47" t="s">
        <v>1870</v>
      </c>
      <c r="S47" t="s">
        <v>1832</v>
      </c>
      <c r="T47">
        <v>6534</v>
      </c>
      <c r="U47" s="274">
        <v>45702.665914351855</v>
      </c>
      <c r="V47" t="s">
        <v>2017</v>
      </c>
      <c r="W47" t="s">
        <v>2017</v>
      </c>
      <c r="X47" s="325" t="s">
        <v>2020</v>
      </c>
      <c r="AF47" s="326" t="s">
        <v>1937</v>
      </c>
      <c r="AG47" s="326" t="s">
        <v>1817</v>
      </c>
      <c r="AH47" s="327">
        <v>45702.666666666664</v>
      </c>
    </row>
    <row r="48" spans="1:34">
      <c r="A48">
        <v>47</v>
      </c>
      <c r="B48" t="s">
        <v>1844</v>
      </c>
      <c r="C48" s="274">
        <v>45702.662858796299</v>
      </c>
      <c r="D48">
        <v>14718003665</v>
      </c>
      <c r="E48" t="s">
        <v>1823</v>
      </c>
      <c r="F48" t="s">
        <v>1824</v>
      </c>
      <c r="G48" t="s">
        <v>2021</v>
      </c>
      <c r="H48">
        <v>5005</v>
      </c>
      <c r="I48">
        <v>48.363083000000003</v>
      </c>
      <c r="J48">
        <v>-89.293850000000006</v>
      </c>
      <c r="K48">
        <v>2.61</v>
      </c>
      <c r="L48" t="s">
        <v>2022</v>
      </c>
      <c r="M48" t="s">
        <v>2023</v>
      </c>
      <c r="N48" t="s">
        <v>292</v>
      </c>
      <c r="O48" t="s">
        <v>1828</v>
      </c>
      <c r="P48" t="s">
        <v>1829</v>
      </c>
      <c r="Q48" t="s">
        <v>1869</v>
      </c>
      <c r="R48" t="s">
        <v>1870</v>
      </c>
      <c r="S48" t="s">
        <v>1832</v>
      </c>
      <c r="T48">
        <v>6314</v>
      </c>
      <c r="U48" s="274">
        <v>45702.665902777779</v>
      </c>
      <c r="V48" t="s">
        <v>2024</v>
      </c>
      <c r="W48" t="s">
        <v>2024</v>
      </c>
      <c r="X48" s="325" t="s">
        <v>2025</v>
      </c>
      <c r="AF48" s="326" t="s">
        <v>1937</v>
      </c>
      <c r="AG48" s="326" t="s">
        <v>1820</v>
      </c>
      <c r="AH48" s="328" t="s">
        <v>2026</v>
      </c>
    </row>
    <row r="49" spans="1:24">
      <c r="A49">
        <v>48</v>
      </c>
      <c r="B49" t="s">
        <v>1844</v>
      </c>
      <c r="C49" s="274">
        <v>45702.657800925925</v>
      </c>
      <c r="D49">
        <v>14722095830</v>
      </c>
      <c r="E49" t="s">
        <v>1823</v>
      </c>
      <c r="F49" t="s">
        <v>53</v>
      </c>
      <c r="G49" t="s">
        <v>2027</v>
      </c>
      <c r="H49">
        <v>3254</v>
      </c>
      <c r="I49">
        <v>43.457619999999999</v>
      </c>
      <c r="J49">
        <v>-79.996505999999997</v>
      </c>
      <c r="K49">
        <v>75.17</v>
      </c>
      <c r="L49" t="s">
        <v>2028</v>
      </c>
      <c r="M49" t="s">
        <v>2029</v>
      </c>
      <c r="N49" t="s">
        <v>292</v>
      </c>
      <c r="O49" t="s">
        <v>1993</v>
      </c>
      <c r="P49" t="s">
        <v>1839</v>
      </c>
      <c r="Q49" t="s">
        <v>2030</v>
      </c>
      <c r="R49" t="s">
        <v>1870</v>
      </c>
      <c r="S49" t="s">
        <v>1832</v>
      </c>
      <c r="T49">
        <v>6534</v>
      </c>
      <c r="U49" s="274">
        <v>45702.665902777779</v>
      </c>
      <c r="V49" t="s">
        <v>2031</v>
      </c>
      <c r="W49" t="s">
        <v>333</v>
      </c>
      <c r="X49" t="s">
        <v>2032</v>
      </c>
    </row>
    <row r="50" spans="1:24">
      <c r="A50">
        <v>49</v>
      </c>
      <c r="B50" t="s">
        <v>1844</v>
      </c>
      <c r="C50" s="274">
        <v>45702.657986111109</v>
      </c>
      <c r="D50">
        <v>14722097045</v>
      </c>
      <c r="E50" t="s">
        <v>1823</v>
      </c>
      <c r="F50" t="s">
        <v>895</v>
      </c>
      <c r="G50" t="s">
        <v>2014</v>
      </c>
      <c r="H50">
        <v>3218</v>
      </c>
      <c r="I50">
        <v>43.553992999999998</v>
      </c>
      <c r="J50">
        <v>-79.828739999999996</v>
      </c>
      <c r="K50">
        <v>28.39</v>
      </c>
      <c r="L50" t="s">
        <v>2015</v>
      </c>
      <c r="M50" t="s">
        <v>2033</v>
      </c>
      <c r="N50" t="s">
        <v>292</v>
      </c>
      <c r="O50" t="s">
        <v>1993</v>
      </c>
      <c r="P50" t="s">
        <v>1839</v>
      </c>
      <c r="Q50" t="s">
        <v>2030</v>
      </c>
      <c r="R50" t="s">
        <v>1870</v>
      </c>
      <c r="S50" t="s">
        <v>1832</v>
      </c>
      <c r="T50">
        <v>6534</v>
      </c>
      <c r="U50" s="274">
        <v>45702.665902777779</v>
      </c>
      <c r="V50" t="s">
        <v>2017</v>
      </c>
      <c r="W50" t="s">
        <v>333</v>
      </c>
      <c r="X50" s="325" t="s">
        <v>2034</v>
      </c>
    </row>
    <row r="51" spans="1:24">
      <c r="A51">
        <v>50</v>
      </c>
      <c r="B51" t="s">
        <v>1822</v>
      </c>
      <c r="C51" s="274">
        <v>45702.660532407404</v>
      </c>
      <c r="D51">
        <v>14722095830</v>
      </c>
      <c r="E51" t="s">
        <v>1823</v>
      </c>
      <c r="F51" t="s">
        <v>53</v>
      </c>
      <c r="G51" t="s">
        <v>2027</v>
      </c>
      <c r="H51">
        <v>3247</v>
      </c>
      <c r="I51">
        <v>43.480784999999997</v>
      </c>
      <c r="J51">
        <v>-79.986379999999997</v>
      </c>
      <c r="K51">
        <v>38.51</v>
      </c>
      <c r="L51" t="s">
        <v>2015</v>
      </c>
      <c r="M51" t="s">
        <v>2035</v>
      </c>
      <c r="N51" t="s">
        <v>292</v>
      </c>
      <c r="O51" t="s">
        <v>1993</v>
      </c>
      <c r="P51" t="s">
        <v>1839</v>
      </c>
      <c r="Q51" t="s">
        <v>2030</v>
      </c>
      <c r="R51" t="s">
        <v>1870</v>
      </c>
      <c r="S51" t="s">
        <v>1832</v>
      </c>
      <c r="T51">
        <v>6534</v>
      </c>
      <c r="U51" s="274">
        <v>45702.665902777779</v>
      </c>
      <c r="V51" t="s">
        <v>2031</v>
      </c>
      <c r="W51" t="s">
        <v>2031</v>
      </c>
      <c r="X51" s="325" t="s">
        <v>2036</v>
      </c>
    </row>
    <row r="52" spans="1:24">
      <c r="A52">
        <v>51</v>
      </c>
      <c r="B52" t="s">
        <v>1822</v>
      </c>
      <c r="C52" s="274">
        <v>45702.662233796298</v>
      </c>
      <c r="D52">
        <v>14718003665</v>
      </c>
      <c r="E52" t="s">
        <v>1823</v>
      </c>
      <c r="F52" t="s">
        <v>1824</v>
      </c>
      <c r="G52" t="s">
        <v>2021</v>
      </c>
      <c r="H52">
        <v>5005</v>
      </c>
      <c r="I52">
        <v>48.362870000000001</v>
      </c>
      <c r="J52">
        <v>-89.290665000000004</v>
      </c>
      <c r="K52">
        <v>2.42</v>
      </c>
      <c r="L52" t="s">
        <v>2022</v>
      </c>
      <c r="M52" t="s">
        <v>2023</v>
      </c>
      <c r="N52" t="s">
        <v>292</v>
      </c>
      <c r="O52" t="s">
        <v>1828</v>
      </c>
      <c r="P52" t="s">
        <v>1829</v>
      </c>
      <c r="Q52" t="s">
        <v>1869</v>
      </c>
      <c r="R52" t="s">
        <v>1870</v>
      </c>
      <c r="S52" t="s">
        <v>1832</v>
      </c>
      <c r="T52">
        <v>6314</v>
      </c>
      <c r="U52" s="274">
        <v>45702.665902777779</v>
      </c>
      <c r="V52" t="s">
        <v>2024</v>
      </c>
      <c r="W52" t="s">
        <v>2024</v>
      </c>
      <c r="X52" s="325" t="s">
        <v>2037</v>
      </c>
    </row>
    <row r="53" spans="1:24">
      <c r="A53">
        <v>52</v>
      </c>
      <c r="B53" t="s">
        <v>1844</v>
      </c>
      <c r="C53" s="274">
        <v>45702.660543981481</v>
      </c>
      <c r="D53">
        <v>14722095830</v>
      </c>
      <c r="E53" t="s">
        <v>1823</v>
      </c>
      <c r="F53" t="s">
        <v>53</v>
      </c>
      <c r="G53" t="s">
        <v>2027</v>
      </c>
      <c r="H53">
        <v>3247</v>
      </c>
      <c r="I53">
        <v>43.480784999999997</v>
      </c>
      <c r="J53">
        <v>-79.986379999999997</v>
      </c>
      <c r="K53">
        <v>38.51</v>
      </c>
      <c r="L53" t="s">
        <v>2015</v>
      </c>
      <c r="M53" t="s">
        <v>2035</v>
      </c>
      <c r="N53" t="s">
        <v>292</v>
      </c>
      <c r="O53" t="s">
        <v>1993</v>
      </c>
      <c r="P53" t="s">
        <v>1839</v>
      </c>
      <c r="Q53" t="s">
        <v>2030</v>
      </c>
      <c r="R53" t="s">
        <v>1870</v>
      </c>
      <c r="S53" t="s">
        <v>1832</v>
      </c>
      <c r="T53">
        <v>6534</v>
      </c>
      <c r="U53" s="274">
        <v>45702.665902777779</v>
      </c>
      <c r="V53" t="s">
        <v>2031</v>
      </c>
      <c r="W53" t="s">
        <v>2031</v>
      </c>
      <c r="X53" s="325" t="s">
        <v>2036</v>
      </c>
    </row>
    <row r="54" spans="1:24">
      <c r="A54">
        <v>53</v>
      </c>
      <c r="B54" t="s">
        <v>1844</v>
      </c>
      <c r="C54" s="274">
        <v>45702.660393518519</v>
      </c>
      <c r="D54">
        <v>14705738285</v>
      </c>
      <c r="E54" t="s">
        <v>1823</v>
      </c>
      <c r="F54" t="s">
        <v>1824</v>
      </c>
      <c r="G54" t="s">
        <v>2038</v>
      </c>
      <c r="H54">
        <v>9638</v>
      </c>
      <c r="I54">
        <v>50.61063</v>
      </c>
      <c r="J54">
        <v>-121.30992999999999</v>
      </c>
      <c r="K54">
        <v>56.79</v>
      </c>
      <c r="L54" t="s">
        <v>1974</v>
      </c>
      <c r="M54" t="s">
        <v>2039</v>
      </c>
      <c r="N54" t="s">
        <v>292</v>
      </c>
      <c r="O54" t="s">
        <v>1926</v>
      </c>
      <c r="P54" t="s">
        <v>1829</v>
      </c>
      <c r="Q54" t="s">
        <v>1939</v>
      </c>
      <c r="R54" t="s">
        <v>1928</v>
      </c>
      <c r="S54" t="s">
        <v>1832</v>
      </c>
      <c r="T54">
        <v>6006</v>
      </c>
      <c r="U54" s="274">
        <v>45702.665879629632</v>
      </c>
      <c r="V54" t="s">
        <v>2040</v>
      </c>
      <c r="W54" t="s">
        <v>2040</v>
      </c>
      <c r="X54" t="s">
        <v>2041</v>
      </c>
    </row>
    <row r="55" spans="1:24">
      <c r="A55">
        <v>54</v>
      </c>
      <c r="B55" t="s">
        <v>1844</v>
      </c>
      <c r="C55" s="274">
        <v>45702.663043981483</v>
      </c>
      <c r="D55">
        <v>14751994284</v>
      </c>
      <c r="E55" t="s">
        <v>1823</v>
      </c>
      <c r="F55" t="s">
        <v>1900</v>
      </c>
      <c r="G55" t="s">
        <v>2042</v>
      </c>
      <c r="H55">
        <v>5118</v>
      </c>
      <c r="I55">
        <v>35.116849999999999</v>
      </c>
      <c r="J55">
        <v>-94.649730000000005</v>
      </c>
      <c r="K55">
        <v>320.93</v>
      </c>
      <c r="L55" t="s">
        <v>1978</v>
      </c>
      <c r="M55" t="s">
        <v>2043</v>
      </c>
      <c r="N55" t="s">
        <v>292</v>
      </c>
      <c r="O55" t="s">
        <v>1968</v>
      </c>
      <c r="P55" t="s">
        <v>1969</v>
      </c>
      <c r="Q55" t="s">
        <v>1966</v>
      </c>
      <c r="R55" t="s">
        <v>2013</v>
      </c>
      <c r="S55" t="s">
        <v>442</v>
      </c>
      <c r="T55">
        <v>6707</v>
      </c>
      <c r="U55" s="274">
        <v>45702.665879629632</v>
      </c>
      <c r="V55" t="s">
        <v>2044</v>
      </c>
      <c r="W55" t="s">
        <v>2044</v>
      </c>
      <c r="X55" s="325" t="s">
        <v>2045</v>
      </c>
    </row>
    <row r="56" spans="1:24">
      <c r="A56">
        <v>55</v>
      </c>
      <c r="B56" t="s">
        <v>1822</v>
      </c>
      <c r="C56" s="274">
        <v>45702.661273148151</v>
      </c>
      <c r="D56">
        <v>14722142336</v>
      </c>
      <c r="E56" t="s">
        <v>1823</v>
      </c>
      <c r="F56" t="s">
        <v>53</v>
      </c>
      <c r="G56" t="s">
        <v>2046</v>
      </c>
      <c r="H56">
        <v>8279</v>
      </c>
      <c r="I56">
        <v>52.122610000000002</v>
      </c>
      <c r="J56">
        <v>-113.88064</v>
      </c>
      <c r="K56">
        <v>82.81</v>
      </c>
      <c r="L56" t="s">
        <v>2047</v>
      </c>
      <c r="M56" t="s">
        <v>2048</v>
      </c>
      <c r="N56" t="s">
        <v>292</v>
      </c>
      <c r="O56" t="s">
        <v>2000</v>
      </c>
      <c r="P56" t="s">
        <v>1829</v>
      </c>
      <c r="Q56" t="s">
        <v>2049</v>
      </c>
      <c r="R56" t="s">
        <v>2002</v>
      </c>
      <c r="S56" t="s">
        <v>1832</v>
      </c>
      <c r="T56">
        <v>6223</v>
      </c>
      <c r="U56" s="274">
        <v>45702.665868055556</v>
      </c>
      <c r="V56" t="s">
        <v>2050</v>
      </c>
      <c r="W56" t="s">
        <v>2050</v>
      </c>
      <c r="X56" s="325" t="s">
        <v>2051</v>
      </c>
    </row>
    <row r="57" spans="1:24">
      <c r="A57">
        <v>56</v>
      </c>
      <c r="B57" t="s">
        <v>1844</v>
      </c>
      <c r="C57" s="274">
        <v>45702.662905092591</v>
      </c>
      <c r="D57">
        <v>14722142336</v>
      </c>
      <c r="E57" t="s">
        <v>1823</v>
      </c>
      <c r="F57" t="s">
        <v>53</v>
      </c>
      <c r="G57" t="s">
        <v>2046</v>
      </c>
      <c r="H57">
        <v>8279</v>
      </c>
      <c r="I57">
        <v>52.136367999999997</v>
      </c>
      <c r="J57">
        <v>-113.87584</v>
      </c>
      <c r="K57">
        <v>83.74</v>
      </c>
      <c r="L57" t="s">
        <v>2047</v>
      </c>
      <c r="M57" t="s">
        <v>2048</v>
      </c>
      <c r="N57" t="s">
        <v>292</v>
      </c>
      <c r="O57" t="s">
        <v>2000</v>
      </c>
      <c r="P57" t="s">
        <v>1829</v>
      </c>
      <c r="Q57" t="s">
        <v>2049</v>
      </c>
      <c r="R57" t="s">
        <v>2002</v>
      </c>
      <c r="S57" t="s">
        <v>1832</v>
      </c>
      <c r="T57">
        <v>6223</v>
      </c>
      <c r="U57" s="274">
        <v>45702.665868055556</v>
      </c>
      <c r="V57" t="s">
        <v>2050</v>
      </c>
      <c r="W57" t="s">
        <v>2050</v>
      </c>
      <c r="X57" s="325" t="s">
        <v>2052</v>
      </c>
    </row>
    <row r="58" spans="1:24">
      <c r="A58">
        <v>57</v>
      </c>
      <c r="B58" t="s">
        <v>1844</v>
      </c>
      <c r="C58" s="274">
        <v>45702.659699074073</v>
      </c>
      <c r="D58">
        <v>14757086482</v>
      </c>
      <c r="E58" t="s">
        <v>1823</v>
      </c>
      <c r="F58" t="s">
        <v>1900</v>
      </c>
      <c r="G58" t="s">
        <v>2053</v>
      </c>
      <c r="H58">
        <v>8562</v>
      </c>
      <c r="I58">
        <v>52.576706000000001</v>
      </c>
      <c r="J58">
        <v>-113.63861</v>
      </c>
      <c r="K58">
        <v>27.28</v>
      </c>
      <c r="L58" t="s">
        <v>2054</v>
      </c>
      <c r="M58" t="s">
        <v>2055</v>
      </c>
      <c r="N58" t="s">
        <v>292</v>
      </c>
      <c r="O58" t="s">
        <v>2000</v>
      </c>
      <c r="P58" t="s">
        <v>1829</v>
      </c>
      <c r="Q58" t="s">
        <v>2049</v>
      </c>
      <c r="R58" t="s">
        <v>2002</v>
      </c>
      <c r="S58" t="s">
        <v>1832</v>
      </c>
      <c r="T58">
        <v>6224</v>
      </c>
      <c r="U58" s="274">
        <v>45702.665868055556</v>
      </c>
      <c r="V58" t="s">
        <v>2056</v>
      </c>
      <c r="W58" t="s">
        <v>2056</v>
      </c>
      <c r="X58" t="s">
        <v>2057</v>
      </c>
    </row>
    <row r="59" spans="1:24">
      <c r="A59">
        <v>58</v>
      </c>
      <c r="B59" t="s">
        <v>1822</v>
      </c>
      <c r="C59" s="274">
        <v>45702.660162037035</v>
      </c>
      <c r="D59">
        <v>14722112239</v>
      </c>
      <c r="E59" t="s">
        <v>1823</v>
      </c>
      <c r="F59" t="s">
        <v>1824</v>
      </c>
      <c r="G59" t="s">
        <v>2058</v>
      </c>
      <c r="H59">
        <v>3248</v>
      </c>
      <c r="I59">
        <v>42.999000000000002</v>
      </c>
      <c r="J59">
        <v>-81.204734999999999</v>
      </c>
      <c r="K59">
        <v>112.17</v>
      </c>
      <c r="L59" t="s">
        <v>2015</v>
      </c>
      <c r="M59" t="s">
        <v>2059</v>
      </c>
      <c r="N59" t="s">
        <v>292</v>
      </c>
      <c r="O59" t="s">
        <v>1993</v>
      </c>
      <c r="P59" t="s">
        <v>1839</v>
      </c>
      <c r="Q59" t="s">
        <v>2030</v>
      </c>
      <c r="R59" t="s">
        <v>1870</v>
      </c>
      <c r="S59" t="s">
        <v>1832</v>
      </c>
      <c r="T59">
        <v>6507</v>
      </c>
      <c r="U59" s="274">
        <v>45702.665868055556</v>
      </c>
      <c r="V59" t="s">
        <v>2060</v>
      </c>
      <c r="W59" t="s">
        <v>2060</v>
      </c>
      <c r="X59" s="325" t="s">
        <v>2061</v>
      </c>
    </row>
    <row r="60" spans="1:24">
      <c r="A60">
        <v>59</v>
      </c>
      <c r="B60" t="s">
        <v>1822</v>
      </c>
      <c r="C60" s="274">
        <v>45702.66238425926</v>
      </c>
      <c r="D60">
        <v>14701082359</v>
      </c>
      <c r="E60" t="s">
        <v>1823</v>
      </c>
      <c r="F60" t="s">
        <v>1900</v>
      </c>
      <c r="G60" t="s">
        <v>2062</v>
      </c>
      <c r="H60">
        <v>3047</v>
      </c>
      <c r="I60">
        <v>44.829320000000003</v>
      </c>
      <c r="J60">
        <v>-76.416160000000005</v>
      </c>
      <c r="K60">
        <v>21.88</v>
      </c>
      <c r="L60" t="s">
        <v>2063</v>
      </c>
      <c r="M60" t="s">
        <v>2064</v>
      </c>
      <c r="N60" t="s">
        <v>292</v>
      </c>
      <c r="O60" t="s">
        <v>2065</v>
      </c>
      <c r="P60" t="s">
        <v>1839</v>
      </c>
      <c r="Q60" t="s">
        <v>2066</v>
      </c>
      <c r="R60" t="s">
        <v>1870</v>
      </c>
      <c r="S60" t="s">
        <v>1832</v>
      </c>
      <c r="T60">
        <v>6517</v>
      </c>
      <c r="U60" s="274">
        <v>45702.665868055556</v>
      </c>
      <c r="V60" t="s">
        <v>2067</v>
      </c>
      <c r="W60" t="s">
        <v>2067</v>
      </c>
      <c r="X60" s="325" t="s">
        <v>2068</v>
      </c>
    </row>
    <row r="61" spans="1:24">
      <c r="A61">
        <v>60</v>
      </c>
      <c r="B61" t="s">
        <v>1844</v>
      </c>
      <c r="C61" s="274">
        <v>45702.662326388891</v>
      </c>
      <c r="D61">
        <v>14740366089</v>
      </c>
      <c r="E61" t="s">
        <v>1823</v>
      </c>
      <c r="F61" t="s">
        <v>1900</v>
      </c>
      <c r="G61" t="s">
        <v>2069</v>
      </c>
      <c r="H61">
        <v>3416</v>
      </c>
      <c r="I61">
        <v>44.426856999999998</v>
      </c>
      <c r="J61">
        <v>-79.765950000000004</v>
      </c>
      <c r="K61">
        <v>65.84</v>
      </c>
      <c r="L61" t="s">
        <v>1991</v>
      </c>
      <c r="M61" t="s">
        <v>2070</v>
      </c>
      <c r="N61" t="s">
        <v>292</v>
      </c>
      <c r="O61" t="s">
        <v>1993</v>
      </c>
      <c r="P61" t="s">
        <v>1839</v>
      </c>
      <c r="Q61" t="s">
        <v>1994</v>
      </c>
      <c r="R61" t="s">
        <v>1870</v>
      </c>
      <c r="S61" t="s">
        <v>1832</v>
      </c>
      <c r="T61">
        <v>6501</v>
      </c>
      <c r="U61" s="274">
        <v>45702.665868055556</v>
      </c>
      <c r="V61" t="s">
        <v>2071</v>
      </c>
      <c r="W61" t="s">
        <v>2071</v>
      </c>
      <c r="X61" s="325" t="s">
        <v>2072</v>
      </c>
    </row>
    <row r="62" spans="1:24">
      <c r="A62">
        <v>61</v>
      </c>
      <c r="B62" t="s">
        <v>1822</v>
      </c>
      <c r="C62" s="274">
        <v>45702.660937499997</v>
      </c>
      <c r="D62">
        <v>14740366089</v>
      </c>
      <c r="E62" t="s">
        <v>1823</v>
      </c>
      <c r="F62" t="s">
        <v>1900</v>
      </c>
      <c r="G62" t="s">
        <v>2069</v>
      </c>
      <c r="H62">
        <v>3416</v>
      </c>
      <c r="I62">
        <v>44.450890000000001</v>
      </c>
      <c r="J62">
        <v>-79.754339999999999</v>
      </c>
      <c r="K62">
        <v>67.709999999999994</v>
      </c>
      <c r="L62" t="s">
        <v>1991</v>
      </c>
      <c r="M62" t="s">
        <v>2070</v>
      </c>
      <c r="N62" t="s">
        <v>292</v>
      </c>
      <c r="O62" t="s">
        <v>1993</v>
      </c>
      <c r="P62" t="s">
        <v>1839</v>
      </c>
      <c r="Q62" t="s">
        <v>1994</v>
      </c>
      <c r="R62" t="s">
        <v>1870</v>
      </c>
      <c r="S62" t="s">
        <v>1832</v>
      </c>
      <c r="T62">
        <v>6501</v>
      </c>
      <c r="U62" s="274">
        <v>45702.665868055556</v>
      </c>
      <c r="V62" t="s">
        <v>2071</v>
      </c>
      <c r="W62" t="s">
        <v>2071</v>
      </c>
      <c r="X62" t="s">
        <v>2073</v>
      </c>
    </row>
    <row r="63" spans="1:24">
      <c r="A63">
        <v>62</v>
      </c>
      <c r="B63" t="s">
        <v>1822</v>
      </c>
      <c r="C63" s="274">
        <v>45702.660069444442</v>
      </c>
      <c r="D63">
        <v>14726066972</v>
      </c>
      <c r="E63" t="s">
        <v>1823</v>
      </c>
      <c r="F63" t="s">
        <v>895</v>
      </c>
      <c r="G63" t="s">
        <v>2074</v>
      </c>
      <c r="H63">
        <v>9061</v>
      </c>
      <c r="I63">
        <v>49.077274000000003</v>
      </c>
      <c r="J63">
        <v>-116.149315</v>
      </c>
      <c r="K63">
        <v>151.69</v>
      </c>
      <c r="L63" t="s">
        <v>1924</v>
      </c>
      <c r="M63" t="s">
        <v>2075</v>
      </c>
      <c r="N63" t="s">
        <v>292</v>
      </c>
      <c r="O63" t="s">
        <v>1926</v>
      </c>
      <c r="P63" t="s">
        <v>1829</v>
      </c>
      <c r="Q63" t="s">
        <v>1927</v>
      </c>
      <c r="R63" t="s">
        <v>1928</v>
      </c>
      <c r="S63" t="s">
        <v>1832</v>
      </c>
      <c r="T63">
        <v>6111</v>
      </c>
      <c r="U63" s="274">
        <v>45702.665868055556</v>
      </c>
      <c r="V63" t="s">
        <v>2076</v>
      </c>
      <c r="W63" t="s">
        <v>2076</v>
      </c>
      <c r="X63" t="s">
        <v>2077</v>
      </c>
    </row>
    <row r="64" spans="1:24">
      <c r="A64">
        <v>63</v>
      </c>
      <c r="B64" t="s">
        <v>1822</v>
      </c>
      <c r="C64" s="274">
        <v>45702.662638888891</v>
      </c>
      <c r="D64">
        <v>14761374779</v>
      </c>
      <c r="E64" t="s">
        <v>1823</v>
      </c>
      <c r="F64" t="s">
        <v>1824</v>
      </c>
      <c r="G64" t="s">
        <v>2078</v>
      </c>
      <c r="H64">
        <v>9495</v>
      </c>
      <c r="I64">
        <v>51.293689999999998</v>
      </c>
      <c r="J64">
        <v>-116.97751</v>
      </c>
      <c r="K64">
        <v>142.68</v>
      </c>
      <c r="L64" t="s">
        <v>2079</v>
      </c>
      <c r="M64" t="s">
        <v>2080</v>
      </c>
      <c r="N64" t="s">
        <v>292</v>
      </c>
      <c r="O64" t="s">
        <v>1926</v>
      </c>
      <c r="P64" t="s">
        <v>1829</v>
      </c>
      <c r="Q64" t="s">
        <v>1927</v>
      </c>
      <c r="R64" t="s">
        <v>1928</v>
      </c>
      <c r="S64" t="s">
        <v>1832</v>
      </c>
      <c r="T64">
        <v>6104</v>
      </c>
      <c r="U64" s="274">
        <v>45702.665856481479</v>
      </c>
      <c r="V64" t="s">
        <v>2081</v>
      </c>
      <c r="W64" t="s">
        <v>2081</v>
      </c>
      <c r="X64" s="325" t="s">
        <v>2082</v>
      </c>
    </row>
    <row r="65" spans="1:24">
      <c r="A65">
        <v>64</v>
      </c>
      <c r="B65" t="s">
        <v>1844</v>
      </c>
      <c r="C65" s="274">
        <v>45702.660868055558</v>
      </c>
      <c r="D65">
        <v>14744984677</v>
      </c>
      <c r="E65" t="s">
        <v>1823</v>
      </c>
      <c r="F65" t="s">
        <v>1900</v>
      </c>
      <c r="G65" t="s">
        <v>2083</v>
      </c>
      <c r="H65">
        <v>9543</v>
      </c>
      <c r="I65">
        <v>50.321114000000001</v>
      </c>
      <c r="J65">
        <v>-115.87341000000001</v>
      </c>
      <c r="K65">
        <v>52.77</v>
      </c>
      <c r="L65" t="s">
        <v>2079</v>
      </c>
      <c r="M65" t="s">
        <v>2084</v>
      </c>
      <c r="N65" t="s">
        <v>292</v>
      </c>
      <c r="O65" t="s">
        <v>1926</v>
      </c>
      <c r="P65" t="s">
        <v>1829</v>
      </c>
      <c r="Q65" t="s">
        <v>1927</v>
      </c>
      <c r="R65" t="s">
        <v>1928</v>
      </c>
      <c r="S65" t="s">
        <v>1832</v>
      </c>
      <c r="T65">
        <v>6104</v>
      </c>
      <c r="U65" s="274">
        <v>45702.665856481479</v>
      </c>
      <c r="V65" t="s">
        <v>2085</v>
      </c>
      <c r="W65" t="s">
        <v>2085</v>
      </c>
      <c r="X65" s="325" t="s">
        <v>2086</v>
      </c>
    </row>
    <row r="66" spans="1:24">
      <c r="A66">
        <v>65</v>
      </c>
      <c r="B66" t="s">
        <v>1844</v>
      </c>
      <c r="C66" s="274">
        <v>45702.661122685182</v>
      </c>
      <c r="D66">
        <v>14701083946</v>
      </c>
      <c r="E66" t="s">
        <v>1823</v>
      </c>
      <c r="F66" t="s">
        <v>1824</v>
      </c>
      <c r="G66" t="s">
        <v>2087</v>
      </c>
      <c r="H66">
        <v>9525</v>
      </c>
      <c r="I66">
        <v>51.186028</v>
      </c>
      <c r="J66">
        <v>-117.75109999999999</v>
      </c>
      <c r="K66">
        <v>98.11</v>
      </c>
      <c r="L66" t="s">
        <v>1939</v>
      </c>
      <c r="M66" t="s">
        <v>2088</v>
      </c>
      <c r="N66" t="s">
        <v>292</v>
      </c>
      <c r="O66" t="s">
        <v>1926</v>
      </c>
      <c r="P66" t="s">
        <v>1829</v>
      </c>
      <c r="Q66" t="s">
        <v>1939</v>
      </c>
      <c r="R66" t="s">
        <v>1928</v>
      </c>
      <c r="S66" t="s">
        <v>1832</v>
      </c>
      <c r="T66">
        <v>6103</v>
      </c>
      <c r="U66" s="274">
        <v>45702.665856481479</v>
      </c>
      <c r="V66" t="s">
        <v>2089</v>
      </c>
      <c r="W66" t="s">
        <v>2089</v>
      </c>
      <c r="X66" s="325" t="s">
        <v>2090</v>
      </c>
    </row>
    <row r="67" spans="1:24">
      <c r="A67">
        <v>66</v>
      </c>
      <c r="B67" t="s">
        <v>1844</v>
      </c>
      <c r="C67" s="274">
        <v>45702.662534722222</v>
      </c>
      <c r="D67">
        <v>14726040919</v>
      </c>
      <c r="E67" t="s">
        <v>1823</v>
      </c>
      <c r="F67" t="s">
        <v>1824</v>
      </c>
      <c r="G67" t="s">
        <v>2091</v>
      </c>
      <c r="H67">
        <v>4863</v>
      </c>
      <c r="I67">
        <v>45.043044999999999</v>
      </c>
      <c r="J67">
        <v>-93.209320000000005</v>
      </c>
      <c r="K67">
        <v>3.5</v>
      </c>
      <c r="L67" t="s">
        <v>2092</v>
      </c>
      <c r="M67" t="s">
        <v>2093</v>
      </c>
      <c r="N67" t="s">
        <v>292</v>
      </c>
      <c r="O67" t="s">
        <v>1838</v>
      </c>
      <c r="P67" t="s">
        <v>1839</v>
      </c>
      <c r="Q67" t="s">
        <v>2094</v>
      </c>
      <c r="R67" t="s">
        <v>1841</v>
      </c>
      <c r="S67" t="s">
        <v>442</v>
      </c>
      <c r="T67">
        <v>21</v>
      </c>
      <c r="U67" s="274">
        <v>45702.665856481479</v>
      </c>
      <c r="V67" t="s">
        <v>2095</v>
      </c>
      <c r="W67" t="s">
        <v>2095</v>
      </c>
      <c r="X67" t="s">
        <v>2096</v>
      </c>
    </row>
    <row r="68" spans="1:24">
      <c r="A68">
        <v>67</v>
      </c>
      <c r="B68" t="s">
        <v>1822</v>
      </c>
      <c r="C68" s="274">
        <v>45702.662268518521</v>
      </c>
      <c r="D68">
        <v>14753543967</v>
      </c>
      <c r="E68" t="s">
        <v>1823</v>
      </c>
      <c r="F68" t="s">
        <v>895</v>
      </c>
      <c r="G68" t="s">
        <v>2097</v>
      </c>
      <c r="H68">
        <v>7427</v>
      </c>
      <c r="I68">
        <v>50.375194999999998</v>
      </c>
      <c r="J68">
        <v>-111.48594</v>
      </c>
      <c r="K68">
        <v>44.37</v>
      </c>
      <c r="L68" t="s">
        <v>2098</v>
      </c>
      <c r="M68" t="s">
        <v>2099</v>
      </c>
      <c r="N68" t="s">
        <v>292</v>
      </c>
      <c r="O68" t="s">
        <v>1851</v>
      </c>
      <c r="P68" t="s">
        <v>1829</v>
      </c>
      <c r="Q68" t="s">
        <v>2100</v>
      </c>
      <c r="R68" t="s">
        <v>2002</v>
      </c>
      <c r="S68" t="s">
        <v>1832</v>
      </c>
      <c r="T68">
        <v>6202</v>
      </c>
      <c r="U68" s="274">
        <v>45702.665844907409</v>
      </c>
      <c r="V68" t="s">
        <v>2101</v>
      </c>
      <c r="W68" t="s">
        <v>2101</v>
      </c>
      <c r="X68" s="325" t="s">
        <v>2102</v>
      </c>
    </row>
    <row r="69" spans="1:24">
      <c r="A69">
        <v>68</v>
      </c>
      <c r="B69" t="s">
        <v>1844</v>
      </c>
      <c r="C69" s="274">
        <v>45702.662280092591</v>
      </c>
      <c r="D69">
        <v>14753543967</v>
      </c>
      <c r="E69" t="s">
        <v>1823</v>
      </c>
      <c r="F69" t="s">
        <v>895</v>
      </c>
      <c r="G69" t="s">
        <v>2097</v>
      </c>
      <c r="H69">
        <v>7427</v>
      </c>
      <c r="I69">
        <v>50.375194999999998</v>
      </c>
      <c r="J69">
        <v>-111.48594</v>
      </c>
      <c r="K69">
        <v>44.37</v>
      </c>
      <c r="L69" t="s">
        <v>2098</v>
      </c>
      <c r="M69" t="s">
        <v>2099</v>
      </c>
      <c r="N69" t="s">
        <v>292</v>
      </c>
      <c r="O69" t="s">
        <v>1851</v>
      </c>
      <c r="P69" t="s">
        <v>1829</v>
      </c>
      <c r="Q69" t="s">
        <v>2100</v>
      </c>
      <c r="R69" t="s">
        <v>2002</v>
      </c>
      <c r="S69" t="s">
        <v>1832</v>
      </c>
      <c r="T69">
        <v>6202</v>
      </c>
      <c r="U69" s="274">
        <v>45702.665844907409</v>
      </c>
      <c r="V69" t="s">
        <v>2101</v>
      </c>
      <c r="W69" t="s">
        <v>2101</v>
      </c>
      <c r="X69" s="325" t="s">
        <v>2102</v>
      </c>
    </row>
    <row r="70" spans="1:24">
      <c r="A70">
        <v>69</v>
      </c>
      <c r="B70" t="s">
        <v>1822</v>
      </c>
      <c r="C70" s="274">
        <v>45702.662673611114</v>
      </c>
      <c r="D70">
        <v>14709819261</v>
      </c>
      <c r="E70" t="s">
        <v>1823</v>
      </c>
      <c r="F70" t="s">
        <v>1824</v>
      </c>
      <c r="G70" t="s">
        <v>2103</v>
      </c>
      <c r="H70">
        <v>7305</v>
      </c>
      <c r="I70">
        <v>50.099654999999998</v>
      </c>
      <c r="J70">
        <v>-108.48316</v>
      </c>
      <c r="K70">
        <v>35.01</v>
      </c>
      <c r="L70" t="s">
        <v>2104</v>
      </c>
      <c r="M70" t="s">
        <v>2105</v>
      </c>
      <c r="N70" t="s">
        <v>292</v>
      </c>
      <c r="O70" t="s">
        <v>1851</v>
      </c>
      <c r="P70" t="s">
        <v>1829</v>
      </c>
      <c r="Q70" t="s">
        <v>2100</v>
      </c>
      <c r="R70" t="s">
        <v>1853</v>
      </c>
      <c r="S70" t="s">
        <v>1832</v>
      </c>
      <c r="T70">
        <v>6208</v>
      </c>
      <c r="U70" s="274">
        <v>45702.665833333333</v>
      </c>
      <c r="V70" t="s">
        <v>2106</v>
      </c>
      <c r="W70" t="s">
        <v>2106</v>
      </c>
      <c r="X70" s="325" t="s">
        <v>2107</v>
      </c>
    </row>
    <row r="71" spans="1:24">
      <c r="A71">
        <v>70</v>
      </c>
      <c r="B71" t="s">
        <v>1844</v>
      </c>
      <c r="C71" s="274">
        <v>45702.661817129629</v>
      </c>
      <c r="D71">
        <v>14726107155</v>
      </c>
      <c r="E71" t="s">
        <v>1891</v>
      </c>
      <c r="F71" t="s">
        <v>53</v>
      </c>
      <c r="G71" t="s">
        <v>2108</v>
      </c>
      <c r="H71">
        <v>5176</v>
      </c>
      <c r="I71">
        <v>32.430769249999997</v>
      </c>
      <c r="J71">
        <v>-93.753238269999997</v>
      </c>
      <c r="K71">
        <v>562.84</v>
      </c>
      <c r="L71" t="s">
        <v>2109</v>
      </c>
      <c r="M71" t="s">
        <v>2110</v>
      </c>
      <c r="N71" t="s">
        <v>292</v>
      </c>
      <c r="O71" t="s">
        <v>2111</v>
      </c>
      <c r="P71" t="s">
        <v>1969</v>
      </c>
      <c r="Q71" t="s">
        <v>2111</v>
      </c>
      <c r="R71" t="s">
        <v>2112</v>
      </c>
      <c r="S71" t="s">
        <v>442</v>
      </c>
      <c r="T71">
        <v>6715</v>
      </c>
      <c r="U71" s="274">
        <v>45702.665532407409</v>
      </c>
      <c r="V71" t="s">
        <v>2113</v>
      </c>
      <c r="W71" t="s">
        <v>2114</v>
      </c>
      <c r="X71" s="325" t="s">
        <v>2115</v>
      </c>
    </row>
    <row r="72" spans="1:24">
      <c r="A72">
        <v>71</v>
      </c>
      <c r="B72" t="s">
        <v>1822</v>
      </c>
      <c r="C72" s="274">
        <v>45702.660960648151</v>
      </c>
      <c r="D72">
        <v>14718051698</v>
      </c>
      <c r="E72" t="s">
        <v>1891</v>
      </c>
      <c r="F72" t="s">
        <v>1900</v>
      </c>
      <c r="G72" t="s">
        <v>2116</v>
      </c>
      <c r="H72">
        <v>117</v>
      </c>
      <c r="I72">
        <v>18.281916689999999</v>
      </c>
      <c r="J72">
        <v>-101.90566404</v>
      </c>
      <c r="K72">
        <v>69.05</v>
      </c>
      <c r="L72" t="s">
        <v>2117</v>
      </c>
      <c r="M72" t="s">
        <v>2118</v>
      </c>
      <c r="N72" t="s">
        <v>292</v>
      </c>
      <c r="O72" t="s">
        <v>1895</v>
      </c>
      <c r="P72" t="s">
        <v>1862</v>
      </c>
      <c r="Q72" t="s">
        <v>2119</v>
      </c>
      <c r="R72" t="s">
        <v>2120</v>
      </c>
      <c r="S72" t="s">
        <v>1897</v>
      </c>
      <c r="T72">
        <v>6829</v>
      </c>
      <c r="U72" s="274">
        <v>45702.665532407409</v>
      </c>
      <c r="V72" t="s">
        <v>2121</v>
      </c>
      <c r="W72" t="s">
        <v>2122</v>
      </c>
      <c r="X72" s="325" t="s">
        <v>2123</v>
      </c>
    </row>
    <row r="73" spans="1:24">
      <c r="A73">
        <v>72</v>
      </c>
      <c r="B73" t="s">
        <v>1844</v>
      </c>
      <c r="C73" s="274">
        <v>45702.661585648151</v>
      </c>
      <c r="D73">
        <v>14722124876</v>
      </c>
      <c r="E73" t="s">
        <v>1891</v>
      </c>
      <c r="F73" t="s">
        <v>1900</v>
      </c>
      <c r="G73" t="s">
        <v>2124</v>
      </c>
      <c r="H73">
        <v>5116</v>
      </c>
      <c r="I73">
        <v>35.223392060000002</v>
      </c>
      <c r="J73">
        <v>-94.637534270000003</v>
      </c>
      <c r="K73">
        <v>312.95999999999998</v>
      </c>
      <c r="L73" t="s">
        <v>1978</v>
      </c>
      <c r="M73" t="s">
        <v>2125</v>
      </c>
      <c r="N73" t="s">
        <v>292</v>
      </c>
      <c r="O73" t="s">
        <v>1968</v>
      </c>
      <c r="P73" t="s">
        <v>1969</v>
      </c>
      <c r="Q73" t="s">
        <v>1966</v>
      </c>
      <c r="R73" t="s">
        <v>2013</v>
      </c>
      <c r="S73" t="s">
        <v>442</v>
      </c>
      <c r="T73">
        <v>6707</v>
      </c>
      <c r="U73" s="274">
        <v>45702.665532407409</v>
      </c>
      <c r="V73" t="s">
        <v>2126</v>
      </c>
      <c r="W73" t="s">
        <v>2126</v>
      </c>
      <c r="X73" s="325" t="s">
        <v>2127</v>
      </c>
    </row>
    <row r="74" spans="1:24">
      <c r="A74">
        <v>73</v>
      </c>
      <c r="B74" t="s">
        <v>1822</v>
      </c>
      <c r="C74" s="274">
        <v>45702.662881944445</v>
      </c>
      <c r="D74">
        <v>14722124876</v>
      </c>
      <c r="E74" t="s">
        <v>1891</v>
      </c>
      <c r="F74" t="s">
        <v>1900</v>
      </c>
      <c r="G74" t="s">
        <v>2124</v>
      </c>
      <c r="H74">
        <v>5117</v>
      </c>
      <c r="I74">
        <v>35.204434059999997</v>
      </c>
      <c r="J74">
        <v>-94.653100100000003</v>
      </c>
      <c r="K74">
        <v>314.60000000000002</v>
      </c>
      <c r="L74" t="s">
        <v>1978</v>
      </c>
      <c r="M74" t="s">
        <v>2128</v>
      </c>
      <c r="N74" t="s">
        <v>292</v>
      </c>
      <c r="O74" t="s">
        <v>1968</v>
      </c>
      <c r="P74" t="s">
        <v>1969</v>
      </c>
      <c r="Q74" t="s">
        <v>1966</v>
      </c>
      <c r="R74" t="s">
        <v>2013</v>
      </c>
      <c r="S74" t="s">
        <v>442</v>
      </c>
      <c r="T74">
        <v>6707</v>
      </c>
      <c r="U74" s="274">
        <v>45702.665532407409</v>
      </c>
      <c r="V74" t="s">
        <v>2126</v>
      </c>
      <c r="W74" t="s">
        <v>2126</v>
      </c>
      <c r="X74" s="325" t="s">
        <v>2129</v>
      </c>
    </row>
    <row r="75" spans="1:24">
      <c r="A75">
        <v>74</v>
      </c>
      <c r="B75" t="s">
        <v>1844</v>
      </c>
      <c r="C75" s="274">
        <v>45702.663194444445</v>
      </c>
      <c r="D75">
        <v>14726101581</v>
      </c>
      <c r="E75" t="s">
        <v>1891</v>
      </c>
      <c r="F75" t="s">
        <v>1900</v>
      </c>
      <c r="G75" t="s">
        <v>2130</v>
      </c>
      <c r="H75">
        <v>5029</v>
      </c>
      <c r="I75">
        <v>36.998889550000001</v>
      </c>
      <c r="J75">
        <v>-94.453688099999994</v>
      </c>
      <c r="K75">
        <v>162.88</v>
      </c>
      <c r="L75" t="s">
        <v>1978</v>
      </c>
      <c r="M75" t="s">
        <v>2131</v>
      </c>
      <c r="N75" t="s">
        <v>292</v>
      </c>
      <c r="O75" t="s">
        <v>1968</v>
      </c>
      <c r="P75" t="s">
        <v>1969</v>
      </c>
      <c r="Q75" t="s">
        <v>1966</v>
      </c>
      <c r="R75" t="s">
        <v>1970</v>
      </c>
      <c r="S75" t="s">
        <v>442</v>
      </c>
      <c r="T75">
        <v>6707</v>
      </c>
      <c r="U75" s="274">
        <v>45702.665532407409</v>
      </c>
      <c r="V75" t="s">
        <v>2132</v>
      </c>
      <c r="W75" t="s">
        <v>2133</v>
      </c>
      <c r="X75" t="s">
        <v>2134</v>
      </c>
    </row>
    <row r="76" spans="1:24">
      <c r="A76">
        <v>75</v>
      </c>
      <c r="B76" t="s">
        <v>1822</v>
      </c>
      <c r="C76" s="274">
        <v>45702.659733796296</v>
      </c>
      <c r="D76">
        <v>14726106263</v>
      </c>
      <c r="E76" t="s">
        <v>1891</v>
      </c>
      <c r="F76" t="s">
        <v>1900</v>
      </c>
      <c r="G76" t="s">
        <v>2135</v>
      </c>
      <c r="H76">
        <v>5269</v>
      </c>
      <c r="I76">
        <v>29.945675770000001</v>
      </c>
      <c r="J76">
        <v>-93.950461770000004</v>
      </c>
      <c r="K76">
        <v>779.34</v>
      </c>
      <c r="L76" t="s">
        <v>2136</v>
      </c>
      <c r="M76" t="s">
        <v>2137</v>
      </c>
      <c r="N76" t="s">
        <v>292</v>
      </c>
      <c r="O76" t="s">
        <v>2111</v>
      </c>
      <c r="P76" t="s">
        <v>1969</v>
      </c>
      <c r="Q76" t="s">
        <v>2136</v>
      </c>
      <c r="R76" t="s">
        <v>1863</v>
      </c>
      <c r="S76" t="s">
        <v>442</v>
      </c>
      <c r="T76">
        <v>6716</v>
      </c>
      <c r="U76" s="274">
        <v>45702.665532407409</v>
      </c>
      <c r="V76" t="s">
        <v>2138</v>
      </c>
      <c r="W76" t="s">
        <v>2138</v>
      </c>
      <c r="X76" s="325" t="s">
        <v>2139</v>
      </c>
    </row>
    <row r="77" spans="1:24">
      <c r="A77">
        <v>76</v>
      </c>
      <c r="B77" t="s">
        <v>1822</v>
      </c>
      <c r="C77" s="274">
        <v>45702.661828703705</v>
      </c>
      <c r="D77">
        <v>14726107155</v>
      </c>
      <c r="E77" t="s">
        <v>1891</v>
      </c>
      <c r="F77" t="s">
        <v>53</v>
      </c>
      <c r="G77" t="s">
        <v>2108</v>
      </c>
      <c r="H77">
        <v>5177</v>
      </c>
      <c r="I77">
        <v>32.399382580000001</v>
      </c>
      <c r="J77">
        <v>-93.73499194</v>
      </c>
      <c r="K77">
        <v>565.25</v>
      </c>
      <c r="L77" t="s">
        <v>2109</v>
      </c>
      <c r="M77" t="s">
        <v>2140</v>
      </c>
      <c r="N77" t="s">
        <v>292</v>
      </c>
      <c r="O77" t="s">
        <v>2111</v>
      </c>
      <c r="P77" t="s">
        <v>1969</v>
      </c>
      <c r="Q77" t="s">
        <v>2111</v>
      </c>
      <c r="R77" t="s">
        <v>2112</v>
      </c>
      <c r="S77" t="s">
        <v>442</v>
      </c>
      <c r="T77">
        <v>6715</v>
      </c>
      <c r="U77" s="274">
        <v>45702.665532407409</v>
      </c>
      <c r="V77" t="s">
        <v>2113</v>
      </c>
      <c r="W77" t="s">
        <v>2113</v>
      </c>
      <c r="X77" s="325" t="s">
        <v>2141</v>
      </c>
    </row>
    <row r="78" spans="1:24">
      <c r="A78">
        <v>77</v>
      </c>
      <c r="B78" t="s">
        <v>1822</v>
      </c>
      <c r="C78" s="274">
        <v>45702.661493055559</v>
      </c>
      <c r="D78">
        <v>14764894316</v>
      </c>
      <c r="E78" t="s">
        <v>1891</v>
      </c>
      <c r="F78" t="s">
        <v>895</v>
      </c>
      <c r="G78" t="s">
        <v>1859</v>
      </c>
      <c r="H78">
        <v>5777</v>
      </c>
      <c r="I78">
        <v>27.30470562</v>
      </c>
      <c r="J78">
        <v>-98.661294729999995</v>
      </c>
      <c r="K78">
        <v>62.93</v>
      </c>
      <c r="L78" t="s">
        <v>416</v>
      </c>
      <c r="M78" t="s">
        <v>1860</v>
      </c>
      <c r="N78" t="s">
        <v>292</v>
      </c>
      <c r="O78" t="s">
        <v>1861</v>
      </c>
      <c r="P78" t="s">
        <v>1862</v>
      </c>
      <c r="Q78" t="s">
        <v>427</v>
      </c>
      <c r="R78" t="s">
        <v>1863</v>
      </c>
      <c r="S78" t="s">
        <v>442</v>
      </c>
      <c r="T78">
        <v>6727</v>
      </c>
      <c r="U78" s="274">
        <v>45702.665532407409</v>
      </c>
      <c r="V78" t="s">
        <v>2142</v>
      </c>
      <c r="W78" t="s">
        <v>1864</v>
      </c>
      <c r="X78" s="325" t="s">
        <v>2143</v>
      </c>
    </row>
    <row r="79" spans="1:24">
      <c r="A79">
        <v>78</v>
      </c>
      <c r="B79" t="s">
        <v>1822</v>
      </c>
      <c r="C79" s="274">
        <v>45702.662141203706</v>
      </c>
      <c r="D79">
        <v>14736990260</v>
      </c>
      <c r="E79" t="s">
        <v>2144</v>
      </c>
      <c r="F79" t="s">
        <v>895</v>
      </c>
      <c r="G79" t="s">
        <v>2145</v>
      </c>
      <c r="H79">
        <v>4772</v>
      </c>
      <c r="I79">
        <v>43.110451380000001</v>
      </c>
      <c r="J79">
        <v>-88.504306270000001</v>
      </c>
      <c r="K79">
        <v>118.19</v>
      </c>
      <c r="L79" t="s">
        <v>2146</v>
      </c>
      <c r="M79" t="s">
        <v>2147</v>
      </c>
      <c r="N79" t="s">
        <v>292</v>
      </c>
      <c r="O79" t="s">
        <v>1838</v>
      </c>
      <c r="P79" t="s">
        <v>1839</v>
      </c>
      <c r="Q79" t="s">
        <v>1840</v>
      </c>
      <c r="R79" t="s">
        <v>2148</v>
      </c>
      <c r="S79" t="s">
        <v>442</v>
      </c>
      <c r="T79">
        <v>27</v>
      </c>
      <c r="U79" s="274">
        <v>45702.664768518516</v>
      </c>
      <c r="V79" t="s">
        <v>2149</v>
      </c>
      <c r="W79" t="s">
        <v>2149</v>
      </c>
      <c r="X79" t="s">
        <v>2150</v>
      </c>
    </row>
    <row r="80" spans="1:24">
      <c r="A80">
        <v>79</v>
      </c>
      <c r="B80" t="s">
        <v>1844</v>
      </c>
      <c r="C80" s="274">
        <v>45702.660196759258</v>
      </c>
      <c r="D80">
        <v>14748674574</v>
      </c>
      <c r="E80" t="s">
        <v>2144</v>
      </c>
      <c r="F80" t="s">
        <v>53</v>
      </c>
      <c r="G80" t="s">
        <v>2151</v>
      </c>
      <c r="H80">
        <v>4610</v>
      </c>
      <c r="I80">
        <v>42.593737150000003</v>
      </c>
      <c r="J80">
        <v>-90.694371849999996</v>
      </c>
      <c r="K80">
        <v>51.49</v>
      </c>
      <c r="L80" t="s">
        <v>1827</v>
      </c>
      <c r="M80" t="s">
        <v>2152</v>
      </c>
      <c r="N80" t="s">
        <v>292</v>
      </c>
      <c r="O80" t="s">
        <v>1886</v>
      </c>
      <c r="P80" t="s">
        <v>1839</v>
      </c>
      <c r="Q80" t="s">
        <v>2153</v>
      </c>
      <c r="R80" t="s">
        <v>2154</v>
      </c>
      <c r="S80" t="s">
        <v>442</v>
      </c>
      <c r="T80">
        <v>154</v>
      </c>
      <c r="U80" s="274">
        <v>45702.664768518516</v>
      </c>
      <c r="V80" t="s">
        <v>2155</v>
      </c>
      <c r="W80" t="s">
        <v>2155</v>
      </c>
      <c r="X80" s="325" t="s">
        <v>2156</v>
      </c>
    </row>
    <row r="81" spans="1:24">
      <c r="A81">
        <v>80</v>
      </c>
      <c r="B81" t="s">
        <v>1822</v>
      </c>
      <c r="C81" s="274">
        <v>45702.660300925927</v>
      </c>
      <c r="D81">
        <v>14760940873</v>
      </c>
      <c r="E81" t="s">
        <v>2144</v>
      </c>
      <c r="F81" t="s">
        <v>53</v>
      </c>
      <c r="G81" t="s">
        <v>2157</v>
      </c>
      <c r="H81">
        <v>4613</v>
      </c>
      <c r="I81">
        <v>42.842704230000002</v>
      </c>
      <c r="J81">
        <v>-91.107363919999997</v>
      </c>
      <c r="K81">
        <v>82.47</v>
      </c>
      <c r="L81" t="s">
        <v>1827</v>
      </c>
      <c r="M81" t="s">
        <v>2158</v>
      </c>
      <c r="N81" t="s">
        <v>292</v>
      </c>
      <c r="O81" t="s">
        <v>1886</v>
      </c>
      <c r="P81" t="s">
        <v>1839</v>
      </c>
      <c r="Q81" t="s">
        <v>2153</v>
      </c>
      <c r="R81" t="s">
        <v>2154</v>
      </c>
      <c r="S81" t="s">
        <v>442</v>
      </c>
      <c r="T81">
        <v>154</v>
      </c>
      <c r="U81" s="274">
        <v>45702.664768518516</v>
      </c>
      <c r="V81" t="s">
        <v>2159</v>
      </c>
      <c r="W81" t="s">
        <v>2159</v>
      </c>
      <c r="X81" s="325" t="s">
        <v>2160</v>
      </c>
    </row>
    <row r="82" spans="1:24">
      <c r="A82">
        <v>81</v>
      </c>
      <c r="B82" t="s">
        <v>1844</v>
      </c>
      <c r="C82" s="274">
        <v>45702.663819444446</v>
      </c>
      <c r="D82">
        <v>14763460769</v>
      </c>
      <c r="E82" t="s">
        <v>2144</v>
      </c>
      <c r="F82" t="s">
        <v>53</v>
      </c>
      <c r="G82" t="s">
        <v>2161</v>
      </c>
      <c r="H82">
        <v>4604</v>
      </c>
      <c r="I82">
        <v>42.274304049999998</v>
      </c>
      <c r="J82">
        <v>-90.431836959999998</v>
      </c>
      <c r="K82">
        <v>22.08</v>
      </c>
      <c r="L82" t="s">
        <v>1827</v>
      </c>
      <c r="M82" t="s">
        <v>2162</v>
      </c>
      <c r="N82" t="s">
        <v>292</v>
      </c>
      <c r="O82" t="s">
        <v>1886</v>
      </c>
      <c r="P82" t="s">
        <v>1839</v>
      </c>
      <c r="Q82" t="s">
        <v>2153</v>
      </c>
      <c r="R82" t="s">
        <v>2154</v>
      </c>
      <c r="S82" t="s">
        <v>442</v>
      </c>
      <c r="T82">
        <v>154</v>
      </c>
      <c r="U82" s="274">
        <v>45702.664768518516</v>
      </c>
      <c r="V82" t="s">
        <v>2163</v>
      </c>
      <c r="W82" t="s">
        <v>2163</v>
      </c>
      <c r="X82" s="325" t="s">
        <v>2164</v>
      </c>
    </row>
    <row r="83" spans="1:24">
      <c r="A83">
        <v>82</v>
      </c>
      <c r="B83" t="s">
        <v>1844</v>
      </c>
      <c r="C83" s="274">
        <v>45702.660868055558</v>
      </c>
      <c r="D83">
        <v>14752699642</v>
      </c>
      <c r="E83" t="s">
        <v>2144</v>
      </c>
      <c r="F83" t="s">
        <v>1824</v>
      </c>
      <c r="G83" t="s">
        <v>2165</v>
      </c>
      <c r="H83">
        <v>4813</v>
      </c>
      <c r="I83">
        <v>43.893636090000001</v>
      </c>
      <c r="J83">
        <v>-91.035537779999999</v>
      </c>
      <c r="K83">
        <v>269.02</v>
      </c>
      <c r="L83" t="s">
        <v>2166</v>
      </c>
      <c r="M83" t="s">
        <v>2167</v>
      </c>
      <c r="N83" t="s">
        <v>292</v>
      </c>
      <c r="O83" t="s">
        <v>1838</v>
      </c>
      <c r="P83" t="s">
        <v>1839</v>
      </c>
      <c r="Q83" t="s">
        <v>1840</v>
      </c>
      <c r="R83" t="s">
        <v>2148</v>
      </c>
      <c r="S83" t="s">
        <v>442</v>
      </c>
      <c r="T83">
        <v>26</v>
      </c>
      <c r="U83" s="274">
        <v>45702.664768518516</v>
      </c>
      <c r="V83" t="s">
        <v>2168</v>
      </c>
      <c r="W83" t="s">
        <v>2168</v>
      </c>
      <c r="X83" s="325" t="s">
        <v>2169</v>
      </c>
    </row>
    <row r="84" spans="1:24">
      <c r="A84">
        <v>83</v>
      </c>
      <c r="B84" t="s">
        <v>1822</v>
      </c>
      <c r="C84" s="274">
        <v>45702.664097222223</v>
      </c>
      <c r="D84">
        <v>14741098582</v>
      </c>
      <c r="E84" t="s">
        <v>2144</v>
      </c>
      <c r="F84" t="s">
        <v>895</v>
      </c>
      <c r="G84" t="s">
        <v>2170</v>
      </c>
      <c r="H84">
        <v>4895</v>
      </c>
      <c r="I84">
        <v>46.160348290000002</v>
      </c>
      <c r="J84">
        <v>-95.328430130000001</v>
      </c>
      <c r="K84">
        <v>157.29</v>
      </c>
      <c r="L84" t="s">
        <v>2008</v>
      </c>
      <c r="M84" t="s">
        <v>2171</v>
      </c>
      <c r="N84" t="s">
        <v>292</v>
      </c>
      <c r="O84" t="s">
        <v>1886</v>
      </c>
      <c r="P84" t="s">
        <v>1839</v>
      </c>
      <c r="Q84" t="s">
        <v>2010</v>
      </c>
      <c r="R84" t="s">
        <v>1841</v>
      </c>
      <c r="S84" t="s">
        <v>442</v>
      </c>
      <c r="T84">
        <v>5</v>
      </c>
      <c r="U84" s="274">
        <v>45702.664768518516</v>
      </c>
      <c r="V84" t="s">
        <v>2172</v>
      </c>
      <c r="W84" t="s">
        <v>2172</v>
      </c>
      <c r="X84" s="325" t="s">
        <v>2173</v>
      </c>
    </row>
    <row r="85" spans="1:24">
      <c r="A85">
        <v>84</v>
      </c>
      <c r="B85" t="s">
        <v>1822</v>
      </c>
      <c r="C85" s="274">
        <v>45702.659097222226</v>
      </c>
      <c r="D85">
        <v>14718100668</v>
      </c>
      <c r="E85" t="s">
        <v>2144</v>
      </c>
      <c r="F85" t="s">
        <v>895</v>
      </c>
      <c r="G85" t="s">
        <v>2174</v>
      </c>
      <c r="H85">
        <v>4900</v>
      </c>
      <c r="I85">
        <v>45.446730340000002</v>
      </c>
      <c r="J85">
        <v>-94.974489000000005</v>
      </c>
      <c r="K85">
        <v>96.13</v>
      </c>
      <c r="L85" t="s">
        <v>2175</v>
      </c>
      <c r="M85" t="s">
        <v>2176</v>
      </c>
      <c r="N85" t="s">
        <v>292</v>
      </c>
      <c r="O85" t="s">
        <v>1886</v>
      </c>
      <c r="P85" t="s">
        <v>1839</v>
      </c>
      <c r="Q85" t="s">
        <v>2010</v>
      </c>
      <c r="R85" t="s">
        <v>1841</v>
      </c>
      <c r="S85" t="s">
        <v>442</v>
      </c>
      <c r="T85">
        <v>20</v>
      </c>
      <c r="U85" s="274">
        <v>45702.664768518516</v>
      </c>
      <c r="V85" t="s">
        <v>2177</v>
      </c>
      <c r="W85" t="s">
        <v>2177</v>
      </c>
      <c r="X85" s="325" t="s">
        <v>2178</v>
      </c>
    </row>
    <row r="86" spans="1:24">
      <c r="A86">
        <v>85</v>
      </c>
      <c r="B86" t="s">
        <v>1844</v>
      </c>
      <c r="C86" s="274">
        <v>45702.660497685189</v>
      </c>
      <c r="D86">
        <v>14722118531</v>
      </c>
      <c r="E86" t="s">
        <v>2144</v>
      </c>
      <c r="F86" t="s">
        <v>895</v>
      </c>
      <c r="G86" t="s">
        <v>2179</v>
      </c>
      <c r="H86">
        <v>4733</v>
      </c>
      <c r="I86">
        <v>42.148161770000002</v>
      </c>
      <c r="J86">
        <v>-87.838798960000005</v>
      </c>
      <c r="K86">
        <v>22.69</v>
      </c>
      <c r="L86" t="s">
        <v>2180</v>
      </c>
      <c r="M86" t="s">
        <v>2181</v>
      </c>
      <c r="N86" t="s">
        <v>292</v>
      </c>
      <c r="O86" t="s">
        <v>1838</v>
      </c>
      <c r="P86" t="s">
        <v>1839</v>
      </c>
      <c r="Q86" t="s">
        <v>1840</v>
      </c>
      <c r="R86" t="s">
        <v>2182</v>
      </c>
      <c r="S86" t="s">
        <v>442</v>
      </c>
      <c r="T86">
        <v>30</v>
      </c>
      <c r="U86" s="274">
        <v>45702.664768518516</v>
      </c>
      <c r="V86" t="s">
        <v>2183</v>
      </c>
      <c r="W86" t="s">
        <v>2183</v>
      </c>
      <c r="X86" s="325" t="s">
        <v>2184</v>
      </c>
    </row>
    <row r="87" spans="1:24">
      <c r="A87">
        <v>86</v>
      </c>
      <c r="B87" t="s">
        <v>1822</v>
      </c>
      <c r="C87" s="274">
        <v>45702.661469907405</v>
      </c>
      <c r="D87">
        <v>14722118531</v>
      </c>
      <c r="E87" t="s">
        <v>2144</v>
      </c>
      <c r="F87" t="s">
        <v>895</v>
      </c>
      <c r="G87" t="s">
        <v>2179</v>
      </c>
      <c r="H87">
        <v>4732</v>
      </c>
      <c r="I87">
        <v>42.139340089999997</v>
      </c>
      <c r="J87">
        <v>-87.833333330000002</v>
      </c>
      <c r="K87">
        <v>22.02</v>
      </c>
      <c r="L87" t="s">
        <v>2180</v>
      </c>
      <c r="M87" t="s">
        <v>2185</v>
      </c>
      <c r="N87" t="s">
        <v>292</v>
      </c>
      <c r="O87" t="s">
        <v>1838</v>
      </c>
      <c r="P87" t="s">
        <v>1839</v>
      </c>
      <c r="Q87" t="s">
        <v>1840</v>
      </c>
      <c r="R87" t="s">
        <v>2182</v>
      </c>
      <c r="S87" t="s">
        <v>442</v>
      </c>
      <c r="T87">
        <v>30</v>
      </c>
      <c r="U87" s="274">
        <v>45702.664768518516</v>
      </c>
      <c r="V87" t="s">
        <v>2183</v>
      </c>
      <c r="W87" t="s">
        <v>2183</v>
      </c>
      <c r="X87" s="325" t="s">
        <v>2186</v>
      </c>
    </row>
    <row r="88" spans="1:24">
      <c r="A88">
        <v>87</v>
      </c>
      <c r="B88" t="s">
        <v>1844</v>
      </c>
      <c r="C88" s="274">
        <v>45702.662465277775</v>
      </c>
      <c r="D88">
        <v>14722118531</v>
      </c>
      <c r="E88" t="s">
        <v>2144</v>
      </c>
      <c r="F88" t="s">
        <v>895</v>
      </c>
      <c r="G88" t="s">
        <v>2179</v>
      </c>
      <c r="H88">
        <v>4732</v>
      </c>
      <c r="I88">
        <v>42.139340089999997</v>
      </c>
      <c r="J88">
        <v>-87.833333330000002</v>
      </c>
      <c r="K88">
        <v>22.02</v>
      </c>
      <c r="L88" t="s">
        <v>2180</v>
      </c>
      <c r="M88" t="s">
        <v>2185</v>
      </c>
      <c r="N88" t="s">
        <v>292</v>
      </c>
      <c r="O88" t="s">
        <v>1838</v>
      </c>
      <c r="P88" t="s">
        <v>1839</v>
      </c>
      <c r="Q88" t="s">
        <v>1840</v>
      </c>
      <c r="R88" t="s">
        <v>2182</v>
      </c>
      <c r="S88" t="s">
        <v>442</v>
      </c>
      <c r="T88">
        <v>30</v>
      </c>
      <c r="U88" s="274">
        <v>45702.664768518516</v>
      </c>
      <c r="V88" t="s">
        <v>2183</v>
      </c>
      <c r="W88" t="s">
        <v>2183</v>
      </c>
      <c r="X88" s="325" t="s">
        <v>2186</v>
      </c>
    </row>
    <row r="89" spans="1:24">
      <c r="A89">
        <v>88</v>
      </c>
      <c r="B89" t="s">
        <v>1822</v>
      </c>
      <c r="C89" s="274">
        <v>45702.662476851852</v>
      </c>
      <c r="D89">
        <v>14722118531</v>
      </c>
      <c r="E89" t="s">
        <v>2144</v>
      </c>
      <c r="F89" t="s">
        <v>895</v>
      </c>
      <c r="G89" t="s">
        <v>2179</v>
      </c>
      <c r="H89">
        <v>4729</v>
      </c>
      <c r="I89">
        <v>42.130319810000003</v>
      </c>
      <c r="J89">
        <v>-87.829223569999996</v>
      </c>
      <c r="K89">
        <v>21.36</v>
      </c>
      <c r="L89" t="s">
        <v>2180</v>
      </c>
      <c r="M89" t="s">
        <v>2187</v>
      </c>
      <c r="N89" t="s">
        <v>292</v>
      </c>
      <c r="O89" t="s">
        <v>1838</v>
      </c>
      <c r="P89" t="s">
        <v>1839</v>
      </c>
      <c r="Q89" t="s">
        <v>1840</v>
      </c>
      <c r="R89" t="s">
        <v>2182</v>
      </c>
      <c r="S89" t="s">
        <v>442</v>
      </c>
      <c r="T89">
        <v>30</v>
      </c>
      <c r="U89" s="274">
        <v>45702.664768518516</v>
      </c>
      <c r="V89" t="s">
        <v>2183</v>
      </c>
      <c r="W89" t="s">
        <v>2183</v>
      </c>
      <c r="X89" s="325" t="s">
        <v>2188</v>
      </c>
    </row>
    <row r="90" spans="1:24">
      <c r="A90">
        <v>89</v>
      </c>
      <c r="B90" t="s">
        <v>1844</v>
      </c>
      <c r="C90" s="274">
        <v>45702.662361111114</v>
      </c>
      <c r="D90">
        <v>14722139911</v>
      </c>
      <c r="E90" t="s">
        <v>2144</v>
      </c>
      <c r="F90" t="s">
        <v>1824</v>
      </c>
      <c r="G90" t="s">
        <v>2189</v>
      </c>
      <c r="H90">
        <v>6023</v>
      </c>
      <c r="I90">
        <v>50.393639980000003</v>
      </c>
      <c r="J90">
        <v>-105.17992493</v>
      </c>
      <c r="K90">
        <v>119.08</v>
      </c>
      <c r="L90" t="s">
        <v>2190</v>
      </c>
      <c r="M90" t="s">
        <v>2191</v>
      </c>
      <c r="N90" t="s">
        <v>292</v>
      </c>
      <c r="O90" t="s">
        <v>1851</v>
      </c>
      <c r="P90" t="s">
        <v>1829</v>
      </c>
      <c r="Q90" t="s">
        <v>1852</v>
      </c>
      <c r="R90" t="s">
        <v>1853</v>
      </c>
      <c r="S90" t="s">
        <v>1832</v>
      </c>
      <c r="T90">
        <v>6333</v>
      </c>
      <c r="U90" s="274">
        <v>45702.664768518516</v>
      </c>
      <c r="V90" t="s">
        <v>2192</v>
      </c>
      <c r="W90" t="s">
        <v>2193</v>
      </c>
      <c r="X90" t="s">
        <v>2194</v>
      </c>
    </row>
    <row r="91" spans="1:24">
      <c r="A91">
        <v>90</v>
      </c>
      <c r="B91" t="s">
        <v>1844</v>
      </c>
      <c r="C91" s="274">
        <v>45702.662870370368</v>
      </c>
      <c r="D91">
        <v>14723913767</v>
      </c>
      <c r="E91" t="s">
        <v>2144</v>
      </c>
      <c r="F91" t="s">
        <v>895</v>
      </c>
      <c r="G91" t="s">
        <v>2195</v>
      </c>
      <c r="H91">
        <v>4545</v>
      </c>
      <c r="I91">
        <v>41.961473589999997</v>
      </c>
      <c r="J91">
        <v>-87.938915420000001</v>
      </c>
      <c r="K91">
        <v>0.5</v>
      </c>
      <c r="L91" t="s">
        <v>333</v>
      </c>
      <c r="M91" t="s">
        <v>2196</v>
      </c>
      <c r="N91" t="s">
        <v>292</v>
      </c>
      <c r="O91" t="s">
        <v>333</v>
      </c>
      <c r="P91" t="s">
        <v>333</v>
      </c>
      <c r="Q91" t="s">
        <v>333</v>
      </c>
      <c r="R91" t="s">
        <v>2182</v>
      </c>
      <c r="S91" t="s">
        <v>442</v>
      </c>
      <c r="T91">
        <v>9029</v>
      </c>
      <c r="U91" s="274">
        <v>45702.664768518516</v>
      </c>
      <c r="V91" t="s">
        <v>2197</v>
      </c>
      <c r="W91" t="s">
        <v>2114</v>
      </c>
      <c r="X91" s="325" t="s">
        <v>2198</v>
      </c>
    </row>
    <row r="92" spans="1:24">
      <c r="A92">
        <v>91</v>
      </c>
      <c r="B92" t="s">
        <v>1822</v>
      </c>
      <c r="C92" s="274">
        <v>45702.662881944445</v>
      </c>
      <c r="D92">
        <v>14723913767</v>
      </c>
      <c r="E92" t="s">
        <v>2144</v>
      </c>
      <c r="F92" t="s">
        <v>895</v>
      </c>
      <c r="G92" t="s">
        <v>2195</v>
      </c>
      <c r="H92">
        <v>4540</v>
      </c>
      <c r="I92">
        <v>41.953585769999997</v>
      </c>
      <c r="J92">
        <v>-87.921646480000007</v>
      </c>
      <c r="K92">
        <v>16.25</v>
      </c>
      <c r="L92" t="s">
        <v>2199</v>
      </c>
      <c r="M92" t="s">
        <v>2200</v>
      </c>
      <c r="N92" t="s">
        <v>292</v>
      </c>
      <c r="O92" t="s">
        <v>1838</v>
      </c>
      <c r="P92" t="s">
        <v>1839</v>
      </c>
      <c r="Q92" t="s">
        <v>2201</v>
      </c>
      <c r="R92" t="s">
        <v>2182</v>
      </c>
      <c r="S92" t="s">
        <v>442</v>
      </c>
      <c r="T92">
        <v>32</v>
      </c>
      <c r="U92" s="274">
        <v>45702.664768518516</v>
      </c>
      <c r="V92" t="s">
        <v>2197</v>
      </c>
      <c r="W92" t="s">
        <v>2197</v>
      </c>
      <c r="X92" s="325" t="s">
        <v>2202</v>
      </c>
    </row>
    <row r="93" spans="1:24">
      <c r="A93">
        <v>92</v>
      </c>
      <c r="B93" t="s">
        <v>1822</v>
      </c>
      <c r="C93" s="274">
        <v>45702.663611111115</v>
      </c>
      <c r="D93">
        <v>14726008012</v>
      </c>
      <c r="E93" t="s">
        <v>2144</v>
      </c>
      <c r="F93" t="s">
        <v>895</v>
      </c>
      <c r="G93" t="s">
        <v>2203</v>
      </c>
      <c r="H93">
        <v>5460</v>
      </c>
      <c r="I93">
        <v>32.532222130000001</v>
      </c>
      <c r="J93">
        <v>-93.503039810000004</v>
      </c>
      <c r="K93">
        <v>153.69</v>
      </c>
      <c r="L93" t="s">
        <v>2204</v>
      </c>
      <c r="M93" t="s">
        <v>2205</v>
      </c>
      <c r="N93" t="s">
        <v>292</v>
      </c>
      <c r="O93" t="s">
        <v>2206</v>
      </c>
      <c r="P93" t="s">
        <v>1969</v>
      </c>
      <c r="Q93" t="s">
        <v>2207</v>
      </c>
      <c r="R93" t="s">
        <v>2112</v>
      </c>
      <c r="S93" t="s">
        <v>442</v>
      </c>
      <c r="T93">
        <v>6718</v>
      </c>
      <c r="U93" s="274">
        <v>45702.664768518516</v>
      </c>
      <c r="V93" t="s">
        <v>2208</v>
      </c>
      <c r="W93" t="s">
        <v>2208</v>
      </c>
      <c r="X93" s="325" t="s">
        <v>2209</v>
      </c>
    </row>
    <row r="94" spans="1:24">
      <c r="A94">
        <v>93</v>
      </c>
      <c r="B94" t="s">
        <v>1844</v>
      </c>
      <c r="C94" s="274">
        <v>45702.660497685189</v>
      </c>
      <c r="D94">
        <v>14736990260</v>
      </c>
      <c r="E94" t="s">
        <v>2144</v>
      </c>
      <c r="F94" t="s">
        <v>895</v>
      </c>
      <c r="G94" t="s">
        <v>2145</v>
      </c>
      <c r="H94">
        <v>4764</v>
      </c>
      <c r="I94">
        <v>43.117186740000001</v>
      </c>
      <c r="J94">
        <v>-88.531196370000004</v>
      </c>
      <c r="K94">
        <v>119.59</v>
      </c>
      <c r="L94" t="s">
        <v>2146</v>
      </c>
      <c r="M94" t="s">
        <v>2210</v>
      </c>
      <c r="N94" t="s">
        <v>292</v>
      </c>
      <c r="O94" t="s">
        <v>1838</v>
      </c>
      <c r="P94" t="s">
        <v>1839</v>
      </c>
      <c r="Q94" t="s">
        <v>1840</v>
      </c>
      <c r="R94" t="s">
        <v>2148</v>
      </c>
      <c r="S94" t="s">
        <v>442</v>
      </c>
      <c r="T94">
        <v>27</v>
      </c>
      <c r="U94" s="274">
        <v>45702.664768518516</v>
      </c>
      <c r="V94" t="s">
        <v>2149</v>
      </c>
      <c r="W94" t="s">
        <v>2149</v>
      </c>
      <c r="X94" s="325" t="s">
        <v>2211</v>
      </c>
    </row>
    <row r="95" spans="1:24">
      <c r="A95">
        <v>94</v>
      </c>
      <c r="B95" t="s">
        <v>1844</v>
      </c>
      <c r="C95" s="274">
        <v>45702.663599537038</v>
      </c>
      <c r="D95">
        <v>14705726159</v>
      </c>
      <c r="E95" t="s">
        <v>2144</v>
      </c>
      <c r="F95" t="s">
        <v>895</v>
      </c>
      <c r="G95" t="s">
        <v>2212</v>
      </c>
      <c r="H95">
        <v>4376</v>
      </c>
      <c r="I95">
        <v>48.609768330000001</v>
      </c>
      <c r="J95">
        <v>-85.336160000000007</v>
      </c>
      <c r="K95">
        <v>3.48</v>
      </c>
      <c r="L95" t="s">
        <v>1867</v>
      </c>
      <c r="M95" t="s">
        <v>2213</v>
      </c>
      <c r="N95" t="s">
        <v>292</v>
      </c>
      <c r="O95" t="s">
        <v>1828</v>
      </c>
      <c r="P95" t="s">
        <v>1829</v>
      </c>
      <c r="Q95" t="s">
        <v>1869</v>
      </c>
      <c r="R95" t="s">
        <v>1870</v>
      </c>
      <c r="S95" t="s">
        <v>1832</v>
      </c>
      <c r="T95">
        <v>6415</v>
      </c>
      <c r="U95" s="274">
        <v>45702.664756944447</v>
      </c>
      <c r="V95" t="s">
        <v>2214</v>
      </c>
      <c r="W95" t="s">
        <v>2214</v>
      </c>
      <c r="X95" s="325" t="s">
        <v>2215</v>
      </c>
    </row>
    <row r="96" spans="1:24">
      <c r="A96">
        <v>95</v>
      </c>
      <c r="B96" t="s">
        <v>1822</v>
      </c>
      <c r="C96" s="274">
        <v>45702.659189814818</v>
      </c>
      <c r="D96">
        <v>14701083946</v>
      </c>
      <c r="E96" t="s">
        <v>1823</v>
      </c>
      <c r="F96" t="s">
        <v>1824</v>
      </c>
      <c r="G96" t="s">
        <v>2087</v>
      </c>
      <c r="H96">
        <v>9525</v>
      </c>
      <c r="I96">
        <v>51.197490000000002</v>
      </c>
      <c r="J96">
        <v>-117.74105</v>
      </c>
      <c r="K96">
        <v>97.18</v>
      </c>
      <c r="L96" t="s">
        <v>1939</v>
      </c>
      <c r="M96" t="s">
        <v>2088</v>
      </c>
      <c r="N96" t="s">
        <v>292</v>
      </c>
      <c r="O96" t="s">
        <v>1926</v>
      </c>
      <c r="P96" t="s">
        <v>1829</v>
      </c>
      <c r="Q96" t="s">
        <v>1939</v>
      </c>
      <c r="R96" t="s">
        <v>1928</v>
      </c>
      <c r="S96" t="s">
        <v>1832</v>
      </c>
      <c r="T96">
        <v>6103</v>
      </c>
      <c r="U96" s="274">
        <v>45702.663946759261</v>
      </c>
      <c r="V96" t="s">
        <v>2089</v>
      </c>
      <c r="W96" t="s">
        <v>2089</v>
      </c>
      <c r="X96" s="325" t="s">
        <v>2216</v>
      </c>
    </row>
    <row r="97" spans="1:24">
      <c r="A97">
        <v>96</v>
      </c>
      <c r="B97" t="s">
        <v>1822</v>
      </c>
      <c r="C97" s="274">
        <v>45702.66033564815</v>
      </c>
      <c r="D97">
        <v>14758481709</v>
      </c>
      <c r="E97" t="s">
        <v>2144</v>
      </c>
      <c r="F97" t="s">
        <v>895</v>
      </c>
      <c r="G97" t="s">
        <v>2217</v>
      </c>
      <c r="H97">
        <v>8235</v>
      </c>
      <c r="I97">
        <v>51.181663360000002</v>
      </c>
      <c r="J97">
        <v>-115.57699828</v>
      </c>
      <c r="K97">
        <v>81.99</v>
      </c>
      <c r="L97" t="s">
        <v>1998</v>
      </c>
      <c r="M97" t="s">
        <v>2218</v>
      </c>
      <c r="N97" t="s">
        <v>292</v>
      </c>
      <c r="O97" t="s">
        <v>2000</v>
      </c>
      <c r="P97" t="s">
        <v>1829</v>
      </c>
      <c r="Q97" t="s">
        <v>2001</v>
      </c>
      <c r="R97" t="s">
        <v>2002</v>
      </c>
      <c r="S97" t="s">
        <v>1832</v>
      </c>
      <c r="T97">
        <v>6201</v>
      </c>
      <c r="U97" s="274">
        <v>45702.663784722223</v>
      </c>
      <c r="V97" t="s">
        <v>2219</v>
      </c>
      <c r="W97" t="s">
        <v>2220</v>
      </c>
      <c r="X97" s="325" t="s">
        <v>2221</v>
      </c>
    </row>
    <row r="98" spans="1:24">
      <c r="A98">
        <v>97</v>
      </c>
      <c r="B98" t="s">
        <v>1822</v>
      </c>
      <c r="C98" s="274">
        <v>45702.657546296294</v>
      </c>
      <c r="D98">
        <v>14758680819</v>
      </c>
      <c r="E98" t="s">
        <v>2144</v>
      </c>
      <c r="F98" t="s">
        <v>1824</v>
      </c>
      <c r="G98" t="s">
        <v>2222</v>
      </c>
      <c r="H98">
        <v>5770</v>
      </c>
      <c r="I98">
        <v>27.503411620000001</v>
      </c>
      <c r="J98">
        <v>-99.474036589999997</v>
      </c>
      <c r="K98">
        <v>3.75</v>
      </c>
      <c r="L98" t="s">
        <v>416</v>
      </c>
      <c r="M98" t="s">
        <v>494</v>
      </c>
      <c r="N98" t="s">
        <v>292</v>
      </c>
      <c r="O98" t="s">
        <v>1861</v>
      </c>
      <c r="P98" t="s">
        <v>1862</v>
      </c>
      <c r="Q98" t="s">
        <v>427</v>
      </c>
      <c r="R98" t="s">
        <v>1863</v>
      </c>
      <c r="S98" t="s">
        <v>442</v>
      </c>
      <c r="T98">
        <v>6727</v>
      </c>
      <c r="U98" s="274">
        <v>45702.663784722223</v>
      </c>
      <c r="V98" t="s">
        <v>2223</v>
      </c>
      <c r="W98" t="s">
        <v>2224</v>
      </c>
      <c r="X98" s="325" t="s">
        <v>2225</v>
      </c>
    </row>
    <row r="99" spans="1:24">
      <c r="A99">
        <v>98</v>
      </c>
      <c r="B99" t="s">
        <v>1822</v>
      </c>
      <c r="C99" s="274">
        <v>45702.659814814811</v>
      </c>
      <c r="D99">
        <v>14759935573</v>
      </c>
      <c r="E99" t="s">
        <v>2144</v>
      </c>
      <c r="F99" t="s">
        <v>53</v>
      </c>
      <c r="G99" t="s">
        <v>2226</v>
      </c>
      <c r="H99">
        <v>5032</v>
      </c>
      <c r="I99">
        <v>36.91522655</v>
      </c>
      <c r="J99">
        <v>-94.382330909999993</v>
      </c>
      <c r="K99">
        <v>170.86</v>
      </c>
      <c r="L99" t="s">
        <v>1978</v>
      </c>
      <c r="M99" t="s">
        <v>2227</v>
      </c>
      <c r="N99" t="s">
        <v>292</v>
      </c>
      <c r="O99" t="s">
        <v>1968</v>
      </c>
      <c r="P99" t="s">
        <v>1969</v>
      </c>
      <c r="Q99" t="s">
        <v>1966</v>
      </c>
      <c r="R99" t="s">
        <v>1970</v>
      </c>
      <c r="S99" t="s">
        <v>442</v>
      </c>
      <c r="T99">
        <v>6707</v>
      </c>
      <c r="U99" s="274">
        <v>45702.663784722223</v>
      </c>
      <c r="V99" t="s">
        <v>2228</v>
      </c>
      <c r="W99" t="s">
        <v>2228</v>
      </c>
      <c r="X99" s="325" t="s">
        <v>2229</v>
      </c>
    </row>
    <row r="100" spans="1:24">
      <c r="A100">
        <v>99</v>
      </c>
      <c r="B100" t="s">
        <v>1844</v>
      </c>
      <c r="C100" s="274">
        <v>45702.659363425926</v>
      </c>
      <c r="D100">
        <v>14765148385</v>
      </c>
      <c r="E100" t="s">
        <v>2144</v>
      </c>
      <c r="F100" t="s">
        <v>1824</v>
      </c>
      <c r="G100" t="s">
        <v>2230</v>
      </c>
      <c r="H100">
        <v>5419</v>
      </c>
      <c r="I100">
        <v>32.423726879999997</v>
      </c>
      <c r="J100">
        <v>-91.286828069999999</v>
      </c>
      <c r="K100">
        <v>22.95</v>
      </c>
      <c r="L100" t="s">
        <v>2204</v>
      </c>
      <c r="M100" t="s">
        <v>2231</v>
      </c>
      <c r="N100" t="s">
        <v>292</v>
      </c>
      <c r="O100" t="s">
        <v>2206</v>
      </c>
      <c r="P100" t="s">
        <v>1969</v>
      </c>
      <c r="Q100" t="s">
        <v>2207</v>
      </c>
      <c r="R100" t="s">
        <v>2112</v>
      </c>
      <c r="S100" t="s">
        <v>442</v>
      </c>
      <c r="T100">
        <v>6718</v>
      </c>
      <c r="U100" s="274">
        <v>45702.663784722223</v>
      </c>
      <c r="V100" t="s">
        <v>2232</v>
      </c>
      <c r="W100" t="s">
        <v>2232</v>
      </c>
      <c r="X100" t="s">
        <v>2233</v>
      </c>
    </row>
    <row r="101" spans="1:24">
      <c r="A101">
        <v>100</v>
      </c>
      <c r="B101" t="s">
        <v>1822</v>
      </c>
      <c r="C101" s="274">
        <v>45702.658009259256</v>
      </c>
      <c r="D101">
        <v>14765148385</v>
      </c>
      <c r="E101" t="s">
        <v>2144</v>
      </c>
      <c r="F101" t="s">
        <v>1824</v>
      </c>
      <c r="G101" t="s">
        <v>2230</v>
      </c>
      <c r="H101">
        <v>5419</v>
      </c>
      <c r="I101">
        <v>32.419292859999999</v>
      </c>
      <c r="J101">
        <v>-91.256085569999996</v>
      </c>
      <c r="K101">
        <v>21.11</v>
      </c>
      <c r="L101" t="s">
        <v>2204</v>
      </c>
      <c r="M101" t="s">
        <v>2231</v>
      </c>
      <c r="N101" t="s">
        <v>292</v>
      </c>
      <c r="O101" t="s">
        <v>2206</v>
      </c>
      <c r="P101" t="s">
        <v>1969</v>
      </c>
      <c r="Q101" t="s">
        <v>2207</v>
      </c>
      <c r="R101" t="s">
        <v>2112</v>
      </c>
      <c r="S101" t="s">
        <v>442</v>
      </c>
      <c r="T101">
        <v>6718</v>
      </c>
      <c r="U101" s="274">
        <v>45702.663784722223</v>
      </c>
      <c r="V101" t="s">
        <v>2232</v>
      </c>
      <c r="W101" t="s">
        <v>2232</v>
      </c>
      <c r="X101" t="s">
        <v>2234</v>
      </c>
    </row>
  </sheetData>
  <autoFilter ref="A1:AH1" xr:uid="{DD93CB38-9321-4143-B2D7-1E3E6DBFB7FF}"/>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FF84-E4CA-4561-981E-7B8F1C3AB073}">
  <dimension ref="A1:X101"/>
  <sheetViews>
    <sheetView workbookViewId="0">
      <selection activeCell="X2" sqref="X2"/>
    </sheetView>
  </sheetViews>
  <sheetFormatPr defaultRowHeight="14.45"/>
  <cols>
    <col min="3" max="3" width="19.7109375" bestFit="1" customWidth="1"/>
  </cols>
  <sheetData>
    <row r="1" spans="1:24">
      <c r="A1" t="s">
        <v>1797</v>
      </c>
      <c r="B1" t="s">
        <v>1798</v>
      </c>
      <c r="C1" t="s">
        <v>1799</v>
      </c>
      <c r="D1" t="s">
        <v>1801</v>
      </c>
      <c r="E1" t="s">
        <v>1802</v>
      </c>
      <c r="F1" t="s">
        <v>1950</v>
      </c>
      <c r="G1" t="s">
        <v>1953</v>
      </c>
      <c r="H1" t="s">
        <v>1804</v>
      </c>
      <c r="I1" t="s">
        <v>1805</v>
      </c>
      <c r="J1" t="s">
        <v>1806</v>
      </c>
      <c r="K1" t="s">
        <v>1807</v>
      </c>
      <c r="L1" t="s">
        <v>1808</v>
      </c>
      <c r="M1" t="s">
        <v>1809</v>
      </c>
      <c r="N1" t="s">
        <v>1800</v>
      </c>
      <c r="O1" t="s">
        <v>1803</v>
      </c>
      <c r="P1" t="s">
        <v>1810</v>
      </c>
      <c r="Q1" t="s">
        <v>1811</v>
      </c>
      <c r="R1" t="s">
        <v>1812</v>
      </c>
      <c r="S1" t="s">
        <v>1813</v>
      </c>
      <c r="T1" t="s">
        <v>1814</v>
      </c>
      <c r="U1" t="s">
        <v>1815</v>
      </c>
      <c r="V1" t="s">
        <v>1816</v>
      </c>
      <c r="W1" t="s">
        <v>1817</v>
      </c>
      <c r="X1" t="s">
        <v>1820</v>
      </c>
    </row>
    <row r="2" spans="1:24">
      <c r="A2">
        <v>1</v>
      </c>
      <c r="B2" t="s">
        <v>1844</v>
      </c>
      <c r="C2" s="274">
        <v>45702.661192129628</v>
      </c>
      <c r="D2" t="s">
        <v>1823</v>
      </c>
      <c r="E2" t="s">
        <v>1900</v>
      </c>
      <c r="F2" t="s">
        <v>1951</v>
      </c>
      <c r="G2">
        <v>8078</v>
      </c>
      <c r="H2">
        <v>5112</v>
      </c>
      <c r="I2">
        <v>35.567369999999997</v>
      </c>
      <c r="J2">
        <v>-94.831119999999999</v>
      </c>
      <c r="K2">
        <v>282.08</v>
      </c>
      <c r="L2" t="s">
        <v>1978</v>
      </c>
      <c r="M2" t="s">
        <v>1983</v>
      </c>
      <c r="N2">
        <v>14726049483</v>
      </c>
      <c r="O2" t="s">
        <v>1989</v>
      </c>
      <c r="P2" t="s">
        <v>292</v>
      </c>
      <c r="Q2" t="s">
        <v>1968</v>
      </c>
      <c r="R2" t="s">
        <v>1969</v>
      </c>
      <c r="S2" t="s">
        <v>1966</v>
      </c>
      <c r="T2" t="s">
        <v>2013</v>
      </c>
      <c r="U2" t="s">
        <v>442</v>
      </c>
      <c r="V2">
        <v>6707</v>
      </c>
      <c r="W2" s="274">
        <v>45702.666666666664</v>
      </c>
      <c r="X2" s="325" t="s">
        <v>2026</v>
      </c>
    </row>
    <row r="3" spans="1:24">
      <c r="A3">
        <v>2</v>
      </c>
      <c r="B3" t="s">
        <v>1844</v>
      </c>
      <c r="C3" s="274">
        <v>45702.662361111114</v>
      </c>
      <c r="D3" t="s">
        <v>1823</v>
      </c>
      <c r="E3" t="s">
        <v>53</v>
      </c>
      <c r="F3" t="s">
        <v>1951</v>
      </c>
      <c r="G3">
        <v>7026</v>
      </c>
      <c r="H3">
        <v>1127</v>
      </c>
      <c r="I3">
        <v>24.531732999999999</v>
      </c>
      <c r="J3">
        <v>-100.873245</v>
      </c>
      <c r="K3">
        <v>493.31</v>
      </c>
      <c r="L3" t="s">
        <v>1893</v>
      </c>
      <c r="M3" t="s">
        <v>1894</v>
      </c>
      <c r="N3">
        <v>14722133327</v>
      </c>
      <c r="O3" t="s">
        <v>1892</v>
      </c>
      <c r="P3" t="s">
        <v>292</v>
      </c>
      <c r="Q3" t="s">
        <v>1895</v>
      </c>
      <c r="R3" t="s">
        <v>1862</v>
      </c>
      <c r="S3" t="s">
        <v>1893</v>
      </c>
      <c r="T3" t="s">
        <v>1896</v>
      </c>
      <c r="U3" t="s">
        <v>1897</v>
      </c>
      <c r="V3">
        <v>6802</v>
      </c>
      <c r="W3" s="274">
        <v>45702.666354166664</v>
      </c>
      <c r="X3" t="s">
        <v>2235</v>
      </c>
    </row>
    <row r="4" spans="1:24">
      <c r="A4">
        <v>3</v>
      </c>
      <c r="B4" t="s">
        <v>1844</v>
      </c>
      <c r="C4" s="274">
        <v>45702.628483796296</v>
      </c>
      <c r="D4" t="s">
        <v>1823</v>
      </c>
      <c r="E4" t="s">
        <v>53</v>
      </c>
      <c r="F4" t="s">
        <v>1951</v>
      </c>
      <c r="G4">
        <v>7026</v>
      </c>
      <c r="H4">
        <v>1125</v>
      </c>
      <c r="I4">
        <v>24.310680000000001</v>
      </c>
      <c r="J4">
        <v>-100.8578</v>
      </c>
      <c r="K4">
        <v>477.84</v>
      </c>
      <c r="L4" t="s">
        <v>1893</v>
      </c>
      <c r="M4" t="s">
        <v>1912</v>
      </c>
      <c r="N4">
        <v>14722133327</v>
      </c>
      <c r="O4" t="s">
        <v>1892</v>
      </c>
      <c r="P4" t="s">
        <v>292</v>
      </c>
      <c r="Q4" t="s">
        <v>1895</v>
      </c>
      <c r="R4" t="s">
        <v>1862</v>
      </c>
      <c r="S4" t="s">
        <v>1893</v>
      </c>
      <c r="T4" t="s">
        <v>1904</v>
      </c>
      <c r="U4" t="s">
        <v>1897</v>
      </c>
      <c r="V4">
        <v>6802</v>
      </c>
      <c r="W4" s="274">
        <v>45702.666354166664</v>
      </c>
      <c r="X4" s="325" t="s">
        <v>2236</v>
      </c>
    </row>
    <row r="5" spans="1:24">
      <c r="A5">
        <v>4</v>
      </c>
      <c r="B5" t="s">
        <v>1822</v>
      </c>
      <c r="C5" s="274">
        <v>45702.660960648151</v>
      </c>
      <c r="D5" t="s">
        <v>1823</v>
      </c>
      <c r="E5" t="s">
        <v>53</v>
      </c>
      <c r="F5" t="s">
        <v>1951</v>
      </c>
      <c r="G5">
        <v>7026</v>
      </c>
      <c r="H5">
        <v>1127</v>
      </c>
      <c r="I5">
        <v>24.505469999999999</v>
      </c>
      <c r="J5">
        <v>-100.86833</v>
      </c>
      <c r="K5">
        <v>491.47</v>
      </c>
      <c r="L5" t="s">
        <v>1893</v>
      </c>
      <c r="M5" t="s">
        <v>1894</v>
      </c>
      <c r="N5">
        <v>14722133327</v>
      </c>
      <c r="O5" t="s">
        <v>1892</v>
      </c>
      <c r="P5" t="s">
        <v>292</v>
      </c>
      <c r="Q5" t="s">
        <v>1895</v>
      </c>
      <c r="R5" t="s">
        <v>1862</v>
      </c>
      <c r="S5" t="s">
        <v>1893</v>
      </c>
      <c r="T5" t="s">
        <v>1896</v>
      </c>
      <c r="U5" t="s">
        <v>1897</v>
      </c>
      <c r="V5">
        <v>6802</v>
      </c>
      <c r="W5" s="274">
        <v>45702.666354166664</v>
      </c>
      <c r="X5" s="325" t="s">
        <v>2237</v>
      </c>
    </row>
    <row r="6" spans="1:24">
      <c r="A6">
        <v>5</v>
      </c>
      <c r="B6" t="s">
        <v>1822</v>
      </c>
      <c r="C6" s="274">
        <v>45702.659629629627</v>
      </c>
      <c r="D6" t="s">
        <v>1823</v>
      </c>
      <c r="E6" t="s">
        <v>895</v>
      </c>
      <c r="F6" t="s">
        <v>1951</v>
      </c>
      <c r="G6">
        <v>9732</v>
      </c>
      <c r="H6">
        <v>4820</v>
      </c>
      <c r="I6">
        <v>43.934190000000001</v>
      </c>
      <c r="J6">
        <v>-91.370919999999998</v>
      </c>
      <c r="K6">
        <v>292.05</v>
      </c>
      <c r="L6" t="s">
        <v>1836</v>
      </c>
      <c r="M6" t="s">
        <v>1846</v>
      </c>
      <c r="N6">
        <v>14758548479</v>
      </c>
      <c r="O6" t="s">
        <v>1835</v>
      </c>
      <c r="P6" t="s">
        <v>292</v>
      </c>
      <c r="Q6" t="s">
        <v>1838</v>
      </c>
      <c r="R6" t="s">
        <v>1839</v>
      </c>
      <c r="S6" t="s">
        <v>1840</v>
      </c>
      <c r="T6" t="s">
        <v>1841</v>
      </c>
      <c r="U6" t="s">
        <v>442</v>
      </c>
      <c r="V6">
        <v>25</v>
      </c>
      <c r="W6" s="274">
        <v>45702.666342592594</v>
      </c>
      <c r="X6" s="325" t="s">
        <v>1847</v>
      </c>
    </row>
    <row r="7" spans="1:24">
      <c r="A7">
        <v>6</v>
      </c>
      <c r="B7" t="s">
        <v>1844</v>
      </c>
      <c r="C7" s="274">
        <v>45702.659641203703</v>
      </c>
      <c r="D7" t="s">
        <v>1823</v>
      </c>
      <c r="E7" t="s">
        <v>895</v>
      </c>
      <c r="F7" t="s">
        <v>1951</v>
      </c>
      <c r="G7">
        <v>9732</v>
      </c>
      <c r="H7">
        <v>4820</v>
      </c>
      <c r="I7">
        <v>43.934190000000001</v>
      </c>
      <c r="J7">
        <v>-91.370919999999998</v>
      </c>
      <c r="K7">
        <v>292.05</v>
      </c>
      <c r="L7" t="s">
        <v>1836</v>
      </c>
      <c r="M7" t="s">
        <v>1846</v>
      </c>
      <c r="N7">
        <v>14758548479</v>
      </c>
      <c r="O7" t="s">
        <v>1835</v>
      </c>
      <c r="P7" t="s">
        <v>292</v>
      </c>
      <c r="Q7" t="s">
        <v>1838</v>
      </c>
      <c r="R7" t="s">
        <v>1839</v>
      </c>
      <c r="S7" t="s">
        <v>1840</v>
      </c>
      <c r="T7" t="s">
        <v>1841</v>
      </c>
      <c r="U7" t="s">
        <v>442</v>
      </c>
      <c r="V7">
        <v>25</v>
      </c>
      <c r="W7" s="274">
        <v>45702.666342592594</v>
      </c>
      <c r="X7" s="325" t="s">
        <v>1847</v>
      </c>
    </row>
    <row r="8" spans="1:24">
      <c r="A8">
        <v>7</v>
      </c>
      <c r="B8" t="s">
        <v>1822</v>
      </c>
      <c r="C8" s="274">
        <v>45702.662847222222</v>
      </c>
      <c r="D8" t="s">
        <v>1823</v>
      </c>
      <c r="E8" t="s">
        <v>895</v>
      </c>
      <c r="F8" t="s">
        <v>1951</v>
      </c>
      <c r="G8">
        <v>9732</v>
      </c>
      <c r="H8">
        <v>4824</v>
      </c>
      <c r="I8">
        <v>43.896155999999998</v>
      </c>
      <c r="J8">
        <v>-91.343170000000001</v>
      </c>
      <c r="K8">
        <v>289.02999999999997</v>
      </c>
      <c r="L8" t="s">
        <v>1836</v>
      </c>
      <c r="M8" t="s">
        <v>1837</v>
      </c>
      <c r="N8">
        <v>14758548479</v>
      </c>
      <c r="O8" t="s">
        <v>1835</v>
      </c>
      <c r="P8" t="s">
        <v>292</v>
      </c>
      <c r="Q8" t="s">
        <v>1838</v>
      </c>
      <c r="R8" t="s">
        <v>1839</v>
      </c>
      <c r="S8" t="s">
        <v>1840</v>
      </c>
      <c r="T8" t="s">
        <v>1841</v>
      </c>
      <c r="U8" t="s">
        <v>442</v>
      </c>
      <c r="V8">
        <v>25</v>
      </c>
      <c r="W8" s="274">
        <v>45702.666342592594</v>
      </c>
      <c r="X8" s="325" t="s">
        <v>1843</v>
      </c>
    </row>
    <row r="9" spans="1:24">
      <c r="A9">
        <v>8</v>
      </c>
      <c r="B9" t="s">
        <v>1844</v>
      </c>
      <c r="C9" s="274">
        <v>45702.65797453704</v>
      </c>
      <c r="D9" t="s">
        <v>1823</v>
      </c>
      <c r="E9" t="s">
        <v>895</v>
      </c>
      <c r="F9" t="s">
        <v>1951</v>
      </c>
      <c r="G9">
        <v>8934</v>
      </c>
      <c r="H9">
        <v>3218</v>
      </c>
      <c r="I9">
        <v>43.553576999999997</v>
      </c>
      <c r="J9">
        <v>-79.829260000000005</v>
      </c>
      <c r="K9">
        <v>28.43</v>
      </c>
      <c r="L9" t="s">
        <v>2015</v>
      </c>
      <c r="M9" t="s">
        <v>2033</v>
      </c>
      <c r="N9">
        <v>14722097045</v>
      </c>
      <c r="O9" t="s">
        <v>2014</v>
      </c>
      <c r="P9" t="s">
        <v>292</v>
      </c>
      <c r="Q9" t="s">
        <v>1993</v>
      </c>
      <c r="R9" t="s">
        <v>1839</v>
      </c>
      <c r="S9" t="s">
        <v>2030</v>
      </c>
      <c r="T9" t="s">
        <v>1870</v>
      </c>
      <c r="U9" t="s">
        <v>1832</v>
      </c>
      <c r="V9">
        <v>6534</v>
      </c>
      <c r="W9" s="274">
        <v>45702.666342592594</v>
      </c>
      <c r="X9" s="325" t="s">
        <v>2238</v>
      </c>
    </row>
    <row r="10" spans="1:24">
      <c r="A10">
        <v>9</v>
      </c>
      <c r="B10" t="s">
        <v>1822</v>
      </c>
      <c r="C10" s="274">
        <v>45702.660474537035</v>
      </c>
      <c r="D10" t="s">
        <v>1823</v>
      </c>
      <c r="E10" t="s">
        <v>895</v>
      </c>
      <c r="F10" t="s">
        <v>1951</v>
      </c>
      <c r="G10">
        <v>8934</v>
      </c>
      <c r="H10">
        <v>3498</v>
      </c>
      <c r="I10">
        <v>43.589149999999997</v>
      </c>
      <c r="J10">
        <v>-79.789959999999994</v>
      </c>
      <c r="K10">
        <v>25.34</v>
      </c>
      <c r="L10" t="s">
        <v>2015</v>
      </c>
      <c r="M10" t="s">
        <v>2016</v>
      </c>
      <c r="N10">
        <v>14722097045</v>
      </c>
      <c r="O10" t="s">
        <v>2014</v>
      </c>
      <c r="P10" t="s">
        <v>292</v>
      </c>
      <c r="Q10" t="s">
        <v>1993</v>
      </c>
      <c r="R10" t="s">
        <v>1839</v>
      </c>
      <c r="S10" t="s">
        <v>1994</v>
      </c>
      <c r="T10" t="s">
        <v>1870</v>
      </c>
      <c r="U10" t="s">
        <v>1832</v>
      </c>
      <c r="V10">
        <v>6534</v>
      </c>
      <c r="W10" s="274">
        <v>45702.666342592594</v>
      </c>
      <c r="X10" s="325" t="s">
        <v>2239</v>
      </c>
    </row>
    <row r="11" spans="1:24">
      <c r="A11">
        <v>10</v>
      </c>
      <c r="B11" t="s">
        <v>1844</v>
      </c>
      <c r="C11" s="274">
        <v>45702.660486111112</v>
      </c>
      <c r="D11" t="s">
        <v>1823</v>
      </c>
      <c r="E11" t="s">
        <v>895</v>
      </c>
      <c r="F11" t="s">
        <v>1951</v>
      </c>
      <c r="G11">
        <v>8934</v>
      </c>
      <c r="H11">
        <v>3498</v>
      </c>
      <c r="I11">
        <v>43.589149999999997</v>
      </c>
      <c r="J11">
        <v>-79.789959999999994</v>
      </c>
      <c r="K11">
        <v>25.34</v>
      </c>
      <c r="L11" t="s">
        <v>2015</v>
      </c>
      <c r="M11" t="s">
        <v>2016</v>
      </c>
      <c r="N11">
        <v>14722097045</v>
      </c>
      <c r="O11" t="s">
        <v>2014</v>
      </c>
      <c r="P11" t="s">
        <v>292</v>
      </c>
      <c r="Q11" t="s">
        <v>1993</v>
      </c>
      <c r="R11" t="s">
        <v>1839</v>
      </c>
      <c r="S11" t="s">
        <v>1994</v>
      </c>
      <c r="T11" t="s">
        <v>1870</v>
      </c>
      <c r="U11" t="s">
        <v>1832</v>
      </c>
      <c r="V11">
        <v>6534</v>
      </c>
      <c r="W11" s="274">
        <v>45702.666342592594</v>
      </c>
      <c r="X11" s="325" t="s">
        <v>2239</v>
      </c>
    </row>
    <row r="12" spans="1:24">
      <c r="A12">
        <v>11</v>
      </c>
      <c r="B12" t="s">
        <v>1822</v>
      </c>
      <c r="C12" s="274">
        <v>45702.661712962959</v>
      </c>
      <c r="D12" t="s">
        <v>1823</v>
      </c>
      <c r="E12" t="s">
        <v>895</v>
      </c>
      <c r="F12" t="s">
        <v>1951</v>
      </c>
      <c r="G12">
        <v>8934</v>
      </c>
      <c r="H12">
        <v>3500</v>
      </c>
      <c r="I12">
        <v>43.598984000000002</v>
      </c>
      <c r="J12">
        <v>-79.769936000000001</v>
      </c>
      <c r="K12">
        <v>24.02</v>
      </c>
      <c r="L12" t="s">
        <v>2015</v>
      </c>
      <c r="M12" t="s">
        <v>2019</v>
      </c>
      <c r="N12">
        <v>14722097045</v>
      </c>
      <c r="O12" t="s">
        <v>2014</v>
      </c>
      <c r="P12" t="s">
        <v>292</v>
      </c>
      <c r="Q12" t="s">
        <v>1993</v>
      </c>
      <c r="R12" t="s">
        <v>1839</v>
      </c>
      <c r="S12" t="s">
        <v>1994</v>
      </c>
      <c r="T12" t="s">
        <v>1870</v>
      </c>
      <c r="U12" t="s">
        <v>1832</v>
      </c>
      <c r="V12">
        <v>6534</v>
      </c>
      <c r="W12" s="274">
        <v>45702.666342592594</v>
      </c>
      <c r="X12" s="325" t="s">
        <v>2240</v>
      </c>
    </row>
    <row r="13" spans="1:24">
      <c r="A13">
        <v>12</v>
      </c>
      <c r="B13" t="s">
        <v>1822</v>
      </c>
      <c r="C13" s="274">
        <v>45702.66138888889</v>
      </c>
      <c r="D13" t="s">
        <v>1823</v>
      </c>
      <c r="E13" t="s">
        <v>1824</v>
      </c>
      <c r="F13" t="s">
        <v>1951</v>
      </c>
      <c r="G13">
        <v>8785</v>
      </c>
      <c r="H13">
        <v>5313</v>
      </c>
      <c r="I13">
        <v>50.050310000000003</v>
      </c>
      <c r="J13">
        <v>-97.675169999999994</v>
      </c>
      <c r="K13">
        <v>26.18</v>
      </c>
      <c r="L13" t="s">
        <v>1826</v>
      </c>
      <c r="M13" t="s">
        <v>1827</v>
      </c>
      <c r="N13">
        <v>14713929294</v>
      </c>
      <c r="O13" t="s">
        <v>1825</v>
      </c>
      <c r="P13" t="s">
        <v>292</v>
      </c>
      <c r="Q13" t="s">
        <v>1828</v>
      </c>
      <c r="R13" t="s">
        <v>1829</v>
      </c>
      <c r="S13" t="s">
        <v>1830</v>
      </c>
      <c r="T13" t="s">
        <v>1831</v>
      </c>
      <c r="U13" t="s">
        <v>1832</v>
      </c>
      <c r="V13">
        <v>6318</v>
      </c>
      <c r="W13" s="274">
        <v>45702.666342592594</v>
      </c>
      <c r="X13" t="s">
        <v>1834</v>
      </c>
    </row>
    <row r="14" spans="1:24">
      <c r="A14">
        <v>13</v>
      </c>
      <c r="B14" t="s">
        <v>1844</v>
      </c>
      <c r="C14" s="274">
        <v>45702.662175925929</v>
      </c>
      <c r="D14" t="s">
        <v>1823</v>
      </c>
      <c r="E14" t="s">
        <v>1824</v>
      </c>
      <c r="F14" t="s">
        <v>1951</v>
      </c>
      <c r="G14">
        <v>8785</v>
      </c>
      <c r="H14">
        <v>5313</v>
      </c>
      <c r="I14">
        <v>50.055370000000003</v>
      </c>
      <c r="J14">
        <v>-97.69462</v>
      </c>
      <c r="K14">
        <v>27.14</v>
      </c>
      <c r="L14" t="s">
        <v>1826</v>
      </c>
      <c r="M14" t="s">
        <v>1827</v>
      </c>
      <c r="N14">
        <v>14713929294</v>
      </c>
      <c r="O14" t="s">
        <v>1825</v>
      </c>
      <c r="P14" t="s">
        <v>292</v>
      </c>
      <c r="Q14" t="s">
        <v>1828</v>
      </c>
      <c r="R14" t="s">
        <v>1829</v>
      </c>
      <c r="S14" t="s">
        <v>1830</v>
      </c>
      <c r="T14" t="s">
        <v>1831</v>
      </c>
      <c r="U14" t="s">
        <v>1832</v>
      </c>
      <c r="V14">
        <v>6318</v>
      </c>
      <c r="W14" s="274">
        <v>45702.666342592594</v>
      </c>
      <c r="X14" s="325" t="s">
        <v>1845</v>
      </c>
    </row>
    <row r="15" spans="1:24">
      <c r="A15">
        <v>14</v>
      </c>
      <c r="B15" t="s">
        <v>1822</v>
      </c>
      <c r="C15" s="274">
        <v>45702.660567129627</v>
      </c>
      <c r="D15" t="s">
        <v>1823</v>
      </c>
      <c r="E15" t="s">
        <v>333</v>
      </c>
      <c r="F15" t="s">
        <v>1951</v>
      </c>
      <c r="G15">
        <v>8812</v>
      </c>
      <c r="H15">
        <v>9017</v>
      </c>
      <c r="I15">
        <v>50.018715</v>
      </c>
      <c r="J15">
        <v>-114.83302999999999</v>
      </c>
      <c r="K15">
        <v>21.42</v>
      </c>
      <c r="L15" t="s">
        <v>2241</v>
      </c>
      <c r="M15" t="s">
        <v>2242</v>
      </c>
      <c r="N15" t="s">
        <v>333</v>
      </c>
      <c r="O15" t="s">
        <v>333</v>
      </c>
      <c r="P15" t="s">
        <v>292</v>
      </c>
      <c r="Q15" t="s">
        <v>1926</v>
      </c>
      <c r="R15" t="s">
        <v>1829</v>
      </c>
      <c r="S15" t="s">
        <v>1927</v>
      </c>
      <c r="T15" t="s">
        <v>1928</v>
      </c>
      <c r="U15" t="s">
        <v>1832</v>
      </c>
      <c r="V15">
        <v>6112</v>
      </c>
      <c r="W15" s="274">
        <v>45702.666342592594</v>
      </c>
      <c r="X15" s="325" t="s">
        <v>2243</v>
      </c>
    </row>
    <row r="16" spans="1:24">
      <c r="A16">
        <v>15</v>
      </c>
      <c r="B16" t="s">
        <v>1844</v>
      </c>
      <c r="C16" s="274">
        <v>45702.660578703704</v>
      </c>
      <c r="D16" t="s">
        <v>1823</v>
      </c>
      <c r="E16" t="s">
        <v>333</v>
      </c>
      <c r="F16" t="s">
        <v>1951</v>
      </c>
      <c r="G16">
        <v>8812</v>
      </c>
      <c r="H16">
        <v>9017</v>
      </c>
      <c r="I16">
        <v>50.018715</v>
      </c>
      <c r="J16">
        <v>-114.83302999999999</v>
      </c>
      <c r="K16">
        <v>21.42</v>
      </c>
      <c r="L16" t="s">
        <v>2241</v>
      </c>
      <c r="M16" t="s">
        <v>2242</v>
      </c>
      <c r="N16" t="s">
        <v>333</v>
      </c>
      <c r="O16" t="s">
        <v>333</v>
      </c>
      <c r="P16" t="s">
        <v>292</v>
      </c>
      <c r="Q16" t="s">
        <v>1926</v>
      </c>
      <c r="R16" t="s">
        <v>1829</v>
      </c>
      <c r="S16" t="s">
        <v>1927</v>
      </c>
      <c r="T16" t="s">
        <v>1928</v>
      </c>
      <c r="U16" t="s">
        <v>1832</v>
      </c>
      <c r="V16">
        <v>6112</v>
      </c>
      <c r="W16" s="274">
        <v>45702.666342592594</v>
      </c>
      <c r="X16" s="325" t="s">
        <v>2243</v>
      </c>
    </row>
    <row r="17" spans="1:24">
      <c r="A17">
        <v>16</v>
      </c>
      <c r="B17" t="s">
        <v>1822</v>
      </c>
      <c r="C17" s="274">
        <v>45702.66097222222</v>
      </c>
      <c r="D17" t="s">
        <v>1823</v>
      </c>
      <c r="E17" t="s">
        <v>895</v>
      </c>
      <c r="F17" t="s">
        <v>1951</v>
      </c>
      <c r="G17">
        <v>8822</v>
      </c>
      <c r="H17">
        <v>5777</v>
      </c>
      <c r="I17">
        <v>27.305235</v>
      </c>
      <c r="J17">
        <v>-98.670815000000005</v>
      </c>
      <c r="K17">
        <v>62.34</v>
      </c>
      <c r="L17" t="s">
        <v>416</v>
      </c>
      <c r="M17" t="s">
        <v>1860</v>
      </c>
      <c r="N17">
        <v>14764894316</v>
      </c>
      <c r="O17" t="s">
        <v>1859</v>
      </c>
      <c r="P17" t="s">
        <v>292</v>
      </c>
      <c r="Q17" t="s">
        <v>1861</v>
      </c>
      <c r="R17" t="s">
        <v>1862</v>
      </c>
      <c r="S17" t="s">
        <v>427</v>
      </c>
      <c r="T17" t="s">
        <v>1863</v>
      </c>
      <c r="U17" t="s">
        <v>442</v>
      </c>
      <c r="V17">
        <v>6727</v>
      </c>
      <c r="W17" s="274">
        <v>45702.666342592594</v>
      </c>
      <c r="X17" s="325" t="s">
        <v>2244</v>
      </c>
    </row>
    <row r="18" spans="1:24">
      <c r="A18">
        <v>17</v>
      </c>
      <c r="B18" t="s">
        <v>1844</v>
      </c>
      <c r="C18" s="274">
        <v>45702.662592592591</v>
      </c>
      <c r="D18" t="s">
        <v>1823</v>
      </c>
      <c r="E18" t="s">
        <v>895</v>
      </c>
      <c r="F18" t="s">
        <v>1951</v>
      </c>
      <c r="G18">
        <v>8822</v>
      </c>
      <c r="H18">
        <v>5777</v>
      </c>
      <c r="I18">
        <v>27.304639999999999</v>
      </c>
      <c r="J18">
        <v>-98.641409999999993</v>
      </c>
      <c r="K18">
        <v>64.16</v>
      </c>
      <c r="L18" t="s">
        <v>416</v>
      </c>
      <c r="M18" t="s">
        <v>1860</v>
      </c>
      <c r="N18">
        <v>14764894316</v>
      </c>
      <c r="O18" t="s">
        <v>1859</v>
      </c>
      <c r="P18" t="s">
        <v>292</v>
      </c>
      <c r="Q18" t="s">
        <v>1861</v>
      </c>
      <c r="R18" t="s">
        <v>1862</v>
      </c>
      <c r="S18" t="s">
        <v>427</v>
      </c>
      <c r="T18" t="s">
        <v>1863</v>
      </c>
      <c r="U18" t="s">
        <v>442</v>
      </c>
      <c r="V18">
        <v>6727</v>
      </c>
      <c r="W18" s="274">
        <v>45702.666342592594</v>
      </c>
      <c r="X18" s="325" t="s">
        <v>1865</v>
      </c>
    </row>
    <row r="19" spans="1:24">
      <c r="A19">
        <v>18</v>
      </c>
      <c r="B19" t="s">
        <v>1844</v>
      </c>
      <c r="C19" s="274">
        <v>45702.646874999999</v>
      </c>
      <c r="D19" t="s">
        <v>1823</v>
      </c>
      <c r="E19" t="s">
        <v>895</v>
      </c>
      <c r="F19" t="s">
        <v>1951</v>
      </c>
      <c r="G19">
        <v>9732</v>
      </c>
      <c r="H19">
        <v>4821</v>
      </c>
      <c r="I19">
        <v>44.023159999999997</v>
      </c>
      <c r="J19">
        <v>-91.559746000000004</v>
      </c>
      <c r="K19">
        <v>303.89999999999998</v>
      </c>
      <c r="L19" t="s">
        <v>1836</v>
      </c>
      <c r="M19" t="s">
        <v>1856</v>
      </c>
      <c r="N19">
        <v>14758548479</v>
      </c>
      <c r="O19" t="s">
        <v>1835</v>
      </c>
      <c r="P19" t="s">
        <v>292</v>
      </c>
      <c r="Q19" t="s">
        <v>1838</v>
      </c>
      <c r="R19" t="s">
        <v>1839</v>
      </c>
      <c r="S19" t="s">
        <v>1840</v>
      </c>
      <c r="T19" t="s">
        <v>1841</v>
      </c>
      <c r="U19" t="s">
        <v>442</v>
      </c>
      <c r="V19">
        <v>25</v>
      </c>
      <c r="W19" s="274">
        <v>45702.666342592594</v>
      </c>
      <c r="X19" t="s">
        <v>1857</v>
      </c>
    </row>
    <row r="20" spans="1:24">
      <c r="A20">
        <v>19</v>
      </c>
      <c r="B20" t="s">
        <v>1822</v>
      </c>
      <c r="C20" s="274">
        <v>45702.660243055558</v>
      </c>
      <c r="D20" t="s">
        <v>1823</v>
      </c>
      <c r="E20" t="s">
        <v>53</v>
      </c>
      <c r="F20" t="s">
        <v>79</v>
      </c>
      <c r="G20">
        <v>4575</v>
      </c>
      <c r="H20">
        <v>5538</v>
      </c>
      <c r="I20">
        <v>28.969788000000001</v>
      </c>
      <c r="J20">
        <v>-96.660550000000001</v>
      </c>
      <c r="K20">
        <v>959.52</v>
      </c>
      <c r="L20" t="s">
        <v>1874</v>
      </c>
      <c r="M20" t="s">
        <v>1875</v>
      </c>
      <c r="N20">
        <v>14752611853</v>
      </c>
      <c r="O20" t="s">
        <v>1873</v>
      </c>
      <c r="P20" t="s">
        <v>292</v>
      </c>
      <c r="Q20" t="s">
        <v>1861</v>
      </c>
      <c r="R20" t="s">
        <v>1862</v>
      </c>
      <c r="S20" t="s">
        <v>427</v>
      </c>
      <c r="T20" t="s">
        <v>1863</v>
      </c>
      <c r="U20" t="s">
        <v>442</v>
      </c>
      <c r="V20">
        <v>6726</v>
      </c>
      <c r="W20" s="274">
        <v>45702.666331018518</v>
      </c>
      <c r="X20" s="325" t="s">
        <v>2245</v>
      </c>
    </row>
    <row r="21" spans="1:24">
      <c r="A21">
        <v>20</v>
      </c>
      <c r="B21" t="s">
        <v>1844</v>
      </c>
      <c r="C21" s="274">
        <v>45702.661585648151</v>
      </c>
      <c r="D21" t="s">
        <v>1823</v>
      </c>
      <c r="E21" t="s">
        <v>53</v>
      </c>
      <c r="F21" t="s">
        <v>287</v>
      </c>
      <c r="G21">
        <v>4724</v>
      </c>
      <c r="H21">
        <v>6092</v>
      </c>
      <c r="I21">
        <v>49.810786999999998</v>
      </c>
      <c r="J21">
        <v>-104.16321000000001</v>
      </c>
      <c r="K21">
        <v>67.11</v>
      </c>
      <c r="L21" t="s">
        <v>1849</v>
      </c>
      <c r="M21" t="s">
        <v>1850</v>
      </c>
      <c r="N21">
        <v>14718021618</v>
      </c>
      <c r="O21" t="s">
        <v>1848</v>
      </c>
      <c r="P21" t="s">
        <v>292</v>
      </c>
      <c r="Q21" t="s">
        <v>1851</v>
      </c>
      <c r="R21" t="s">
        <v>1829</v>
      </c>
      <c r="S21" t="s">
        <v>1852</v>
      </c>
      <c r="T21" t="s">
        <v>1853</v>
      </c>
      <c r="U21" t="s">
        <v>1832</v>
      </c>
      <c r="V21">
        <v>6375</v>
      </c>
      <c r="W21" s="274">
        <v>45702.666331018518</v>
      </c>
      <c r="X21" t="s">
        <v>1855</v>
      </c>
    </row>
    <row r="22" spans="1:24">
      <c r="A22">
        <v>21</v>
      </c>
      <c r="B22" t="s">
        <v>1822</v>
      </c>
      <c r="C22" s="274">
        <v>45702.66134259259</v>
      </c>
      <c r="D22" t="s">
        <v>1823</v>
      </c>
      <c r="E22" t="s">
        <v>53</v>
      </c>
      <c r="F22" t="s">
        <v>287</v>
      </c>
      <c r="G22">
        <v>4724</v>
      </c>
      <c r="H22">
        <v>6092</v>
      </c>
      <c r="I22">
        <v>49.808439999999997</v>
      </c>
      <c r="J22">
        <v>-104.158646</v>
      </c>
      <c r="K22">
        <v>67.400000000000006</v>
      </c>
      <c r="L22" t="s">
        <v>1849</v>
      </c>
      <c r="M22" t="s">
        <v>1850</v>
      </c>
      <c r="N22">
        <v>14718021618</v>
      </c>
      <c r="O22" t="s">
        <v>1848</v>
      </c>
      <c r="P22" t="s">
        <v>292</v>
      </c>
      <c r="Q22" t="s">
        <v>1851</v>
      </c>
      <c r="R22" t="s">
        <v>1829</v>
      </c>
      <c r="S22" t="s">
        <v>1852</v>
      </c>
      <c r="T22" t="s">
        <v>1853</v>
      </c>
      <c r="U22" t="s">
        <v>1832</v>
      </c>
      <c r="V22">
        <v>6375</v>
      </c>
      <c r="W22" s="274">
        <v>45702.666331018518</v>
      </c>
      <c r="X22" s="325" t="s">
        <v>1858</v>
      </c>
    </row>
    <row r="23" spans="1:24">
      <c r="A23">
        <v>22</v>
      </c>
      <c r="B23" t="s">
        <v>1822</v>
      </c>
      <c r="C23" s="274">
        <v>45702.662569444445</v>
      </c>
      <c r="D23" t="s">
        <v>1823</v>
      </c>
      <c r="E23" t="s">
        <v>1824</v>
      </c>
      <c r="F23" t="s">
        <v>1951</v>
      </c>
      <c r="G23">
        <v>9824</v>
      </c>
      <c r="H23">
        <v>8240</v>
      </c>
      <c r="I23">
        <v>51.325477999999997</v>
      </c>
      <c r="J23">
        <v>-116.03744</v>
      </c>
      <c r="K23">
        <v>106.33</v>
      </c>
      <c r="L23" t="s">
        <v>1998</v>
      </c>
      <c r="M23" t="s">
        <v>1999</v>
      </c>
      <c r="N23">
        <v>14709813354</v>
      </c>
      <c r="O23" t="s">
        <v>1997</v>
      </c>
      <c r="P23" t="s">
        <v>292</v>
      </c>
      <c r="Q23" t="s">
        <v>2000</v>
      </c>
      <c r="R23" t="s">
        <v>1829</v>
      </c>
      <c r="S23" t="s">
        <v>2001</v>
      </c>
      <c r="T23" t="s">
        <v>2002</v>
      </c>
      <c r="U23" t="s">
        <v>1832</v>
      </c>
      <c r="V23">
        <v>6201</v>
      </c>
      <c r="W23" s="274">
        <v>45702.666331018518</v>
      </c>
      <c r="X23" s="325" t="s">
        <v>2246</v>
      </c>
    </row>
    <row r="24" spans="1:24">
      <c r="A24">
        <v>23</v>
      </c>
      <c r="B24" t="s">
        <v>1844</v>
      </c>
      <c r="C24" s="274">
        <v>45702.662604166668</v>
      </c>
      <c r="D24" t="s">
        <v>1823</v>
      </c>
      <c r="E24" t="s">
        <v>895</v>
      </c>
      <c r="F24" t="s">
        <v>1951</v>
      </c>
      <c r="G24">
        <v>8912</v>
      </c>
      <c r="H24">
        <v>5777</v>
      </c>
      <c r="I24">
        <v>27.304638000000001</v>
      </c>
      <c r="J24">
        <v>-98.641495000000006</v>
      </c>
      <c r="K24">
        <v>64.16</v>
      </c>
      <c r="L24" t="s">
        <v>416</v>
      </c>
      <c r="M24" t="s">
        <v>1860</v>
      </c>
      <c r="N24">
        <v>14764894316</v>
      </c>
      <c r="O24" t="s">
        <v>1859</v>
      </c>
      <c r="P24" t="s">
        <v>292</v>
      </c>
      <c r="Q24" t="s">
        <v>1861</v>
      </c>
      <c r="R24" t="s">
        <v>1862</v>
      </c>
      <c r="S24" t="s">
        <v>427</v>
      </c>
      <c r="T24" t="s">
        <v>1863</v>
      </c>
      <c r="U24" t="s">
        <v>442</v>
      </c>
      <c r="V24">
        <v>6727</v>
      </c>
      <c r="W24" s="274">
        <v>45702.666331018518</v>
      </c>
      <c r="X24" s="325" t="s">
        <v>2247</v>
      </c>
    </row>
    <row r="25" spans="1:24">
      <c r="A25">
        <v>24</v>
      </c>
      <c r="B25" t="s">
        <v>1822</v>
      </c>
      <c r="C25" s="274">
        <v>45702.660937499997</v>
      </c>
      <c r="D25" t="s">
        <v>1823</v>
      </c>
      <c r="E25" t="s">
        <v>895</v>
      </c>
      <c r="F25" t="s">
        <v>1951</v>
      </c>
      <c r="G25">
        <v>8912</v>
      </c>
      <c r="H25">
        <v>5777</v>
      </c>
      <c r="I25">
        <v>27.305243000000001</v>
      </c>
      <c r="J25">
        <v>-98.671486000000002</v>
      </c>
      <c r="K25">
        <v>62.3</v>
      </c>
      <c r="L25" t="s">
        <v>416</v>
      </c>
      <c r="M25" t="s">
        <v>1860</v>
      </c>
      <c r="N25">
        <v>14764894316</v>
      </c>
      <c r="O25" t="s">
        <v>1859</v>
      </c>
      <c r="P25" t="s">
        <v>292</v>
      </c>
      <c r="Q25" t="s">
        <v>1861</v>
      </c>
      <c r="R25" t="s">
        <v>1862</v>
      </c>
      <c r="S25" t="s">
        <v>427</v>
      </c>
      <c r="T25" t="s">
        <v>1863</v>
      </c>
      <c r="U25" t="s">
        <v>442</v>
      </c>
      <c r="V25">
        <v>6727</v>
      </c>
      <c r="W25" s="274">
        <v>45702.666331018518</v>
      </c>
      <c r="X25" t="s">
        <v>2248</v>
      </c>
    </row>
    <row r="26" spans="1:24">
      <c r="A26">
        <v>25</v>
      </c>
      <c r="B26" t="s">
        <v>1844</v>
      </c>
      <c r="C26" s="274">
        <v>45702.662476851852</v>
      </c>
      <c r="D26" t="s">
        <v>1823</v>
      </c>
      <c r="E26" t="s">
        <v>895</v>
      </c>
      <c r="F26" t="s">
        <v>1951</v>
      </c>
      <c r="G26">
        <v>8146</v>
      </c>
      <c r="H26">
        <v>7445</v>
      </c>
      <c r="I26">
        <v>50.885554999999997</v>
      </c>
      <c r="J26">
        <v>-113.35429000000001</v>
      </c>
      <c r="K26">
        <v>138.24</v>
      </c>
      <c r="L26" t="s">
        <v>2098</v>
      </c>
      <c r="M26" t="s">
        <v>2249</v>
      </c>
      <c r="N26">
        <v>14722083441</v>
      </c>
      <c r="O26" t="s">
        <v>2250</v>
      </c>
      <c r="P26" t="s">
        <v>292</v>
      </c>
      <c r="Q26" t="s">
        <v>1851</v>
      </c>
      <c r="R26" t="s">
        <v>1829</v>
      </c>
      <c r="S26" t="s">
        <v>2100</v>
      </c>
      <c r="T26" t="s">
        <v>2002</v>
      </c>
      <c r="U26" t="s">
        <v>1832</v>
      </c>
      <c r="V26">
        <v>6202</v>
      </c>
      <c r="W26" s="274">
        <v>45702.666319444441</v>
      </c>
      <c r="X26" s="325" t="s">
        <v>2251</v>
      </c>
    </row>
    <row r="27" spans="1:24">
      <c r="A27">
        <v>26</v>
      </c>
      <c r="B27" t="s">
        <v>1822</v>
      </c>
      <c r="C27" s="274">
        <v>45702.661805555559</v>
      </c>
      <c r="D27" t="s">
        <v>1823</v>
      </c>
      <c r="E27" t="s">
        <v>1900</v>
      </c>
      <c r="F27" t="s">
        <v>79</v>
      </c>
      <c r="G27">
        <v>4688</v>
      </c>
      <c r="H27">
        <v>3005</v>
      </c>
      <c r="I27">
        <v>22.285602999999998</v>
      </c>
      <c r="J27">
        <v>-101.98162000000001</v>
      </c>
      <c r="K27">
        <v>37.58</v>
      </c>
      <c r="L27" t="s">
        <v>2252</v>
      </c>
      <c r="M27" t="s">
        <v>2253</v>
      </c>
      <c r="N27">
        <v>14728269384</v>
      </c>
      <c r="O27" t="s">
        <v>2254</v>
      </c>
      <c r="P27" t="s">
        <v>292</v>
      </c>
      <c r="Q27" t="s">
        <v>1895</v>
      </c>
      <c r="R27" t="s">
        <v>1862</v>
      </c>
      <c r="S27" t="s">
        <v>2255</v>
      </c>
      <c r="T27" t="s">
        <v>1896</v>
      </c>
      <c r="U27" t="s">
        <v>1897</v>
      </c>
      <c r="V27">
        <v>6813</v>
      </c>
      <c r="W27" s="274">
        <v>45702.666319444441</v>
      </c>
      <c r="X27" s="325" t="s">
        <v>2256</v>
      </c>
    </row>
    <row r="28" spans="1:24">
      <c r="A28">
        <v>27</v>
      </c>
      <c r="B28" t="s">
        <v>1844</v>
      </c>
      <c r="C28" s="274">
        <v>45702.660613425927</v>
      </c>
      <c r="D28" t="s">
        <v>1823</v>
      </c>
      <c r="E28" t="s">
        <v>1824</v>
      </c>
      <c r="F28" t="s">
        <v>1951</v>
      </c>
      <c r="G28">
        <v>8899</v>
      </c>
      <c r="H28">
        <v>9543</v>
      </c>
      <c r="I28">
        <v>50.334670000000003</v>
      </c>
      <c r="J28">
        <v>-115.882355</v>
      </c>
      <c r="K28">
        <v>53.8</v>
      </c>
      <c r="L28" t="s">
        <v>2079</v>
      </c>
      <c r="M28" t="s">
        <v>2084</v>
      </c>
      <c r="N28">
        <v>14757967550</v>
      </c>
      <c r="O28" t="s">
        <v>2257</v>
      </c>
      <c r="P28" t="s">
        <v>292</v>
      </c>
      <c r="Q28" t="s">
        <v>1926</v>
      </c>
      <c r="R28" t="s">
        <v>1829</v>
      </c>
      <c r="S28" t="s">
        <v>1927</v>
      </c>
      <c r="T28" t="s">
        <v>1928</v>
      </c>
      <c r="U28" t="s">
        <v>1832</v>
      </c>
      <c r="V28">
        <v>6104</v>
      </c>
      <c r="W28" s="274">
        <v>45702.666319444441</v>
      </c>
      <c r="X28" t="s">
        <v>2258</v>
      </c>
    </row>
    <row r="29" spans="1:24">
      <c r="A29">
        <v>28</v>
      </c>
      <c r="B29" t="s">
        <v>1822</v>
      </c>
      <c r="C29" s="274">
        <v>45702.662349537037</v>
      </c>
      <c r="D29" t="s">
        <v>1823</v>
      </c>
      <c r="E29" t="s">
        <v>53</v>
      </c>
      <c r="F29" t="s">
        <v>79</v>
      </c>
      <c r="G29">
        <v>4823</v>
      </c>
      <c r="H29">
        <v>6092</v>
      </c>
      <c r="I29">
        <v>49.808459999999997</v>
      </c>
      <c r="J29">
        <v>-104.158714</v>
      </c>
      <c r="K29">
        <v>67.400000000000006</v>
      </c>
      <c r="L29" t="s">
        <v>1849</v>
      </c>
      <c r="M29" t="s">
        <v>1850</v>
      </c>
      <c r="N29">
        <v>14718021618</v>
      </c>
      <c r="O29" t="s">
        <v>1848</v>
      </c>
      <c r="P29" t="s">
        <v>292</v>
      </c>
      <c r="Q29" t="s">
        <v>1851</v>
      </c>
      <c r="R29" t="s">
        <v>1829</v>
      </c>
      <c r="S29" t="s">
        <v>1852</v>
      </c>
      <c r="T29" t="s">
        <v>1853</v>
      </c>
      <c r="U29" t="s">
        <v>1832</v>
      </c>
      <c r="V29">
        <v>6375</v>
      </c>
      <c r="W29" s="274">
        <v>45702.666319444441</v>
      </c>
      <c r="X29" s="325" t="s">
        <v>2259</v>
      </c>
    </row>
    <row r="30" spans="1:24">
      <c r="A30">
        <v>29</v>
      </c>
      <c r="B30" t="s">
        <v>1844</v>
      </c>
      <c r="C30" s="274">
        <v>45702.662638888891</v>
      </c>
      <c r="D30" t="s">
        <v>1823</v>
      </c>
      <c r="E30" t="s">
        <v>53</v>
      </c>
      <c r="F30" t="s">
        <v>79</v>
      </c>
      <c r="G30">
        <v>4823</v>
      </c>
      <c r="H30">
        <v>6092</v>
      </c>
      <c r="I30">
        <v>49.810786999999998</v>
      </c>
      <c r="J30">
        <v>-104.16324</v>
      </c>
      <c r="K30">
        <v>67.11</v>
      </c>
      <c r="L30" t="s">
        <v>1849</v>
      </c>
      <c r="M30" t="s">
        <v>1850</v>
      </c>
      <c r="N30">
        <v>14718021618</v>
      </c>
      <c r="O30" t="s">
        <v>1848</v>
      </c>
      <c r="P30" t="s">
        <v>292</v>
      </c>
      <c r="Q30" t="s">
        <v>1851</v>
      </c>
      <c r="R30" t="s">
        <v>1829</v>
      </c>
      <c r="S30" t="s">
        <v>1852</v>
      </c>
      <c r="T30" t="s">
        <v>1853</v>
      </c>
      <c r="U30" t="s">
        <v>1832</v>
      </c>
      <c r="V30">
        <v>6375</v>
      </c>
      <c r="W30" s="274">
        <v>45702.666319444441</v>
      </c>
      <c r="X30" s="325" t="s">
        <v>2260</v>
      </c>
    </row>
    <row r="31" spans="1:24">
      <c r="A31">
        <v>30</v>
      </c>
      <c r="B31" t="s">
        <v>1822</v>
      </c>
      <c r="C31" s="274">
        <v>45702.661863425928</v>
      </c>
      <c r="D31" t="s">
        <v>1823</v>
      </c>
      <c r="E31" t="s">
        <v>895</v>
      </c>
      <c r="F31" t="s">
        <v>1951</v>
      </c>
      <c r="G31">
        <v>8146</v>
      </c>
      <c r="H31">
        <v>7445</v>
      </c>
      <c r="I31">
        <v>50.884773000000003</v>
      </c>
      <c r="J31">
        <v>-113.37099499999999</v>
      </c>
      <c r="K31">
        <v>138.97</v>
      </c>
      <c r="L31" t="s">
        <v>2098</v>
      </c>
      <c r="M31" t="s">
        <v>2249</v>
      </c>
      <c r="N31">
        <v>14722083441</v>
      </c>
      <c r="O31" t="s">
        <v>2250</v>
      </c>
      <c r="P31" t="s">
        <v>292</v>
      </c>
      <c r="Q31" t="s">
        <v>1851</v>
      </c>
      <c r="R31" t="s">
        <v>1829</v>
      </c>
      <c r="S31" t="s">
        <v>2100</v>
      </c>
      <c r="T31" t="s">
        <v>2002</v>
      </c>
      <c r="U31" t="s">
        <v>1832</v>
      </c>
      <c r="V31">
        <v>6202</v>
      </c>
      <c r="W31" s="274">
        <v>45702.666319444441</v>
      </c>
      <c r="X31" s="325" t="s">
        <v>2261</v>
      </c>
    </row>
    <row r="32" spans="1:24">
      <c r="A32">
        <v>31</v>
      </c>
      <c r="B32" t="s">
        <v>1844</v>
      </c>
      <c r="C32" s="274">
        <v>45702.663032407407</v>
      </c>
      <c r="D32" t="s">
        <v>1823</v>
      </c>
      <c r="E32" t="s">
        <v>1900</v>
      </c>
      <c r="F32" t="s">
        <v>1951</v>
      </c>
      <c r="G32">
        <v>8766</v>
      </c>
      <c r="H32">
        <v>5143</v>
      </c>
      <c r="I32">
        <v>34.027500000000003</v>
      </c>
      <c r="J32">
        <v>-94.340199999999996</v>
      </c>
      <c r="K32">
        <v>434.04</v>
      </c>
      <c r="L32" t="s">
        <v>2111</v>
      </c>
      <c r="M32" t="s">
        <v>2262</v>
      </c>
      <c r="N32">
        <v>14718044788</v>
      </c>
      <c r="O32" t="s">
        <v>2263</v>
      </c>
      <c r="P32" t="s">
        <v>292</v>
      </c>
      <c r="Q32" t="s">
        <v>1968</v>
      </c>
      <c r="R32" t="s">
        <v>1969</v>
      </c>
      <c r="S32" t="s">
        <v>1966</v>
      </c>
      <c r="T32" t="s">
        <v>2264</v>
      </c>
      <c r="U32" t="s">
        <v>442</v>
      </c>
      <c r="V32">
        <v>6708</v>
      </c>
      <c r="W32" s="274">
        <v>45702.666307870371</v>
      </c>
      <c r="X32" t="s">
        <v>2265</v>
      </c>
    </row>
    <row r="33" spans="1:24">
      <c r="A33">
        <v>32</v>
      </c>
      <c r="B33" t="s">
        <v>1822</v>
      </c>
      <c r="C33" s="274">
        <v>45702.661736111113</v>
      </c>
      <c r="D33" t="s">
        <v>1823</v>
      </c>
      <c r="E33" t="s">
        <v>895</v>
      </c>
      <c r="F33" t="s">
        <v>1951</v>
      </c>
      <c r="G33">
        <v>8830</v>
      </c>
      <c r="H33">
        <v>4396</v>
      </c>
      <c r="I33">
        <v>48.761147000000001</v>
      </c>
      <c r="J33">
        <v>-86.550380000000004</v>
      </c>
      <c r="K33">
        <v>75.62</v>
      </c>
      <c r="L33" t="s">
        <v>1867</v>
      </c>
      <c r="M33" t="s">
        <v>1868</v>
      </c>
      <c r="N33">
        <v>14709821184</v>
      </c>
      <c r="O33" t="s">
        <v>1866</v>
      </c>
      <c r="P33" t="s">
        <v>292</v>
      </c>
      <c r="Q33" t="s">
        <v>1828</v>
      </c>
      <c r="R33" t="s">
        <v>1829</v>
      </c>
      <c r="S33" t="s">
        <v>1869</v>
      </c>
      <c r="T33" t="s">
        <v>1870</v>
      </c>
      <c r="U33" t="s">
        <v>1832</v>
      </c>
      <c r="V33">
        <v>6415</v>
      </c>
      <c r="W33" s="274">
        <v>45702.666307870371</v>
      </c>
      <c r="X33" s="325" t="s">
        <v>1872</v>
      </c>
    </row>
    <row r="34" spans="1:24">
      <c r="A34">
        <v>33</v>
      </c>
      <c r="B34" t="s">
        <v>1844</v>
      </c>
      <c r="C34" s="274">
        <v>45702.657314814816</v>
      </c>
      <c r="D34" t="s">
        <v>1823</v>
      </c>
      <c r="E34" t="s">
        <v>333</v>
      </c>
      <c r="F34" t="s">
        <v>1951</v>
      </c>
      <c r="G34">
        <v>8909</v>
      </c>
      <c r="H34">
        <v>672</v>
      </c>
      <c r="I34">
        <v>44.94491</v>
      </c>
      <c r="J34">
        <v>-93.057810000000003</v>
      </c>
      <c r="K34">
        <v>408.78</v>
      </c>
      <c r="L34" t="s">
        <v>2266</v>
      </c>
      <c r="M34" t="s">
        <v>2267</v>
      </c>
      <c r="N34" t="s">
        <v>333</v>
      </c>
      <c r="O34" t="s">
        <v>333</v>
      </c>
      <c r="P34" t="s">
        <v>292</v>
      </c>
      <c r="Q34" t="s">
        <v>1838</v>
      </c>
      <c r="R34" t="s">
        <v>1839</v>
      </c>
      <c r="S34" t="s">
        <v>2094</v>
      </c>
      <c r="T34" t="s">
        <v>1841</v>
      </c>
      <c r="U34" t="s">
        <v>442</v>
      </c>
      <c r="V34">
        <v>23</v>
      </c>
      <c r="W34" s="274">
        <v>45702.666307870371</v>
      </c>
      <c r="X34" s="325" t="s">
        <v>2268</v>
      </c>
    </row>
    <row r="35" spans="1:24">
      <c r="A35">
        <v>34</v>
      </c>
      <c r="B35" t="s">
        <v>1822</v>
      </c>
      <c r="C35" s="274">
        <v>45702.660844907405</v>
      </c>
      <c r="D35" t="s">
        <v>1823</v>
      </c>
      <c r="E35" t="s">
        <v>333</v>
      </c>
      <c r="F35" t="s">
        <v>1951</v>
      </c>
      <c r="G35">
        <v>8909</v>
      </c>
      <c r="H35">
        <v>667</v>
      </c>
      <c r="I35">
        <v>44.958153000000003</v>
      </c>
      <c r="J35">
        <v>-93.082059999999998</v>
      </c>
      <c r="K35" t="s">
        <v>333</v>
      </c>
      <c r="L35" t="s">
        <v>2266</v>
      </c>
      <c r="M35" t="s">
        <v>2269</v>
      </c>
      <c r="N35" t="s">
        <v>333</v>
      </c>
      <c r="O35" t="s">
        <v>333</v>
      </c>
      <c r="P35" t="s">
        <v>292</v>
      </c>
      <c r="Q35" t="s">
        <v>333</v>
      </c>
      <c r="R35" t="s">
        <v>333</v>
      </c>
      <c r="S35" t="s">
        <v>333</v>
      </c>
      <c r="T35" t="s">
        <v>333</v>
      </c>
      <c r="U35" t="s">
        <v>333</v>
      </c>
      <c r="V35" t="s">
        <v>333</v>
      </c>
      <c r="W35" s="274">
        <v>45702.666307870371</v>
      </c>
      <c r="X35" s="325" t="s">
        <v>2270</v>
      </c>
    </row>
    <row r="36" spans="1:24">
      <c r="A36">
        <v>35</v>
      </c>
      <c r="B36" t="s">
        <v>1844</v>
      </c>
      <c r="C36" s="274">
        <v>45702.660856481481</v>
      </c>
      <c r="D36" t="s">
        <v>1823</v>
      </c>
      <c r="E36" t="s">
        <v>333</v>
      </c>
      <c r="F36" t="s">
        <v>1951</v>
      </c>
      <c r="G36">
        <v>8909</v>
      </c>
      <c r="H36">
        <v>667</v>
      </c>
      <c r="I36">
        <v>44.958153000000003</v>
      </c>
      <c r="J36">
        <v>-93.082059999999998</v>
      </c>
      <c r="K36" t="s">
        <v>333</v>
      </c>
      <c r="L36" t="s">
        <v>2266</v>
      </c>
      <c r="M36" t="s">
        <v>2269</v>
      </c>
      <c r="N36" t="s">
        <v>333</v>
      </c>
      <c r="O36" t="s">
        <v>333</v>
      </c>
      <c r="P36" t="s">
        <v>292</v>
      </c>
      <c r="Q36" t="s">
        <v>333</v>
      </c>
      <c r="R36" t="s">
        <v>333</v>
      </c>
      <c r="S36" t="s">
        <v>333</v>
      </c>
      <c r="T36" t="s">
        <v>333</v>
      </c>
      <c r="U36" t="s">
        <v>333</v>
      </c>
      <c r="V36" t="s">
        <v>333</v>
      </c>
      <c r="W36" s="274">
        <v>45702.666307870371</v>
      </c>
      <c r="X36" s="325" t="s">
        <v>2270</v>
      </c>
    </row>
    <row r="37" spans="1:24">
      <c r="A37">
        <v>36</v>
      </c>
      <c r="B37" t="s">
        <v>1822</v>
      </c>
      <c r="C37" s="274">
        <v>45702.662916666668</v>
      </c>
      <c r="D37" t="s">
        <v>1823</v>
      </c>
      <c r="E37" t="s">
        <v>1824</v>
      </c>
      <c r="F37" t="s">
        <v>1951</v>
      </c>
      <c r="G37">
        <v>9814</v>
      </c>
      <c r="H37">
        <v>9525</v>
      </c>
      <c r="I37">
        <v>51.197389999999999</v>
      </c>
      <c r="J37">
        <v>-117.741066</v>
      </c>
      <c r="K37">
        <v>97.18</v>
      </c>
      <c r="L37" t="s">
        <v>1939</v>
      </c>
      <c r="M37" t="s">
        <v>2088</v>
      </c>
      <c r="N37">
        <v>14701083946</v>
      </c>
      <c r="O37" t="s">
        <v>2087</v>
      </c>
      <c r="P37" t="s">
        <v>292</v>
      </c>
      <c r="Q37" t="s">
        <v>1926</v>
      </c>
      <c r="R37" t="s">
        <v>1829</v>
      </c>
      <c r="S37" t="s">
        <v>1939</v>
      </c>
      <c r="T37" t="s">
        <v>1928</v>
      </c>
      <c r="U37" t="s">
        <v>1832</v>
      </c>
      <c r="V37">
        <v>6103</v>
      </c>
      <c r="W37" s="274">
        <v>45702.666307870371</v>
      </c>
      <c r="X37" s="325" t="s">
        <v>2271</v>
      </c>
    </row>
    <row r="38" spans="1:24">
      <c r="A38">
        <v>37</v>
      </c>
      <c r="B38" t="s">
        <v>1822</v>
      </c>
      <c r="C38" s="274">
        <v>45702.660196759258</v>
      </c>
      <c r="D38" t="s">
        <v>1823</v>
      </c>
      <c r="E38" t="s">
        <v>53</v>
      </c>
      <c r="F38" t="s">
        <v>1951</v>
      </c>
      <c r="G38">
        <v>8786</v>
      </c>
      <c r="H38">
        <v>5538</v>
      </c>
      <c r="I38">
        <v>28.969683</v>
      </c>
      <c r="J38">
        <v>-96.660740000000004</v>
      </c>
      <c r="K38">
        <v>959.53</v>
      </c>
      <c r="L38" t="s">
        <v>1874</v>
      </c>
      <c r="M38" t="s">
        <v>1875</v>
      </c>
      <c r="N38">
        <v>14752611853</v>
      </c>
      <c r="O38" t="s">
        <v>1873</v>
      </c>
      <c r="P38" t="s">
        <v>292</v>
      </c>
      <c r="Q38" t="s">
        <v>1861</v>
      </c>
      <c r="R38" t="s">
        <v>1862</v>
      </c>
      <c r="S38" t="s">
        <v>427</v>
      </c>
      <c r="T38" t="s">
        <v>1863</v>
      </c>
      <c r="U38" t="s">
        <v>442</v>
      </c>
      <c r="V38">
        <v>6726</v>
      </c>
      <c r="W38" s="274">
        <v>45702.666296296295</v>
      </c>
      <c r="X38" s="325" t="s">
        <v>1877</v>
      </c>
    </row>
    <row r="39" spans="1:24">
      <c r="A39">
        <v>38</v>
      </c>
      <c r="B39" t="s">
        <v>1844</v>
      </c>
      <c r="C39" s="274">
        <v>45702.661319444444</v>
      </c>
      <c r="D39" t="s">
        <v>1823</v>
      </c>
      <c r="E39" t="s">
        <v>1824</v>
      </c>
      <c r="F39" t="s">
        <v>1951</v>
      </c>
      <c r="G39">
        <v>8172</v>
      </c>
      <c r="H39">
        <v>4944</v>
      </c>
      <c r="I39">
        <v>46.058959999999999</v>
      </c>
      <c r="J39">
        <v>-96.739959999999996</v>
      </c>
      <c r="K39">
        <v>197.94</v>
      </c>
      <c r="L39" t="s">
        <v>2272</v>
      </c>
      <c r="M39" t="s">
        <v>2273</v>
      </c>
      <c r="N39">
        <v>14722100617</v>
      </c>
      <c r="O39" t="s">
        <v>2274</v>
      </c>
      <c r="P39" t="s">
        <v>292</v>
      </c>
      <c r="Q39" t="s">
        <v>1886</v>
      </c>
      <c r="R39" t="s">
        <v>1839</v>
      </c>
      <c r="S39" t="s">
        <v>1887</v>
      </c>
      <c r="T39" t="s">
        <v>1888</v>
      </c>
      <c r="U39" t="s">
        <v>442</v>
      </c>
      <c r="V39">
        <v>3</v>
      </c>
      <c r="W39" s="274">
        <v>45702.666296296295</v>
      </c>
      <c r="X39" t="s">
        <v>2275</v>
      </c>
    </row>
    <row r="40" spans="1:24">
      <c r="A40">
        <v>39</v>
      </c>
      <c r="B40" t="s">
        <v>1822</v>
      </c>
      <c r="C40" s="274">
        <v>45702.661307870374</v>
      </c>
      <c r="D40" t="s">
        <v>1823</v>
      </c>
      <c r="E40" t="s">
        <v>1824</v>
      </c>
      <c r="F40" t="s">
        <v>1951</v>
      </c>
      <c r="G40">
        <v>8172</v>
      </c>
      <c r="H40">
        <v>4944</v>
      </c>
      <c r="I40">
        <v>46.058959999999999</v>
      </c>
      <c r="J40">
        <v>-96.739959999999996</v>
      </c>
      <c r="K40">
        <v>197.94</v>
      </c>
      <c r="L40" t="s">
        <v>2272</v>
      </c>
      <c r="M40" t="s">
        <v>2273</v>
      </c>
      <c r="N40">
        <v>14722100617</v>
      </c>
      <c r="O40" t="s">
        <v>2274</v>
      </c>
      <c r="P40" t="s">
        <v>292</v>
      </c>
      <c r="Q40" t="s">
        <v>1886</v>
      </c>
      <c r="R40" t="s">
        <v>1839</v>
      </c>
      <c r="S40" t="s">
        <v>1887</v>
      </c>
      <c r="T40" t="s">
        <v>1888</v>
      </c>
      <c r="U40" t="s">
        <v>442</v>
      </c>
      <c r="V40">
        <v>3</v>
      </c>
      <c r="W40" s="274">
        <v>45702.666296296295</v>
      </c>
      <c r="X40" t="s">
        <v>2275</v>
      </c>
    </row>
    <row r="41" spans="1:24">
      <c r="A41">
        <v>40</v>
      </c>
      <c r="B41" t="s">
        <v>1844</v>
      </c>
      <c r="C41" s="274">
        <v>45702.656608796293</v>
      </c>
      <c r="D41" t="s">
        <v>1823</v>
      </c>
      <c r="E41" t="s">
        <v>1824</v>
      </c>
      <c r="F41" t="s">
        <v>1951</v>
      </c>
      <c r="G41">
        <v>8172</v>
      </c>
      <c r="H41">
        <v>4943</v>
      </c>
      <c r="I41">
        <v>46.058776999999999</v>
      </c>
      <c r="J41">
        <v>-96.692080000000004</v>
      </c>
      <c r="K41">
        <v>195.63</v>
      </c>
      <c r="L41" t="s">
        <v>2272</v>
      </c>
      <c r="M41" t="s">
        <v>2276</v>
      </c>
      <c r="N41">
        <v>14722100617</v>
      </c>
      <c r="O41" t="s">
        <v>2274</v>
      </c>
      <c r="P41" t="s">
        <v>292</v>
      </c>
      <c r="Q41" t="s">
        <v>1886</v>
      </c>
      <c r="R41" t="s">
        <v>1839</v>
      </c>
      <c r="S41" t="s">
        <v>1887</v>
      </c>
      <c r="T41" t="s">
        <v>1888</v>
      </c>
      <c r="U41" t="s">
        <v>442</v>
      </c>
      <c r="V41">
        <v>3</v>
      </c>
      <c r="W41" s="274">
        <v>45702.666296296295</v>
      </c>
      <c r="X41" s="325" t="s">
        <v>2277</v>
      </c>
    </row>
    <row r="42" spans="1:24">
      <c r="A42">
        <v>41</v>
      </c>
      <c r="B42" t="s">
        <v>1844</v>
      </c>
      <c r="C42" s="274">
        <v>45702.661990740744</v>
      </c>
      <c r="D42" t="s">
        <v>1823</v>
      </c>
      <c r="E42" t="s">
        <v>1824</v>
      </c>
      <c r="F42" t="s">
        <v>1951</v>
      </c>
      <c r="G42">
        <v>8756</v>
      </c>
      <c r="H42">
        <v>4958</v>
      </c>
      <c r="I42">
        <v>46.834667000000003</v>
      </c>
      <c r="J42">
        <v>-97.873159999999999</v>
      </c>
      <c r="K42">
        <v>276.85000000000002</v>
      </c>
      <c r="L42" t="s">
        <v>1884</v>
      </c>
      <c r="M42" t="s">
        <v>1885</v>
      </c>
      <c r="N42">
        <v>14736977502</v>
      </c>
      <c r="O42" t="s">
        <v>1883</v>
      </c>
      <c r="P42" t="s">
        <v>292</v>
      </c>
      <c r="Q42" t="s">
        <v>1886</v>
      </c>
      <c r="R42" t="s">
        <v>1839</v>
      </c>
      <c r="S42" t="s">
        <v>1887</v>
      </c>
      <c r="T42" t="s">
        <v>1888</v>
      </c>
      <c r="U42" t="s">
        <v>442</v>
      </c>
      <c r="V42">
        <v>2</v>
      </c>
      <c r="W42" s="274">
        <v>45702.666296296295</v>
      </c>
      <c r="X42" t="s">
        <v>1890</v>
      </c>
    </row>
    <row r="43" spans="1:24">
      <c r="A43">
        <v>42</v>
      </c>
      <c r="B43" t="s">
        <v>1844</v>
      </c>
      <c r="C43" s="274">
        <v>45702.659710648149</v>
      </c>
      <c r="D43" t="s">
        <v>1823</v>
      </c>
      <c r="E43" t="s">
        <v>895</v>
      </c>
      <c r="F43" t="s">
        <v>1951</v>
      </c>
      <c r="G43">
        <v>8631</v>
      </c>
      <c r="H43">
        <v>4449</v>
      </c>
      <c r="I43">
        <v>48.85172</v>
      </c>
      <c r="J43">
        <v>-88.476299999999995</v>
      </c>
      <c r="K43">
        <v>80.06</v>
      </c>
      <c r="L43" t="s">
        <v>1961</v>
      </c>
      <c r="M43" t="s">
        <v>2278</v>
      </c>
      <c r="N43">
        <v>14745559614</v>
      </c>
      <c r="O43" t="s">
        <v>2279</v>
      </c>
      <c r="P43" t="s">
        <v>292</v>
      </c>
      <c r="Q43" t="s">
        <v>1828</v>
      </c>
      <c r="R43" t="s">
        <v>1829</v>
      </c>
      <c r="S43" t="s">
        <v>1869</v>
      </c>
      <c r="T43" t="s">
        <v>1870</v>
      </c>
      <c r="U43" t="s">
        <v>1832</v>
      </c>
      <c r="V43">
        <v>6410</v>
      </c>
      <c r="W43" s="274">
        <v>45702.666296296295</v>
      </c>
      <c r="X43" s="325" t="s">
        <v>2280</v>
      </c>
    </row>
    <row r="44" spans="1:24">
      <c r="A44">
        <v>43</v>
      </c>
      <c r="B44" t="s">
        <v>1844</v>
      </c>
      <c r="C44" s="274">
        <v>45702.662060185183</v>
      </c>
      <c r="D44" t="s">
        <v>1823</v>
      </c>
      <c r="E44" t="s">
        <v>53</v>
      </c>
      <c r="F44" t="s">
        <v>1951</v>
      </c>
      <c r="G44">
        <v>8709</v>
      </c>
      <c r="H44">
        <v>4405</v>
      </c>
      <c r="I44">
        <v>48.788001999999999</v>
      </c>
      <c r="J44">
        <v>-87.11636</v>
      </c>
      <c r="K44">
        <v>110.83</v>
      </c>
      <c r="L44" t="s">
        <v>1867</v>
      </c>
      <c r="M44" t="s">
        <v>1879</v>
      </c>
      <c r="N44">
        <v>14718009362</v>
      </c>
      <c r="O44" t="s">
        <v>1878</v>
      </c>
      <c r="P44" t="s">
        <v>292</v>
      </c>
      <c r="Q44" t="s">
        <v>1828</v>
      </c>
      <c r="R44" t="s">
        <v>1829</v>
      </c>
      <c r="S44" t="s">
        <v>1869</v>
      </c>
      <c r="T44" t="s">
        <v>1870</v>
      </c>
      <c r="U44" t="s">
        <v>1832</v>
      </c>
      <c r="V44">
        <v>6415</v>
      </c>
      <c r="W44" s="274">
        <v>45702.666296296295</v>
      </c>
      <c r="X44" s="325" t="s">
        <v>1881</v>
      </c>
    </row>
    <row r="45" spans="1:24">
      <c r="A45">
        <v>44</v>
      </c>
      <c r="B45" t="s">
        <v>1822</v>
      </c>
      <c r="C45" s="274">
        <v>45702.661215277774</v>
      </c>
      <c r="D45" t="s">
        <v>1823</v>
      </c>
      <c r="E45" t="s">
        <v>333</v>
      </c>
      <c r="F45" t="s">
        <v>1951</v>
      </c>
      <c r="G45">
        <v>8102</v>
      </c>
      <c r="H45">
        <v>5298</v>
      </c>
      <c r="I45">
        <v>27.969823999999999</v>
      </c>
      <c r="J45">
        <v>-97.564359999999994</v>
      </c>
      <c r="K45" t="s">
        <v>333</v>
      </c>
      <c r="L45" t="s">
        <v>2281</v>
      </c>
      <c r="M45" t="s">
        <v>2282</v>
      </c>
      <c r="N45" t="s">
        <v>333</v>
      </c>
      <c r="O45" t="s">
        <v>333</v>
      </c>
      <c r="P45" t="s">
        <v>292</v>
      </c>
      <c r="Q45" t="s">
        <v>333</v>
      </c>
      <c r="R45" t="s">
        <v>333</v>
      </c>
      <c r="S45" t="s">
        <v>333</v>
      </c>
      <c r="T45" t="s">
        <v>1863</v>
      </c>
      <c r="U45" t="s">
        <v>442</v>
      </c>
      <c r="V45" t="s">
        <v>333</v>
      </c>
      <c r="W45" s="274">
        <v>45702.666296296295</v>
      </c>
      <c r="X45" s="325" t="s">
        <v>2283</v>
      </c>
    </row>
    <row r="46" spans="1:24">
      <c r="A46">
        <v>45</v>
      </c>
      <c r="B46" t="s">
        <v>1844</v>
      </c>
      <c r="C46" s="274">
        <v>45702.662465277775</v>
      </c>
      <c r="D46" t="s">
        <v>1823</v>
      </c>
      <c r="E46" t="s">
        <v>53</v>
      </c>
      <c r="F46" t="s">
        <v>1951</v>
      </c>
      <c r="G46">
        <v>8786</v>
      </c>
      <c r="H46">
        <v>5538</v>
      </c>
      <c r="I46">
        <v>28.983457999999999</v>
      </c>
      <c r="J46">
        <v>-96.634039999999999</v>
      </c>
      <c r="K46">
        <v>957.66</v>
      </c>
      <c r="L46" t="s">
        <v>1874</v>
      </c>
      <c r="M46" t="s">
        <v>1875</v>
      </c>
      <c r="N46">
        <v>14752611853</v>
      </c>
      <c r="O46" t="s">
        <v>1873</v>
      </c>
      <c r="P46" t="s">
        <v>292</v>
      </c>
      <c r="Q46" t="s">
        <v>1861</v>
      </c>
      <c r="R46" t="s">
        <v>1862</v>
      </c>
      <c r="S46" t="s">
        <v>427</v>
      </c>
      <c r="T46" t="s">
        <v>1863</v>
      </c>
      <c r="U46" t="s">
        <v>442</v>
      </c>
      <c r="V46">
        <v>6726</v>
      </c>
      <c r="W46" s="274">
        <v>45702.666296296295</v>
      </c>
      <c r="X46" s="325" t="s">
        <v>1882</v>
      </c>
    </row>
    <row r="47" spans="1:24">
      <c r="A47">
        <v>46</v>
      </c>
      <c r="B47" t="s">
        <v>1822</v>
      </c>
      <c r="C47" s="274">
        <v>45702.661828703705</v>
      </c>
      <c r="D47" t="s">
        <v>1823</v>
      </c>
      <c r="E47" t="s">
        <v>333</v>
      </c>
      <c r="F47" t="s">
        <v>1951</v>
      </c>
      <c r="G47">
        <v>8038</v>
      </c>
      <c r="H47">
        <v>9642</v>
      </c>
      <c r="I47">
        <v>50.420099999999998</v>
      </c>
      <c r="J47">
        <v>-121.35268000000001</v>
      </c>
      <c r="K47" t="s">
        <v>333</v>
      </c>
      <c r="L47" t="s">
        <v>1974</v>
      </c>
      <c r="M47" t="s">
        <v>2284</v>
      </c>
      <c r="N47" t="s">
        <v>333</v>
      </c>
      <c r="O47" t="s">
        <v>333</v>
      </c>
      <c r="P47" t="s">
        <v>292</v>
      </c>
      <c r="Q47" t="s">
        <v>333</v>
      </c>
      <c r="R47" t="s">
        <v>333</v>
      </c>
      <c r="S47" t="s">
        <v>333</v>
      </c>
      <c r="T47" t="s">
        <v>1928</v>
      </c>
      <c r="U47" t="s">
        <v>1832</v>
      </c>
      <c r="V47" t="s">
        <v>333</v>
      </c>
      <c r="W47" s="274">
        <v>45702.666284722225</v>
      </c>
      <c r="X47" t="s">
        <v>2285</v>
      </c>
    </row>
    <row r="48" spans="1:24">
      <c r="A48">
        <v>47</v>
      </c>
      <c r="B48" t="s">
        <v>1822</v>
      </c>
      <c r="C48" s="274">
        <v>45702.662141203706</v>
      </c>
      <c r="D48" t="s">
        <v>1823</v>
      </c>
      <c r="E48" t="s">
        <v>895</v>
      </c>
      <c r="F48" t="s">
        <v>1951</v>
      </c>
      <c r="G48">
        <v>8127</v>
      </c>
      <c r="H48">
        <v>7427</v>
      </c>
      <c r="I48">
        <v>50.384529999999998</v>
      </c>
      <c r="J48">
        <v>-111.50955999999999</v>
      </c>
      <c r="K48">
        <v>45.61</v>
      </c>
      <c r="L48" t="s">
        <v>2098</v>
      </c>
      <c r="M48" t="s">
        <v>2099</v>
      </c>
      <c r="N48">
        <v>14753543967</v>
      </c>
      <c r="O48" t="s">
        <v>2097</v>
      </c>
      <c r="P48" t="s">
        <v>292</v>
      </c>
      <c r="Q48" t="s">
        <v>1851</v>
      </c>
      <c r="R48" t="s">
        <v>1829</v>
      </c>
      <c r="S48" t="s">
        <v>2100</v>
      </c>
      <c r="T48" t="s">
        <v>2002</v>
      </c>
      <c r="U48" t="s">
        <v>1832</v>
      </c>
      <c r="V48">
        <v>6202</v>
      </c>
      <c r="W48" s="274">
        <v>45702.666284722225</v>
      </c>
      <c r="X48" s="325" t="s">
        <v>2286</v>
      </c>
    </row>
    <row r="49" spans="1:24">
      <c r="A49">
        <v>48</v>
      </c>
      <c r="B49" t="s">
        <v>1822</v>
      </c>
      <c r="C49" s="274">
        <v>45702.662974537037</v>
      </c>
      <c r="D49" t="s">
        <v>1823</v>
      </c>
      <c r="E49" t="s">
        <v>333</v>
      </c>
      <c r="F49" t="s">
        <v>1951</v>
      </c>
      <c r="G49">
        <v>8074</v>
      </c>
      <c r="H49">
        <v>9017</v>
      </c>
      <c r="I49">
        <v>50.018700000000003</v>
      </c>
      <c r="J49">
        <v>-114.83309</v>
      </c>
      <c r="K49">
        <v>21.42</v>
      </c>
      <c r="L49" t="s">
        <v>2241</v>
      </c>
      <c r="M49" t="s">
        <v>2242</v>
      </c>
      <c r="N49" t="s">
        <v>333</v>
      </c>
      <c r="O49" t="s">
        <v>333</v>
      </c>
      <c r="P49" t="s">
        <v>292</v>
      </c>
      <c r="Q49" t="s">
        <v>1926</v>
      </c>
      <c r="R49" t="s">
        <v>1829</v>
      </c>
      <c r="S49" t="s">
        <v>1927</v>
      </c>
      <c r="T49" t="s">
        <v>1928</v>
      </c>
      <c r="U49" t="s">
        <v>1832</v>
      </c>
      <c r="V49">
        <v>6112</v>
      </c>
      <c r="W49" s="274">
        <v>45702.666284722225</v>
      </c>
      <c r="X49" s="325" t="s">
        <v>2287</v>
      </c>
    </row>
    <row r="50" spans="1:24">
      <c r="A50">
        <v>49</v>
      </c>
      <c r="B50" t="s">
        <v>1844</v>
      </c>
      <c r="C50" s="274">
        <v>45702.662986111114</v>
      </c>
      <c r="D50" t="s">
        <v>1823</v>
      </c>
      <c r="E50" t="s">
        <v>333</v>
      </c>
      <c r="F50" t="s">
        <v>1951</v>
      </c>
      <c r="G50">
        <v>8074</v>
      </c>
      <c r="H50">
        <v>9017</v>
      </c>
      <c r="I50">
        <v>50.018700000000003</v>
      </c>
      <c r="J50">
        <v>-114.83309</v>
      </c>
      <c r="K50">
        <v>21.42</v>
      </c>
      <c r="L50" t="s">
        <v>2241</v>
      </c>
      <c r="M50" t="s">
        <v>2242</v>
      </c>
      <c r="N50" t="s">
        <v>333</v>
      </c>
      <c r="O50" t="s">
        <v>333</v>
      </c>
      <c r="P50" t="s">
        <v>292</v>
      </c>
      <c r="Q50" t="s">
        <v>1926</v>
      </c>
      <c r="R50" t="s">
        <v>1829</v>
      </c>
      <c r="S50" t="s">
        <v>1927</v>
      </c>
      <c r="T50" t="s">
        <v>1928</v>
      </c>
      <c r="U50" t="s">
        <v>1832</v>
      </c>
      <c r="V50">
        <v>6112</v>
      </c>
      <c r="W50" s="274">
        <v>45702.666284722225</v>
      </c>
      <c r="X50" s="325" t="s">
        <v>2287</v>
      </c>
    </row>
    <row r="51" spans="1:24">
      <c r="A51">
        <v>50</v>
      </c>
      <c r="B51" t="s">
        <v>1844</v>
      </c>
      <c r="C51" s="274">
        <v>45702.659988425927</v>
      </c>
      <c r="D51" t="s">
        <v>1823</v>
      </c>
      <c r="E51" t="s">
        <v>1824</v>
      </c>
      <c r="F51" t="s">
        <v>1951</v>
      </c>
      <c r="G51">
        <v>7056</v>
      </c>
      <c r="H51">
        <v>9568</v>
      </c>
      <c r="I51">
        <v>50.967407000000001</v>
      </c>
      <c r="J51">
        <v>-118.36416</v>
      </c>
      <c r="K51">
        <v>8.93</v>
      </c>
      <c r="L51" t="s">
        <v>2288</v>
      </c>
      <c r="M51" t="s">
        <v>2289</v>
      </c>
      <c r="N51">
        <v>14752708893</v>
      </c>
      <c r="O51" t="s">
        <v>2290</v>
      </c>
      <c r="P51" t="s">
        <v>292</v>
      </c>
      <c r="Q51" t="s">
        <v>1926</v>
      </c>
      <c r="R51" t="s">
        <v>1829</v>
      </c>
      <c r="S51" t="s">
        <v>1939</v>
      </c>
      <c r="T51" t="s">
        <v>1928</v>
      </c>
      <c r="U51" t="s">
        <v>1832</v>
      </c>
      <c r="V51">
        <v>6101</v>
      </c>
      <c r="W51" s="274">
        <v>45702.666284722225</v>
      </c>
      <c r="X51" s="325" t="s">
        <v>2291</v>
      </c>
    </row>
    <row r="52" spans="1:24">
      <c r="A52">
        <v>51</v>
      </c>
      <c r="B52" t="s">
        <v>1822</v>
      </c>
      <c r="C52" s="274">
        <v>45702.661203703705</v>
      </c>
      <c r="D52" t="s">
        <v>1823</v>
      </c>
      <c r="E52" t="s">
        <v>1900</v>
      </c>
      <c r="F52" t="s">
        <v>1951</v>
      </c>
      <c r="G52">
        <v>8021</v>
      </c>
      <c r="H52">
        <v>5143</v>
      </c>
      <c r="I52">
        <v>34.054000000000002</v>
      </c>
      <c r="J52">
        <v>-94.337100000000007</v>
      </c>
      <c r="K52">
        <v>432.17</v>
      </c>
      <c r="L52" t="s">
        <v>2111</v>
      </c>
      <c r="M52" t="s">
        <v>2262</v>
      </c>
      <c r="N52">
        <v>14718044788</v>
      </c>
      <c r="O52" t="s">
        <v>2263</v>
      </c>
      <c r="P52" t="s">
        <v>292</v>
      </c>
      <c r="Q52" t="s">
        <v>1968</v>
      </c>
      <c r="R52" t="s">
        <v>1969</v>
      </c>
      <c r="S52" t="s">
        <v>1966</v>
      </c>
      <c r="T52" t="s">
        <v>2264</v>
      </c>
      <c r="U52" t="s">
        <v>442</v>
      </c>
      <c r="V52">
        <v>6708</v>
      </c>
      <c r="W52" s="274">
        <v>45702.666284722225</v>
      </c>
      <c r="X52" s="325" t="s">
        <v>2292</v>
      </c>
    </row>
    <row r="53" spans="1:24">
      <c r="A53">
        <v>52</v>
      </c>
      <c r="B53" t="s">
        <v>1822</v>
      </c>
      <c r="C53" s="274">
        <v>45702.65997685185</v>
      </c>
      <c r="D53" t="s">
        <v>1823</v>
      </c>
      <c r="E53" t="s">
        <v>1824</v>
      </c>
      <c r="F53" t="s">
        <v>1951</v>
      </c>
      <c r="G53">
        <v>7056</v>
      </c>
      <c r="H53">
        <v>9568</v>
      </c>
      <c r="I53">
        <v>50.967407000000001</v>
      </c>
      <c r="J53">
        <v>-118.36416</v>
      </c>
      <c r="K53">
        <v>8.93</v>
      </c>
      <c r="L53" t="s">
        <v>2288</v>
      </c>
      <c r="M53" t="s">
        <v>2289</v>
      </c>
      <c r="N53">
        <v>14752708893</v>
      </c>
      <c r="O53" t="s">
        <v>2290</v>
      </c>
      <c r="P53" t="s">
        <v>292</v>
      </c>
      <c r="Q53" t="s">
        <v>1926</v>
      </c>
      <c r="R53" t="s">
        <v>1829</v>
      </c>
      <c r="S53" t="s">
        <v>1939</v>
      </c>
      <c r="T53" t="s">
        <v>1928</v>
      </c>
      <c r="U53" t="s">
        <v>1832</v>
      </c>
      <c r="V53">
        <v>6101</v>
      </c>
      <c r="W53" s="274">
        <v>45702.666284722225</v>
      </c>
      <c r="X53" s="325" t="s">
        <v>2291</v>
      </c>
    </row>
    <row r="54" spans="1:24">
      <c r="A54">
        <v>53</v>
      </c>
      <c r="B54" t="s">
        <v>1822</v>
      </c>
      <c r="C54" s="274">
        <v>45702.628472222219</v>
      </c>
      <c r="D54" t="s">
        <v>1823</v>
      </c>
      <c r="E54" t="s">
        <v>53</v>
      </c>
      <c r="F54" t="s">
        <v>1951</v>
      </c>
      <c r="G54">
        <v>7026</v>
      </c>
      <c r="H54">
        <v>1125</v>
      </c>
      <c r="I54">
        <v>24.310680000000001</v>
      </c>
      <c r="J54">
        <v>-100.8578</v>
      </c>
      <c r="K54">
        <v>477.84</v>
      </c>
      <c r="L54" t="s">
        <v>1893</v>
      </c>
      <c r="M54" t="s">
        <v>1912</v>
      </c>
      <c r="N54">
        <v>14722133327</v>
      </c>
      <c r="O54" t="s">
        <v>1892</v>
      </c>
      <c r="P54" t="s">
        <v>292</v>
      </c>
      <c r="Q54" t="s">
        <v>1895</v>
      </c>
      <c r="R54" t="s">
        <v>1862</v>
      </c>
      <c r="S54" t="s">
        <v>1893</v>
      </c>
      <c r="T54" t="s">
        <v>1904</v>
      </c>
      <c r="U54" t="s">
        <v>1897</v>
      </c>
      <c r="V54">
        <v>6802</v>
      </c>
      <c r="W54" s="274">
        <v>45702.666273148148</v>
      </c>
      <c r="X54" s="325" t="s">
        <v>2236</v>
      </c>
    </row>
    <row r="55" spans="1:24">
      <c r="A55">
        <v>54</v>
      </c>
      <c r="B55" t="s">
        <v>1844</v>
      </c>
      <c r="C55" s="274">
        <v>45702.65966435185</v>
      </c>
      <c r="D55" t="s">
        <v>1823</v>
      </c>
      <c r="E55" t="s">
        <v>1824</v>
      </c>
      <c r="F55" t="s">
        <v>1951</v>
      </c>
      <c r="G55">
        <v>7022</v>
      </c>
      <c r="H55">
        <v>9656</v>
      </c>
      <c r="I55">
        <v>49.792636999999999</v>
      </c>
      <c r="J55">
        <v>-121.44878</v>
      </c>
      <c r="K55" t="s">
        <v>333</v>
      </c>
      <c r="L55" t="s">
        <v>893</v>
      </c>
      <c r="M55" t="s">
        <v>2293</v>
      </c>
      <c r="N55">
        <v>14713982417</v>
      </c>
      <c r="O55" t="s">
        <v>2294</v>
      </c>
      <c r="P55" t="s">
        <v>292</v>
      </c>
      <c r="Q55" t="s">
        <v>333</v>
      </c>
      <c r="R55" t="s">
        <v>333</v>
      </c>
      <c r="S55" t="s">
        <v>333</v>
      </c>
      <c r="T55" t="s">
        <v>333</v>
      </c>
      <c r="U55" t="s">
        <v>333</v>
      </c>
      <c r="V55" t="s">
        <v>333</v>
      </c>
      <c r="W55" s="274">
        <v>45702.666261574072</v>
      </c>
      <c r="X55" s="325" t="s">
        <v>2295</v>
      </c>
    </row>
    <row r="56" spans="1:24">
      <c r="A56">
        <v>55</v>
      </c>
      <c r="B56" t="s">
        <v>1844</v>
      </c>
      <c r="C56" s="274">
        <v>45702.652777777781</v>
      </c>
      <c r="D56" t="s">
        <v>1891</v>
      </c>
      <c r="E56" t="s">
        <v>1900</v>
      </c>
      <c r="F56" t="s">
        <v>287</v>
      </c>
      <c r="G56">
        <v>4897</v>
      </c>
      <c r="H56">
        <v>2617</v>
      </c>
      <c r="I56">
        <v>22.148999329999999</v>
      </c>
      <c r="J56">
        <v>-99.739723560000002</v>
      </c>
      <c r="K56">
        <v>244.21</v>
      </c>
      <c r="L56" t="s">
        <v>1902</v>
      </c>
      <c r="M56" t="s">
        <v>1909</v>
      </c>
      <c r="N56">
        <v>14764723440</v>
      </c>
      <c r="O56" t="s">
        <v>1901</v>
      </c>
      <c r="P56" t="s">
        <v>292</v>
      </c>
      <c r="Q56" t="s">
        <v>1895</v>
      </c>
      <c r="R56" t="s">
        <v>1862</v>
      </c>
      <c r="S56" t="s">
        <v>1902</v>
      </c>
      <c r="T56" t="s">
        <v>1904</v>
      </c>
      <c r="U56" t="s">
        <v>1897</v>
      </c>
      <c r="V56">
        <v>6815</v>
      </c>
      <c r="W56" s="274">
        <v>45702.666122685187</v>
      </c>
      <c r="X56" s="325" t="s">
        <v>2296</v>
      </c>
    </row>
    <row r="57" spans="1:24">
      <c r="A57">
        <v>56</v>
      </c>
      <c r="B57" t="s">
        <v>1844</v>
      </c>
      <c r="C57" s="274">
        <v>45702.659722222219</v>
      </c>
      <c r="D57" t="s">
        <v>1891</v>
      </c>
      <c r="E57" t="s">
        <v>1900</v>
      </c>
      <c r="F57" t="s">
        <v>287</v>
      </c>
      <c r="G57">
        <v>4897</v>
      </c>
      <c r="H57">
        <v>2619</v>
      </c>
      <c r="I57">
        <v>22.048398330000001</v>
      </c>
      <c r="J57">
        <v>-99.683510729999995</v>
      </c>
      <c r="K57">
        <v>252.03</v>
      </c>
      <c r="L57" t="s">
        <v>1902</v>
      </c>
      <c r="M57" t="s">
        <v>1903</v>
      </c>
      <c r="N57">
        <v>14764723440</v>
      </c>
      <c r="O57" t="s">
        <v>1901</v>
      </c>
      <c r="P57" t="s">
        <v>292</v>
      </c>
      <c r="Q57" t="s">
        <v>1895</v>
      </c>
      <c r="R57" t="s">
        <v>1862</v>
      </c>
      <c r="S57" t="s">
        <v>1902</v>
      </c>
      <c r="T57" t="s">
        <v>1904</v>
      </c>
      <c r="U57" t="s">
        <v>1897</v>
      </c>
      <c r="V57">
        <v>6815</v>
      </c>
      <c r="W57" s="274">
        <v>45702.666122685187</v>
      </c>
      <c r="X57" s="325" t="s">
        <v>2297</v>
      </c>
    </row>
    <row r="58" spans="1:24">
      <c r="A58">
        <v>57</v>
      </c>
      <c r="B58" t="s">
        <v>1822</v>
      </c>
      <c r="C58" s="274">
        <v>45702.655763888892</v>
      </c>
      <c r="D58" t="s">
        <v>1891</v>
      </c>
      <c r="E58" t="s">
        <v>1900</v>
      </c>
      <c r="F58" t="s">
        <v>287</v>
      </c>
      <c r="G58">
        <v>4897</v>
      </c>
      <c r="H58">
        <v>2619</v>
      </c>
      <c r="I58">
        <v>22.105571489999999</v>
      </c>
      <c r="J58">
        <v>-99.714903230000004</v>
      </c>
      <c r="K58">
        <v>247.61</v>
      </c>
      <c r="L58" t="s">
        <v>1902</v>
      </c>
      <c r="M58" t="s">
        <v>1903</v>
      </c>
      <c r="N58">
        <v>14764723440</v>
      </c>
      <c r="O58" t="s">
        <v>1901</v>
      </c>
      <c r="P58" t="s">
        <v>292</v>
      </c>
      <c r="Q58" t="s">
        <v>1895</v>
      </c>
      <c r="R58" t="s">
        <v>1862</v>
      </c>
      <c r="S58" t="s">
        <v>1902</v>
      </c>
      <c r="T58" t="s">
        <v>1904</v>
      </c>
      <c r="U58" t="s">
        <v>1897</v>
      </c>
      <c r="V58">
        <v>6815</v>
      </c>
      <c r="W58" s="274">
        <v>45702.666122685187</v>
      </c>
      <c r="X58" s="325" t="s">
        <v>1908</v>
      </c>
    </row>
    <row r="59" spans="1:24">
      <c r="A59">
        <v>58</v>
      </c>
      <c r="B59" t="s">
        <v>1844</v>
      </c>
      <c r="C59" s="274">
        <v>45702.658553240741</v>
      </c>
      <c r="D59" t="s">
        <v>1823</v>
      </c>
      <c r="E59" t="s">
        <v>1824</v>
      </c>
      <c r="F59" t="s">
        <v>287</v>
      </c>
      <c r="G59">
        <v>4719</v>
      </c>
      <c r="H59">
        <v>9640</v>
      </c>
      <c r="I59">
        <v>50.516579999999998</v>
      </c>
      <c r="J59">
        <v>-121.28119</v>
      </c>
      <c r="K59" t="s">
        <v>333</v>
      </c>
      <c r="L59" t="s">
        <v>1974</v>
      </c>
      <c r="M59" t="s">
        <v>2298</v>
      </c>
      <c r="N59">
        <v>14718061177</v>
      </c>
      <c r="O59" t="s">
        <v>2299</v>
      </c>
      <c r="P59" t="s">
        <v>292</v>
      </c>
      <c r="Q59" t="s">
        <v>333</v>
      </c>
      <c r="R59" t="s">
        <v>333</v>
      </c>
      <c r="S59" t="s">
        <v>333</v>
      </c>
      <c r="T59" t="s">
        <v>333</v>
      </c>
      <c r="U59" t="s">
        <v>333</v>
      </c>
      <c r="V59" t="s">
        <v>333</v>
      </c>
      <c r="W59" s="274">
        <v>45702.66611111111</v>
      </c>
      <c r="X59" t="s">
        <v>2300</v>
      </c>
    </row>
    <row r="60" spans="1:24">
      <c r="A60">
        <v>59</v>
      </c>
      <c r="B60" t="s">
        <v>1822</v>
      </c>
      <c r="C60" s="274">
        <v>45702.622835648152</v>
      </c>
      <c r="D60" t="s">
        <v>1891</v>
      </c>
      <c r="E60" t="s">
        <v>1900</v>
      </c>
      <c r="F60" t="s">
        <v>287</v>
      </c>
      <c r="G60">
        <v>4896</v>
      </c>
      <c r="H60">
        <v>2615</v>
      </c>
      <c r="I60">
        <v>22.304576000000001</v>
      </c>
      <c r="J60">
        <v>-100.05558988999999</v>
      </c>
      <c r="K60">
        <v>220.35</v>
      </c>
      <c r="L60" t="s">
        <v>1902</v>
      </c>
      <c r="M60" t="s">
        <v>2301</v>
      </c>
      <c r="N60">
        <v>14764723440</v>
      </c>
      <c r="O60" t="s">
        <v>1901</v>
      </c>
      <c r="P60" t="s">
        <v>292</v>
      </c>
      <c r="Q60" t="s">
        <v>1895</v>
      </c>
      <c r="R60" t="s">
        <v>1862</v>
      </c>
      <c r="S60" t="s">
        <v>1902</v>
      </c>
      <c r="T60" t="s">
        <v>1904</v>
      </c>
      <c r="U60" t="s">
        <v>1897</v>
      </c>
      <c r="V60">
        <v>6815</v>
      </c>
      <c r="W60" s="274">
        <v>45702.66611111111</v>
      </c>
      <c r="X60" s="325" t="s">
        <v>2302</v>
      </c>
    </row>
    <row r="61" spans="1:24">
      <c r="A61">
        <v>60</v>
      </c>
      <c r="B61" t="s">
        <v>1844</v>
      </c>
      <c r="C61" s="274">
        <v>45702.624374999999</v>
      </c>
      <c r="D61" t="s">
        <v>1891</v>
      </c>
      <c r="E61" t="s">
        <v>1900</v>
      </c>
      <c r="F61" t="s">
        <v>287</v>
      </c>
      <c r="G61">
        <v>4896</v>
      </c>
      <c r="H61">
        <v>2615</v>
      </c>
      <c r="I61">
        <v>22.30000566</v>
      </c>
      <c r="J61">
        <v>-100.02940339</v>
      </c>
      <c r="K61">
        <v>222.06</v>
      </c>
      <c r="L61" t="s">
        <v>1902</v>
      </c>
      <c r="M61" t="s">
        <v>2301</v>
      </c>
      <c r="N61">
        <v>14764723440</v>
      </c>
      <c r="O61" t="s">
        <v>1901</v>
      </c>
      <c r="P61" t="s">
        <v>292</v>
      </c>
      <c r="Q61" t="s">
        <v>1895</v>
      </c>
      <c r="R61" t="s">
        <v>1862</v>
      </c>
      <c r="S61" t="s">
        <v>1902</v>
      </c>
      <c r="T61" t="s">
        <v>1904</v>
      </c>
      <c r="U61" t="s">
        <v>1897</v>
      </c>
      <c r="V61">
        <v>6815</v>
      </c>
      <c r="W61" s="274">
        <v>45702.66611111111</v>
      </c>
      <c r="X61" t="s">
        <v>2303</v>
      </c>
    </row>
    <row r="62" spans="1:24">
      <c r="A62">
        <v>61</v>
      </c>
      <c r="B62" t="s">
        <v>1822</v>
      </c>
      <c r="C62" s="274">
        <v>45702.628333333334</v>
      </c>
      <c r="D62" t="s">
        <v>1891</v>
      </c>
      <c r="E62" t="s">
        <v>1900</v>
      </c>
      <c r="F62" t="s">
        <v>287</v>
      </c>
      <c r="G62">
        <v>4896</v>
      </c>
      <c r="H62">
        <v>2616</v>
      </c>
      <c r="I62">
        <v>22.288038820000001</v>
      </c>
      <c r="J62">
        <v>-99.961146720000002</v>
      </c>
      <c r="K62">
        <v>226.5</v>
      </c>
      <c r="L62" t="s">
        <v>1902</v>
      </c>
      <c r="M62" t="s">
        <v>1914</v>
      </c>
      <c r="N62">
        <v>14764723440</v>
      </c>
      <c r="O62" t="s">
        <v>1901</v>
      </c>
      <c r="P62" t="s">
        <v>292</v>
      </c>
      <c r="Q62" t="s">
        <v>1895</v>
      </c>
      <c r="R62" t="s">
        <v>1862</v>
      </c>
      <c r="S62" t="s">
        <v>1902</v>
      </c>
      <c r="T62" t="s">
        <v>1904</v>
      </c>
      <c r="U62" t="s">
        <v>1897</v>
      </c>
      <c r="V62">
        <v>6815</v>
      </c>
      <c r="W62" s="274">
        <v>45702.66611111111</v>
      </c>
      <c r="X62" s="325" t="s">
        <v>2304</v>
      </c>
    </row>
    <row r="63" spans="1:24">
      <c r="A63">
        <v>62</v>
      </c>
      <c r="B63" t="s">
        <v>1844</v>
      </c>
      <c r="C63" s="274">
        <v>45702.631944444445</v>
      </c>
      <c r="D63" t="s">
        <v>1891</v>
      </c>
      <c r="E63" t="s">
        <v>1900</v>
      </c>
      <c r="F63" t="s">
        <v>287</v>
      </c>
      <c r="G63">
        <v>4896</v>
      </c>
      <c r="H63">
        <v>2616</v>
      </c>
      <c r="I63">
        <v>22.277285330000002</v>
      </c>
      <c r="J63">
        <v>-99.899911399999993</v>
      </c>
      <c r="K63">
        <v>230.44</v>
      </c>
      <c r="L63" t="s">
        <v>1902</v>
      </c>
      <c r="M63" t="s">
        <v>1914</v>
      </c>
      <c r="N63">
        <v>14764723440</v>
      </c>
      <c r="O63" t="s">
        <v>1901</v>
      </c>
      <c r="P63" t="s">
        <v>292</v>
      </c>
      <c r="Q63" t="s">
        <v>1895</v>
      </c>
      <c r="R63" t="s">
        <v>1862</v>
      </c>
      <c r="S63" t="s">
        <v>1902</v>
      </c>
      <c r="T63" t="s">
        <v>1904</v>
      </c>
      <c r="U63" t="s">
        <v>1897</v>
      </c>
      <c r="V63">
        <v>6815</v>
      </c>
      <c r="W63" s="274">
        <v>45702.66611111111</v>
      </c>
      <c r="X63" s="325" t="s">
        <v>1915</v>
      </c>
    </row>
    <row r="64" spans="1:24">
      <c r="A64">
        <v>63</v>
      </c>
      <c r="B64" t="s">
        <v>1822</v>
      </c>
      <c r="C64" s="274">
        <v>45702.635300925926</v>
      </c>
      <c r="D64" t="s">
        <v>1891</v>
      </c>
      <c r="E64" t="s">
        <v>1900</v>
      </c>
      <c r="F64" t="s">
        <v>287</v>
      </c>
      <c r="G64">
        <v>4896</v>
      </c>
      <c r="H64">
        <v>2617</v>
      </c>
      <c r="I64">
        <v>22.257203830000002</v>
      </c>
      <c r="J64">
        <v>-99.861794889999999</v>
      </c>
      <c r="K64">
        <v>233.43</v>
      </c>
      <c r="L64" t="s">
        <v>1902</v>
      </c>
      <c r="M64" t="s">
        <v>1909</v>
      </c>
      <c r="N64">
        <v>14764723440</v>
      </c>
      <c r="O64" t="s">
        <v>1901</v>
      </c>
      <c r="P64" t="s">
        <v>292</v>
      </c>
      <c r="Q64" t="s">
        <v>1895</v>
      </c>
      <c r="R64" t="s">
        <v>1862</v>
      </c>
      <c r="S64" t="s">
        <v>1902</v>
      </c>
      <c r="T64" t="s">
        <v>1904</v>
      </c>
      <c r="U64" t="s">
        <v>1897</v>
      </c>
      <c r="V64">
        <v>6815</v>
      </c>
      <c r="W64" s="274">
        <v>45702.66611111111</v>
      </c>
      <c r="X64" s="325" t="s">
        <v>1911</v>
      </c>
    </row>
    <row r="65" spans="1:24">
      <c r="A65">
        <v>64</v>
      </c>
      <c r="B65" t="s">
        <v>1844</v>
      </c>
      <c r="C65" s="274">
        <v>45702.652777777781</v>
      </c>
      <c r="D65" t="s">
        <v>1891</v>
      </c>
      <c r="E65" t="s">
        <v>1900</v>
      </c>
      <c r="F65" t="s">
        <v>287</v>
      </c>
      <c r="G65">
        <v>4896</v>
      </c>
      <c r="H65">
        <v>2617</v>
      </c>
      <c r="I65">
        <v>22.149366329999999</v>
      </c>
      <c r="J65">
        <v>-99.740071060000005</v>
      </c>
      <c r="K65">
        <v>244.18</v>
      </c>
      <c r="L65" t="s">
        <v>1902</v>
      </c>
      <c r="M65" t="s">
        <v>1909</v>
      </c>
      <c r="N65">
        <v>14764723440</v>
      </c>
      <c r="O65" t="s">
        <v>1901</v>
      </c>
      <c r="P65" t="s">
        <v>292</v>
      </c>
      <c r="Q65" t="s">
        <v>1895</v>
      </c>
      <c r="R65" t="s">
        <v>1862</v>
      </c>
      <c r="S65" t="s">
        <v>1902</v>
      </c>
      <c r="T65" t="s">
        <v>1904</v>
      </c>
      <c r="U65" t="s">
        <v>1897</v>
      </c>
      <c r="V65">
        <v>6815</v>
      </c>
      <c r="W65" s="274">
        <v>45702.66611111111</v>
      </c>
      <c r="X65" s="325" t="s">
        <v>1910</v>
      </c>
    </row>
    <row r="66" spans="1:24">
      <c r="A66">
        <v>65</v>
      </c>
      <c r="B66" t="s">
        <v>1822</v>
      </c>
      <c r="C66" s="274">
        <v>45702.655775462961</v>
      </c>
      <c r="D66" t="s">
        <v>1891</v>
      </c>
      <c r="E66" t="s">
        <v>1900</v>
      </c>
      <c r="F66" t="s">
        <v>287</v>
      </c>
      <c r="G66">
        <v>4896</v>
      </c>
      <c r="H66">
        <v>2619</v>
      </c>
      <c r="I66">
        <v>22.105683160000002</v>
      </c>
      <c r="J66">
        <v>-99.714933729999998</v>
      </c>
      <c r="K66">
        <v>247.6</v>
      </c>
      <c r="L66" t="s">
        <v>1902</v>
      </c>
      <c r="M66" t="s">
        <v>1903</v>
      </c>
      <c r="N66">
        <v>14764723440</v>
      </c>
      <c r="O66" t="s">
        <v>1901</v>
      </c>
      <c r="P66" t="s">
        <v>292</v>
      </c>
      <c r="Q66" t="s">
        <v>1895</v>
      </c>
      <c r="R66" t="s">
        <v>1862</v>
      </c>
      <c r="S66" t="s">
        <v>1902</v>
      </c>
      <c r="T66" t="s">
        <v>1904</v>
      </c>
      <c r="U66" t="s">
        <v>1897</v>
      </c>
      <c r="V66">
        <v>6815</v>
      </c>
      <c r="W66" s="274">
        <v>45702.66611111111</v>
      </c>
      <c r="X66" t="s">
        <v>2305</v>
      </c>
    </row>
    <row r="67" spans="1:24">
      <c r="A67">
        <v>66</v>
      </c>
      <c r="B67" t="s">
        <v>1844</v>
      </c>
      <c r="C67" s="274">
        <v>45702.661828703705</v>
      </c>
      <c r="D67" t="s">
        <v>1823</v>
      </c>
      <c r="E67" t="s">
        <v>53</v>
      </c>
      <c r="F67" t="s">
        <v>1951</v>
      </c>
      <c r="G67">
        <v>8702</v>
      </c>
      <c r="H67">
        <v>8255</v>
      </c>
      <c r="I67">
        <v>51.047542999999997</v>
      </c>
      <c r="J67">
        <v>-114.01909000000001</v>
      </c>
      <c r="K67">
        <v>1.35</v>
      </c>
      <c r="L67" t="s">
        <v>2047</v>
      </c>
      <c r="M67" t="s">
        <v>2306</v>
      </c>
      <c r="N67">
        <v>14749636565</v>
      </c>
      <c r="O67" t="s">
        <v>2307</v>
      </c>
      <c r="P67" t="s">
        <v>292</v>
      </c>
      <c r="Q67" t="s">
        <v>2000</v>
      </c>
      <c r="R67" t="s">
        <v>1829</v>
      </c>
      <c r="S67" t="s">
        <v>2001</v>
      </c>
      <c r="T67" t="s">
        <v>2002</v>
      </c>
      <c r="U67" t="s">
        <v>1832</v>
      </c>
      <c r="V67">
        <v>6223</v>
      </c>
      <c r="W67" s="274">
        <v>45702.66611111111</v>
      </c>
      <c r="X67" t="s">
        <v>2308</v>
      </c>
    </row>
    <row r="68" spans="1:24">
      <c r="A68">
        <v>67</v>
      </c>
      <c r="B68" t="s">
        <v>1822</v>
      </c>
      <c r="C68" s="274">
        <v>45702.661423611113</v>
      </c>
      <c r="D68" t="s">
        <v>1823</v>
      </c>
      <c r="E68" t="s">
        <v>53</v>
      </c>
      <c r="F68" t="s">
        <v>1951</v>
      </c>
      <c r="G68">
        <v>8702</v>
      </c>
      <c r="H68">
        <v>8255</v>
      </c>
      <c r="I68">
        <v>51.045475000000003</v>
      </c>
      <c r="J68">
        <v>-114.01886</v>
      </c>
      <c r="K68">
        <v>1.2</v>
      </c>
      <c r="L68" t="s">
        <v>2047</v>
      </c>
      <c r="M68" t="s">
        <v>2306</v>
      </c>
      <c r="N68">
        <v>14749636565</v>
      </c>
      <c r="O68" t="s">
        <v>2307</v>
      </c>
      <c r="P68" t="s">
        <v>292</v>
      </c>
      <c r="Q68" t="s">
        <v>2000</v>
      </c>
      <c r="R68" t="s">
        <v>1829</v>
      </c>
      <c r="S68" t="s">
        <v>2001</v>
      </c>
      <c r="T68" t="s">
        <v>2002</v>
      </c>
      <c r="U68" t="s">
        <v>1832</v>
      </c>
      <c r="V68">
        <v>6223</v>
      </c>
      <c r="W68" s="274">
        <v>45702.66611111111</v>
      </c>
      <c r="X68" s="325" t="s">
        <v>2309</v>
      </c>
    </row>
    <row r="69" spans="1:24">
      <c r="A69">
        <v>68</v>
      </c>
      <c r="B69" t="s">
        <v>1844</v>
      </c>
      <c r="C69" s="274">
        <v>45702.659722222219</v>
      </c>
      <c r="D69" t="s">
        <v>1891</v>
      </c>
      <c r="E69" t="s">
        <v>1900</v>
      </c>
      <c r="F69" t="s">
        <v>287</v>
      </c>
      <c r="G69">
        <v>4896</v>
      </c>
      <c r="H69">
        <v>2619</v>
      </c>
      <c r="I69">
        <v>22.048855159999999</v>
      </c>
      <c r="J69">
        <v>-99.683734729999998</v>
      </c>
      <c r="K69">
        <v>252</v>
      </c>
      <c r="L69" t="s">
        <v>1902</v>
      </c>
      <c r="M69" t="s">
        <v>1903</v>
      </c>
      <c r="N69">
        <v>14764723440</v>
      </c>
      <c r="O69" t="s">
        <v>1901</v>
      </c>
      <c r="P69" t="s">
        <v>292</v>
      </c>
      <c r="Q69" t="s">
        <v>1895</v>
      </c>
      <c r="R69" t="s">
        <v>1862</v>
      </c>
      <c r="S69" t="s">
        <v>1902</v>
      </c>
      <c r="T69" t="s">
        <v>1904</v>
      </c>
      <c r="U69" t="s">
        <v>1897</v>
      </c>
      <c r="V69">
        <v>6815</v>
      </c>
      <c r="W69" s="274">
        <v>45702.66611111111</v>
      </c>
      <c r="X69" t="s">
        <v>1907</v>
      </c>
    </row>
    <row r="70" spans="1:24">
      <c r="A70">
        <v>69</v>
      </c>
      <c r="B70" t="s">
        <v>1844</v>
      </c>
      <c r="C70" s="274">
        <v>45702.634328703702</v>
      </c>
      <c r="D70" t="s">
        <v>1891</v>
      </c>
      <c r="E70" t="s">
        <v>1900</v>
      </c>
      <c r="F70" t="s">
        <v>287</v>
      </c>
      <c r="G70">
        <v>4897</v>
      </c>
      <c r="H70">
        <v>2616</v>
      </c>
      <c r="I70">
        <v>22.261069330000002</v>
      </c>
      <c r="J70">
        <v>-99.866633059999998</v>
      </c>
      <c r="K70">
        <v>233.01</v>
      </c>
      <c r="L70" t="s">
        <v>1902</v>
      </c>
      <c r="M70" t="s">
        <v>1914</v>
      </c>
      <c r="N70">
        <v>14764723440</v>
      </c>
      <c r="O70" t="s">
        <v>1901</v>
      </c>
      <c r="P70" t="s">
        <v>292</v>
      </c>
      <c r="Q70" t="s">
        <v>1895</v>
      </c>
      <c r="R70" t="s">
        <v>1862</v>
      </c>
      <c r="S70" t="s">
        <v>1902</v>
      </c>
      <c r="T70" t="s">
        <v>1904</v>
      </c>
      <c r="U70" t="s">
        <v>1897</v>
      </c>
      <c r="V70">
        <v>6815</v>
      </c>
      <c r="W70" s="274">
        <v>45702.66611111111</v>
      </c>
      <c r="X70" t="s">
        <v>2310</v>
      </c>
    </row>
    <row r="71" spans="1:24">
      <c r="A71">
        <v>70</v>
      </c>
      <c r="B71" t="s">
        <v>1822</v>
      </c>
      <c r="C71" s="274">
        <v>45702.635312500002</v>
      </c>
      <c r="D71" t="s">
        <v>1891</v>
      </c>
      <c r="E71" t="s">
        <v>1900</v>
      </c>
      <c r="F71" t="s">
        <v>287</v>
      </c>
      <c r="G71">
        <v>4897</v>
      </c>
      <c r="H71">
        <v>2617</v>
      </c>
      <c r="I71">
        <v>22.256981329999999</v>
      </c>
      <c r="J71">
        <v>-99.861554720000001</v>
      </c>
      <c r="K71">
        <v>233.45</v>
      </c>
      <c r="L71" t="s">
        <v>1902</v>
      </c>
      <c r="M71" t="s">
        <v>1909</v>
      </c>
      <c r="N71">
        <v>14764723440</v>
      </c>
      <c r="O71" t="s">
        <v>1901</v>
      </c>
      <c r="P71" t="s">
        <v>292</v>
      </c>
      <c r="Q71" t="s">
        <v>1895</v>
      </c>
      <c r="R71" t="s">
        <v>1862</v>
      </c>
      <c r="S71" t="s">
        <v>1902</v>
      </c>
      <c r="T71" t="s">
        <v>1904</v>
      </c>
      <c r="U71" t="s">
        <v>1897</v>
      </c>
      <c r="V71">
        <v>6815</v>
      </c>
      <c r="W71" s="274">
        <v>45702.66611111111</v>
      </c>
      <c r="X71" t="s">
        <v>2311</v>
      </c>
    </row>
    <row r="72" spans="1:24">
      <c r="A72">
        <v>71</v>
      </c>
      <c r="B72" t="s">
        <v>1822</v>
      </c>
      <c r="C72" s="274">
        <v>45702.657534722224</v>
      </c>
      <c r="D72" t="s">
        <v>1823</v>
      </c>
      <c r="E72" t="s">
        <v>1824</v>
      </c>
      <c r="F72" t="s">
        <v>287</v>
      </c>
      <c r="G72">
        <v>4719</v>
      </c>
      <c r="H72">
        <v>9640</v>
      </c>
      <c r="I72">
        <v>50.529373</v>
      </c>
      <c r="J72">
        <v>-121.28445000000001</v>
      </c>
      <c r="K72" t="s">
        <v>333</v>
      </c>
      <c r="L72" t="s">
        <v>1974</v>
      </c>
      <c r="M72" t="s">
        <v>2298</v>
      </c>
      <c r="N72">
        <v>14718061177</v>
      </c>
      <c r="O72" t="s">
        <v>2299</v>
      </c>
      <c r="P72" t="s">
        <v>292</v>
      </c>
      <c r="Q72" t="s">
        <v>333</v>
      </c>
      <c r="R72" t="s">
        <v>333</v>
      </c>
      <c r="S72" t="s">
        <v>333</v>
      </c>
      <c r="T72" t="s">
        <v>1928</v>
      </c>
      <c r="U72" t="s">
        <v>1832</v>
      </c>
      <c r="V72" t="s">
        <v>333</v>
      </c>
      <c r="W72" s="274">
        <v>45702.66611111111</v>
      </c>
      <c r="X72" s="325" t="s">
        <v>2312</v>
      </c>
    </row>
    <row r="73" spans="1:24">
      <c r="A73">
        <v>72</v>
      </c>
      <c r="B73" t="s">
        <v>1844</v>
      </c>
      <c r="C73" s="274">
        <v>45702.590277777781</v>
      </c>
      <c r="D73" t="s">
        <v>1891</v>
      </c>
      <c r="E73" t="s">
        <v>1900</v>
      </c>
      <c r="F73" t="s">
        <v>287</v>
      </c>
      <c r="G73">
        <v>4896</v>
      </c>
      <c r="H73">
        <v>2611</v>
      </c>
      <c r="I73">
        <v>22.478846659999999</v>
      </c>
      <c r="J73">
        <v>-100.35194822</v>
      </c>
      <c r="K73">
        <v>197.44</v>
      </c>
      <c r="L73" t="s">
        <v>1902</v>
      </c>
      <c r="M73" t="s">
        <v>2313</v>
      </c>
      <c r="N73">
        <v>14764723440</v>
      </c>
      <c r="O73" t="s">
        <v>1901</v>
      </c>
      <c r="P73" t="s">
        <v>292</v>
      </c>
      <c r="Q73" t="s">
        <v>1895</v>
      </c>
      <c r="R73" t="s">
        <v>1862</v>
      </c>
      <c r="S73" t="s">
        <v>1902</v>
      </c>
      <c r="T73" t="s">
        <v>1904</v>
      </c>
      <c r="U73" t="s">
        <v>1897</v>
      </c>
      <c r="V73">
        <v>6815</v>
      </c>
      <c r="W73" s="274">
        <v>45702.66611111111</v>
      </c>
      <c r="X73" s="325" t="s">
        <v>2314</v>
      </c>
    </row>
    <row r="74" spans="1:24">
      <c r="A74">
        <v>73</v>
      </c>
      <c r="B74" t="s">
        <v>1822</v>
      </c>
      <c r="C74" s="274">
        <v>45702.597118055557</v>
      </c>
      <c r="D74" t="s">
        <v>1891</v>
      </c>
      <c r="E74" t="s">
        <v>1900</v>
      </c>
      <c r="F74" t="s">
        <v>287</v>
      </c>
      <c r="G74">
        <v>4896</v>
      </c>
      <c r="H74">
        <v>2612</v>
      </c>
      <c r="I74">
        <v>22.427330829999999</v>
      </c>
      <c r="J74">
        <v>-100.29600006</v>
      </c>
      <c r="K74">
        <v>202.49</v>
      </c>
      <c r="L74" t="s">
        <v>1902</v>
      </c>
      <c r="M74" t="s">
        <v>2315</v>
      </c>
      <c r="N74">
        <v>14764723440</v>
      </c>
      <c r="O74" t="s">
        <v>1901</v>
      </c>
      <c r="P74" t="s">
        <v>292</v>
      </c>
      <c r="Q74" t="s">
        <v>1895</v>
      </c>
      <c r="R74" t="s">
        <v>1862</v>
      </c>
      <c r="S74" t="s">
        <v>1902</v>
      </c>
      <c r="T74" t="s">
        <v>1904</v>
      </c>
      <c r="U74" t="s">
        <v>1897</v>
      </c>
      <c r="V74">
        <v>6815</v>
      </c>
      <c r="W74" s="274">
        <v>45702.66611111111</v>
      </c>
      <c r="X74" t="s">
        <v>2316</v>
      </c>
    </row>
    <row r="75" spans="1:24">
      <c r="A75">
        <v>74</v>
      </c>
      <c r="B75" t="s">
        <v>1844</v>
      </c>
      <c r="C75" s="274">
        <v>45702.614189814813</v>
      </c>
      <c r="D75" t="s">
        <v>1891</v>
      </c>
      <c r="E75" t="s">
        <v>1900</v>
      </c>
      <c r="F75" t="s">
        <v>287</v>
      </c>
      <c r="G75">
        <v>4896</v>
      </c>
      <c r="H75">
        <v>2612</v>
      </c>
      <c r="I75">
        <v>22.35005499</v>
      </c>
      <c r="J75">
        <v>-100.18214739</v>
      </c>
      <c r="K75">
        <v>211.53</v>
      </c>
      <c r="L75" t="s">
        <v>1902</v>
      </c>
      <c r="M75" t="s">
        <v>2315</v>
      </c>
      <c r="N75">
        <v>14764723440</v>
      </c>
      <c r="O75" t="s">
        <v>1901</v>
      </c>
      <c r="P75" t="s">
        <v>292</v>
      </c>
      <c r="Q75" t="s">
        <v>1895</v>
      </c>
      <c r="R75" t="s">
        <v>1862</v>
      </c>
      <c r="S75" t="s">
        <v>1902</v>
      </c>
      <c r="T75" t="s">
        <v>1904</v>
      </c>
      <c r="U75" t="s">
        <v>1897</v>
      </c>
      <c r="V75">
        <v>6815</v>
      </c>
      <c r="W75" s="274">
        <v>45702.66611111111</v>
      </c>
      <c r="X75" s="325" t="s">
        <v>2317</v>
      </c>
    </row>
    <row r="76" spans="1:24">
      <c r="A76">
        <v>75</v>
      </c>
      <c r="B76" t="s">
        <v>1822</v>
      </c>
      <c r="C76" s="274">
        <v>45702.615868055553</v>
      </c>
      <c r="D76" t="s">
        <v>1891</v>
      </c>
      <c r="E76" t="s">
        <v>1900</v>
      </c>
      <c r="F76" t="s">
        <v>287</v>
      </c>
      <c r="G76">
        <v>4896</v>
      </c>
      <c r="H76">
        <v>2614</v>
      </c>
      <c r="I76">
        <v>22.334024660000001</v>
      </c>
      <c r="J76">
        <v>-100.15781689000001</v>
      </c>
      <c r="K76">
        <v>213.45</v>
      </c>
      <c r="L76" t="s">
        <v>1902</v>
      </c>
      <c r="M76" t="s">
        <v>2318</v>
      </c>
      <c r="N76">
        <v>14764723440</v>
      </c>
      <c r="O76" t="s">
        <v>1901</v>
      </c>
      <c r="P76" t="s">
        <v>292</v>
      </c>
      <c r="Q76" t="s">
        <v>1895</v>
      </c>
      <c r="R76" t="s">
        <v>1862</v>
      </c>
      <c r="S76" t="s">
        <v>1902</v>
      </c>
      <c r="T76" t="s">
        <v>1904</v>
      </c>
      <c r="U76" t="s">
        <v>1897</v>
      </c>
      <c r="V76">
        <v>6815</v>
      </c>
      <c r="W76" s="274">
        <v>45702.66611111111</v>
      </c>
      <c r="X76" s="325" t="s">
        <v>2319</v>
      </c>
    </row>
    <row r="77" spans="1:24">
      <c r="A77">
        <v>76</v>
      </c>
      <c r="B77" t="s">
        <v>1844</v>
      </c>
      <c r="C77" s="274">
        <v>45702.617349537039</v>
      </c>
      <c r="D77" t="s">
        <v>1891</v>
      </c>
      <c r="E77" t="s">
        <v>1900</v>
      </c>
      <c r="F77" t="s">
        <v>287</v>
      </c>
      <c r="G77">
        <v>4896</v>
      </c>
      <c r="H77">
        <v>2614</v>
      </c>
      <c r="I77">
        <v>22.324469659999998</v>
      </c>
      <c r="J77">
        <v>-100.13616722</v>
      </c>
      <c r="K77">
        <v>214.94</v>
      </c>
      <c r="L77" t="s">
        <v>1902</v>
      </c>
      <c r="M77" t="s">
        <v>2318</v>
      </c>
      <c r="N77">
        <v>14764723440</v>
      </c>
      <c r="O77" t="s">
        <v>1901</v>
      </c>
      <c r="P77" t="s">
        <v>292</v>
      </c>
      <c r="Q77" t="s">
        <v>1895</v>
      </c>
      <c r="R77" t="s">
        <v>1862</v>
      </c>
      <c r="S77" t="s">
        <v>1902</v>
      </c>
      <c r="T77" t="s">
        <v>1904</v>
      </c>
      <c r="U77" t="s">
        <v>1897</v>
      </c>
      <c r="V77">
        <v>6815</v>
      </c>
      <c r="W77" s="274">
        <v>45702.66611111111</v>
      </c>
      <c r="X77" s="325" t="s">
        <v>2320</v>
      </c>
    </row>
    <row r="78" spans="1:24">
      <c r="A78">
        <v>77</v>
      </c>
      <c r="B78" t="s">
        <v>1844</v>
      </c>
      <c r="C78" s="274">
        <v>45702.662974537037</v>
      </c>
      <c r="D78" t="s">
        <v>1891</v>
      </c>
      <c r="E78" t="s">
        <v>53</v>
      </c>
      <c r="F78" t="s">
        <v>287</v>
      </c>
      <c r="G78">
        <v>4738</v>
      </c>
      <c r="H78">
        <v>4735</v>
      </c>
      <c r="I78">
        <v>38.369595199999999</v>
      </c>
      <c r="J78">
        <v>-94.584261769999998</v>
      </c>
      <c r="K78">
        <v>61.04</v>
      </c>
      <c r="L78" t="s">
        <v>1966</v>
      </c>
      <c r="M78" t="s">
        <v>1967</v>
      </c>
      <c r="N78">
        <v>14634724304</v>
      </c>
      <c r="O78" t="s">
        <v>1965</v>
      </c>
      <c r="P78" t="s">
        <v>292</v>
      </c>
      <c r="Q78" t="s">
        <v>1968</v>
      </c>
      <c r="R78" t="s">
        <v>1969</v>
      </c>
      <c r="S78" t="s">
        <v>1966</v>
      </c>
      <c r="T78" t="s">
        <v>1970</v>
      </c>
      <c r="U78" t="s">
        <v>442</v>
      </c>
      <c r="V78">
        <v>6706</v>
      </c>
      <c r="W78" s="274">
        <v>45702.66609953704</v>
      </c>
      <c r="X78" s="325" t="s">
        <v>1972</v>
      </c>
    </row>
    <row r="79" spans="1:24">
      <c r="A79">
        <v>78</v>
      </c>
      <c r="B79" t="s">
        <v>1822</v>
      </c>
      <c r="C79" s="274">
        <v>45702.659722222219</v>
      </c>
      <c r="D79" t="s">
        <v>1891</v>
      </c>
      <c r="E79" t="s">
        <v>1824</v>
      </c>
      <c r="F79" t="s">
        <v>287</v>
      </c>
      <c r="G79">
        <v>4751</v>
      </c>
      <c r="H79">
        <v>9638</v>
      </c>
      <c r="I79">
        <v>50.616628939999998</v>
      </c>
      <c r="J79">
        <v>-121.30483323</v>
      </c>
      <c r="K79">
        <v>56.29</v>
      </c>
      <c r="L79" t="s">
        <v>1974</v>
      </c>
      <c r="M79" t="s">
        <v>2039</v>
      </c>
      <c r="N79">
        <v>14705738285</v>
      </c>
      <c r="O79" t="s">
        <v>2038</v>
      </c>
      <c r="P79" t="s">
        <v>292</v>
      </c>
      <c r="Q79" t="s">
        <v>1926</v>
      </c>
      <c r="R79" t="s">
        <v>1829</v>
      </c>
      <c r="S79" t="s">
        <v>1939</v>
      </c>
      <c r="T79" t="s">
        <v>1928</v>
      </c>
      <c r="U79" t="s">
        <v>1832</v>
      </c>
      <c r="V79">
        <v>6006</v>
      </c>
      <c r="W79" s="274">
        <v>45702.66609953704</v>
      </c>
      <c r="X79" t="s">
        <v>2321</v>
      </c>
    </row>
    <row r="80" spans="1:24">
      <c r="A80">
        <v>79</v>
      </c>
      <c r="B80" t="s">
        <v>1822</v>
      </c>
      <c r="C80" s="274">
        <v>45702.65625</v>
      </c>
      <c r="D80" t="s">
        <v>1891</v>
      </c>
      <c r="E80" t="s">
        <v>1824</v>
      </c>
      <c r="F80" t="s">
        <v>287</v>
      </c>
      <c r="G80">
        <v>4762</v>
      </c>
      <c r="H80">
        <v>318</v>
      </c>
      <c r="I80">
        <v>43.067363829999998</v>
      </c>
      <c r="J80">
        <v>-92.309078119999995</v>
      </c>
      <c r="K80">
        <v>68.91</v>
      </c>
      <c r="L80" t="s">
        <v>2322</v>
      </c>
      <c r="M80" t="s">
        <v>2323</v>
      </c>
      <c r="N80">
        <v>14722178614</v>
      </c>
      <c r="O80" t="s">
        <v>2324</v>
      </c>
      <c r="P80" t="s">
        <v>292</v>
      </c>
      <c r="Q80" t="s">
        <v>1886</v>
      </c>
      <c r="R80" t="s">
        <v>1839</v>
      </c>
      <c r="S80" t="s">
        <v>2010</v>
      </c>
      <c r="T80" t="s">
        <v>2154</v>
      </c>
      <c r="U80" t="s">
        <v>442</v>
      </c>
      <c r="V80">
        <v>155</v>
      </c>
      <c r="W80" s="274">
        <v>45702.66609953704</v>
      </c>
      <c r="X80" s="325" t="s">
        <v>2325</v>
      </c>
    </row>
    <row r="81" spans="1:24">
      <c r="A81">
        <v>80</v>
      </c>
      <c r="B81" t="s">
        <v>1844</v>
      </c>
      <c r="C81" s="274">
        <v>45702.659722222219</v>
      </c>
      <c r="D81" t="s">
        <v>1891</v>
      </c>
      <c r="E81" t="s">
        <v>1824</v>
      </c>
      <c r="F81" t="s">
        <v>287</v>
      </c>
      <c r="G81">
        <v>4762</v>
      </c>
      <c r="H81">
        <v>318</v>
      </c>
      <c r="I81">
        <v>43.050376329999999</v>
      </c>
      <c r="J81">
        <v>-92.355390119999996</v>
      </c>
      <c r="K81">
        <v>71.55</v>
      </c>
      <c r="L81" t="s">
        <v>2322</v>
      </c>
      <c r="M81" t="s">
        <v>2323</v>
      </c>
      <c r="N81">
        <v>14722178614</v>
      </c>
      <c r="O81" t="s">
        <v>2324</v>
      </c>
      <c r="P81" t="s">
        <v>292</v>
      </c>
      <c r="Q81" t="s">
        <v>1886</v>
      </c>
      <c r="R81" t="s">
        <v>1839</v>
      </c>
      <c r="S81" t="s">
        <v>2010</v>
      </c>
      <c r="T81" t="s">
        <v>2154</v>
      </c>
      <c r="U81" t="s">
        <v>442</v>
      </c>
      <c r="V81">
        <v>155</v>
      </c>
      <c r="W81" s="274">
        <v>45702.66609953704</v>
      </c>
      <c r="X81" s="325" t="s">
        <v>2326</v>
      </c>
    </row>
    <row r="82" spans="1:24">
      <c r="A82">
        <v>81</v>
      </c>
      <c r="B82" t="s">
        <v>1822</v>
      </c>
      <c r="C82" s="274">
        <v>45702.659733796296</v>
      </c>
      <c r="D82" t="s">
        <v>1891</v>
      </c>
      <c r="E82" t="s">
        <v>1824</v>
      </c>
      <c r="F82" t="s">
        <v>287</v>
      </c>
      <c r="G82">
        <v>4665</v>
      </c>
      <c r="H82">
        <v>4303</v>
      </c>
      <c r="I82">
        <v>46.806424300000003</v>
      </c>
      <c r="J82">
        <v>-81.689042700000002</v>
      </c>
      <c r="K82">
        <v>11.36</v>
      </c>
      <c r="L82" t="s">
        <v>1932</v>
      </c>
      <c r="M82" t="s">
        <v>1933</v>
      </c>
      <c r="N82">
        <v>14722144847</v>
      </c>
      <c r="O82" t="s">
        <v>1931</v>
      </c>
      <c r="P82" t="s">
        <v>292</v>
      </c>
      <c r="Q82" t="s">
        <v>1828</v>
      </c>
      <c r="R82" t="s">
        <v>1829</v>
      </c>
      <c r="S82" t="s">
        <v>1869</v>
      </c>
      <c r="T82" t="s">
        <v>1870</v>
      </c>
      <c r="U82" t="s">
        <v>1832</v>
      </c>
      <c r="V82">
        <v>6412</v>
      </c>
      <c r="W82" s="274">
        <v>45702.666087962964</v>
      </c>
      <c r="X82" s="325" t="s">
        <v>1936</v>
      </c>
    </row>
    <row r="83" spans="1:24">
      <c r="A83">
        <v>82</v>
      </c>
      <c r="B83" t="s">
        <v>1822</v>
      </c>
      <c r="C83" s="274">
        <v>45702.659722222219</v>
      </c>
      <c r="D83" t="s">
        <v>1891</v>
      </c>
      <c r="E83" t="s">
        <v>895</v>
      </c>
      <c r="F83" t="s">
        <v>287</v>
      </c>
      <c r="G83">
        <v>4678</v>
      </c>
      <c r="H83">
        <v>7331</v>
      </c>
      <c r="I83">
        <v>49.978054780000001</v>
      </c>
      <c r="J83">
        <v>-110.51709131</v>
      </c>
      <c r="K83">
        <v>137.15</v>
      </c>
      <c r="L83" t="s">
        <v>2104</v>
      </c>
      <c r="M83" t="s">
        <v>2327</v>
      </c>
      <c r="N83">
        <v>14722116626</v>
      </c>
      <c r="O83" t="s">
        <v>2328</v>
      </c>
      <c r="P83" t="s">
        <v>292</v>
      </c>
      <c r="Q83" t="s">
        <v>1851</v>
      </c>
      <c r="R83" t="s">
        <v>1829</v>
      </c>
      <c r="S83" t="s">
        <v>2100</v>
      </c>
      <c r="T83" t="s">
        <v>2002</v>
      </c>
      <c r="U83" t="s">
        <v>1832</v>
      </c>
      <c r="V83">
        <v>6208</v>
      </c>
      <c r="W83" s="274">
        <v>45702.666087962964</v>
      </c>
      <c r="X83" s="325" t="s">
        <v>2329</v>
      </c>
    </row>
    <row r="84" spans="1:24">
      <c r="A84">
        <v>83</v>
      </c>
      <c r="B84" t="s">
        <v>1822</v>
      </c>
      <c r="C84" s="274">
        <v>45702.65892361111</v>
      </c>
      <c r="D84" t="s">
        <v>1891</v>
      </c>
      <c r="E84" t="s">
        <v>895</v>
      </c>
      <c r="F84" t="s">
        <v>79</v>
      </c>
      <c r="G84">
        <v>4849</v>
      </c>
      <c r="H84">
        <v>9016</v>
      </c>
      <c r="I84">
        <v>49.391959620000002</v>
      </c>
      <c r="J84">
        <v>-115.01543627</v>
      </c>
      <c r="K84">
        <v>44.52</v>
      </c>
      <c r="L84" t="s">
        <v>1924</v>
      </c>
      <c r="M84" t="s">
        <v>1925</v>
      </c>
      <c r="N84">
        <v>14748923106</v>
      </c>
      <c r="O84" t="s">
        <v>1923</v>
      </c>
      <c r="P84" t="s">
        <v>292</v>
      </c>
      <c r="Q84" t="s">
        <v>1926</v>
      </c>
      <c r="R84" t="s">
        <v>1829</v>
      </c>
      <c r="S84" t="s">
        <v>1927</v>
      </c>
      <c r="T84" t="s">
        <v>1928</v>
      </c>
      <c r="U84" t="s">
        <v>1832</v>
      </c>
      <c r="V84">
        <v>6111</v>
      </c>
      <c r="W84" s="274">
        <v>45702.666076388887</v>
      </c>
      <c r="X84" s="325" t="s">
        <v>1930</v>
      </c>
    </row>
    <row r="85" spans="1:24">
      <c r="A85">
        <v>84</v>
      </c>
      <c r="B85" t="s">
        <v>1844</v>
      </c>
      <c r="C85" s="274">
        <v>45702.65625</v>
      </c>
      <c r="D85" t="s">
        <v>1891</v>
      </c>
      <c r="E85" t="s">
        <v>895</v>
      </c>
      <c r="F85" t="s">
        <v>79</v>
      </c>
      <c r="G85">
        <v>5015</v>
      </c>
      <c r="H85">
        <v>9522</v>
      </c>
      <c r="I85">
        <v>51.30039687</v>
      </c>
      <c r="J85">
        <v>-117.4609854</v>
      </c>
      <c r="K85" t="s">
        <v>333</v>
      </c>
      <c r="L85" t="s">
        <v>333</v>
      </c>
      <c r="M85" t="s">
        <v>1956</v>
      </c>
      <c r="N85">
        <v>14722086417</v>
      </c>
      <c r="O85" t="s">
        <v>1955</v>
      </c>
      <c r="P85" t="s">
        <v>292</v>
      </c>
      <c r="Q85" t="s">
        <v>333</v>
      </c>
      <c r="R85" t="s">
        <v>333</v>
      </c>
      <c r="S85" t="s">
        <v>333</v>
      </c>
      <c r="T85" t="s">
        <v>333</v>
      </c>
      <c r="U85" t="s">
        <v>333</v>
      </c>
      <c r="V85" t="s">
        <v>333</v>
      </c>
      <c r="W85" s="274">
        <v>45702.666076388887</v>
      </c>
      <c r="X85" s="325" t="s">
        <v>1959</v>
      </c>
    </row>
    <row r="86" spans="1:24">
      <c r="A86">
        <v>85</v>
      </c>
      <c r="B86" t="s">
        <v>1844</v>
      </c>
      <c r="C86" s="274">
        <v>45702.659733796296</v>
      </c>
      <c r="D86" t="s">
        <v>1891</v>
      </c>
      <c r="E86" t="s">
        <v>1824</v>
      </c>
      <c r="F86" t="s">
        <v>79</v>
      </c>
      <c r="G86">
        <v>5022</v>
      </c>
      <c r="H86">
        <v>9520</v>
      </c>
      <c r="I86">
        <v>51.351485160000003</v>
      </c>
      <c r="J86">
        <v>-117.44433673</v>
      </c>
      <c r="K86">
        <v>78.45</v>
      </c>
      <c r="L86" t="s">
        <v>1939</v>
      </c>
      <c r="M86" t="s">
        <v>1940</v>
      </c>
      <c r="N86">
        <v>14722137766</v>
      </c>
      <c r="O86" t="s">
        <v>1938</v>
      </c>
      <c r="P86" t="s">
        <v>292</v>
      </c>
      <c r="Q86" t="s">
        <v>1926</v>
      </c>
      <c r="R86" t="s">
        <v>1829</v>
      </c>
      <c r="S86" t="s">
        <v>1939</v>
      </c>
      <c r="T86" t="s">
        <v>1928</v>
      </c>
      <c r="U86" t="s">
        <v>1832</v>
      </c>
      <c r="V86">
        <v>6103</v>
      </c>
      <c r="W86" s="274">
        <v>45702.666076388887</v>
      </c>
      <c r="X86" s="325" t="s">
        <v>1943</v>
      </c>
    </row>
    <row r="87" spans="1:24">
      <c r="A87">
        <v>86</v>
      </c>
      <c r="B87" t="s">
        <v>1844</v>
      </c>
      <c r="C87" s="274">
        <v>45702.660671296297</v>
      </c>
      <c r="D87" t="s">
        <v>1823</v>
      </c>
      <c r="E87" t="s">
        <v>53</v>
      </c>
      <c r="F87" t="s">
        <v>1951</v>
      </c>
      <c r="G87">
        <v>9805</v>
      </c>
      <c r="H87">
        <v>9647</v>
      </c>
      <c r="I87">
        <v>50.234543000000002</v>
      </c>
      <c r="J87">
        <v>-121.577805</v>
      </c>
      <c r="K87">
        <v>94.88</v>
      </c>
      <c r="L87" t="s">
        <v>1974</v>
      </c>
      <c r="M87" t="s">
        <v>1975</v>
      </c>
      <c r="N87">
        <v>14749261111</v>
      </c>
      <c r="O87" t="s">
        <v>1973</v>
      </c>
      <c r="P87" t="s">
        <v>292</v>
      </c>
      <c r="Q87" t="s">
        <v>1926</v>
      </c>
      <c r="R87" t="s">
        <v>1829</v>
      </c>
      <c r="S87" t="s">
        <v>1939</v>
      </c>
      <c r="T87" t="s">
        <v>1928</v>
      </c>
      <c r="U87" t="s">
        <v>1832</v>
      </c>
      <c r="V87">
        <v>6006</v>
      </c>
      <c r="W87" s="274">
        <v>45702.666064814817</v>
      </c>
      <c r="X87" s="325" t="s">
        <v>1977</v>
      </c>
    </row>
    <row r="88" spans="1:24">
      <c r="A88">
        <v>87</v>
      </c>
      <c r="B88" t="s">
        <v>1844</v>
      </c>
      <c r="C88" s="274">
        <v>45702.662858796299</v>
      </c>
      <c r="D88" t="s">
        <v>1823</v>
      </c>
      <c r="E88" t="s">
        <v>895</v>
      </c>
      <c r="F88" t="s">
        <v>1951</v>
      </c>
      <c r="G88">
        <v>8803</v>
      </c>
      <c r="H88">
        <v>9027</v>
      </c>
      <c r="I88">
        <v>49.297718000000003</v>
      </c>
      <c r="J88">
        <v>-115.15407</v>
      </c>
      <c r="K88">
        <v>57.18</v>
      </c>
      <c r="L88" t="s">
        <v>1924</v>
      </c>
      <c r="M88" t="s">
        <v>1980</v>
      </c>
      <c r="N88">
        <v>14744980370</v>
      </c>
      <c r="O88" t="s">
        <v>1979</v>
      </c>
      <c r="P88" t="s">
        <v>292</v>
      </c>
      <c r="Q88" t="s">
        <v>1926</v>
      </c>
      <c r="R88" t="s">
        <v>1829</v>
      </c>
      <c r="S88" t="s">
        <v>1927</v>
      </c>
      <c r="T88" t="s">
        <v>1928</v>
      </c>
      <c r="U88" t="s">
        <v>1832</v>
      </c>
      <c r="V88">
        <v>6111</v>
      </c>
      <c r="W88" s="274">
        <v>45702.666064814817</v>
      </c>
      <c r="X88" s="325" t="s">
        <v>1984</v>
      </c>
    </row>
    <row r="89" spans="1:24">
      <c r="A89">
        <v>88</v>
      </c>
      <c r="B89" t="s">
        <v>1844</v>
      </c>
      <c r="C89" s="274">
        <v>45702.659722222219</v>
      </c>
      <c r="D89" t="s">
        <v>1891</v>
      </c>
      <c r="E89" t="s">
        <v>333</v>
      </c>
      <c r="F89" t="s">
        <v>79</v>
      </c>
      <c r="G89">
        <v>4834</v>
      </c>
      <c r="H89">
        <v>8578</v>
      </c>
      <c r="I89">
        <v>53.435173589999998</v>
      </c>
      <c r="J89">
        <v>-113.48303629</v>
      </c>
      <c r="K89">
        <v>91.25</v>
      </c>
      <c r="L89" t="s">
        <v>2054</v>
      </c>
      <c r="M89" t="s">
        <v>2330</v>
      </c>
      <c r="N89" t="s">
        <v>333</v>
      </c>
      <c r="O89" t="s">
        <v>333</v>
      </c>
      <c r="P89" t="s">
        <v>292</v>
      </c>
      <c r="Q89" t="s">
        <v>2000</v>
      </c>
      <c r="R89" t="s">
        <v>1829</v>
      </c>
      <c r="S89" t="s">
        <v>2049</v>
      </c>
      <c r="T89" t="s">
        <v>2002</v>
      </c>
      <c r="U89" t="s">
        <v>1832</v>
      </c>
      <c r="V89">
        <v>6224</v>
      </c>
      <c r="W89" s="274">
        <v>45702.666064814817</v>
      </c>
      <c r="X89" t="s">
        <v>2331</v>
      </c>
    </row>
    <row r="90" spans="1:24">
      <c r="A90">
        <v>89</v>
      </c>
      <c r="B90" t="s">
        <v>1822</v>
      </c>
      <c r="C90" s="274">
        <v>45702.662361111114</v>
      </c>
      <c r="D90" t="s">
        <v>1823</v>
      </c>
      <c r="E90" t="s">
        <v>895</v>
      </c>
      <c r="F90" t="s">
        <v>1951</v>
      </c>
      <c r="G90">
        <v>8803</v>
      </c>
      <c r="H90">
        <v>9027</v>
      </c>
      <c r="I90">
        <v>49.300719999999998</v>
      </c>
      <c r="J90">
        <v>-115.15957</v>
      </c>
      <c r="K90">
        <v>57.58</v>
      </c>
      <c r="L90" t="s">
        <v>1924</v>
      </c>
      <c r="M90" t="s">
        <v>1980</v>
      </c>
      <c r="N90">
        <v>14744980370</v>
      </c>
      <c r="O90" t="s">
        <v>1979</v>
      </c>
      <c r="P90" t="s">
        <v>292</v>
      </c>
      <c r="Q90" t="s">
        <v>1926</v>
      </c>
      <c r="R90" t="s">
        <v>1829</v>
      </c>
      <c r="S90" t="s">
        <v>1927</v>
      </c>
      <c r="T90" t="s">
        <v>1928</v>
      </c>
      <c r="U90" t="s">
        <v>1832</v>
      </c>
      <c r="V90">
        <v>6111</v>
      </c>
      <c r="W90" s="274">
        <v>45702.666064814817</v>
      </c>
      <c r="X90" s="325" t="s">
        <v>1982</v>
      </c>
    </row>
    <row r="91" spans="1:24">
      <c r="A91">
        <v>90</v>
      </c>
      <c r="B91" t="s">
        <v>1822</v>
      </c>
      <c r="C91" s="274">
        <v>45702.659722222219</v>
      </c>
      <c r="D91" t="s">
        <v>1891</v>
      </c>
      <c r="E91" t="s">
        <v>895</v>
      </c>
      <c r="F91" t="s">
        <v>79</v>
      </c>
      <c r="G91">
        <v>4686</v>
      </c>
      <c r="H91">
        <v>4435</v>
      </c>
      <c r="I91">
        <v>48.90952712</v>
      </c>
      <c r="J91">
        <v>-87.752363149999994</v>
      </c>
      <c r="K91">
        <v>32.26</v>
      </c>
      <c r="L91" t="s">
        <v>1961</v>
      </c>
      <c r="M91" t="s">
        <v>1962</v>
      </c>
      <c r="N91">
        <v>14709811861</v>
      </c>
      <c r="O91" t="s">
        <v>1960</v>
      </c>
      <c r="P91" t="s">
        <v>292</v>
      </c>
      <c r="Q91" t="s">
        <v>1828</v>
      </c>
      <c r="R91" t="s">
        <v>1829</v>
      </c>
      <c r="S91" t="s">
        <v>1869</v>
      </c>
      <c r="T91" t="s">
        <v>1870</v>
      </c>
      <c r="U91" t="s">
        <v>1832</v>
      </c>
      <c r="V91">
        <v>6410</v>
      </c>
      <c r="W91" s="274">
        <v>45702.66605324074</v>
      </c>
      <c r="X91" s="325" t="s">
        <v>1964</v>
      </c>
    </row>
    <row r="92" spans="1:24">
      <c r="A92">
        <v>91</v>
      </c>
      <c r="B92" t="s">
        <v>1822</v>
      </c>
      <c r="C92" s="274">
        <v>45702.662106481483</v>
      </c>
      <c r="D92" t="s">
        <v>1823</v>
      </c>
      <c r="E92" t="s">
        <v>333</v>
      </c>
      <c r="F92" t="s">
        <v>1951</v>
      </c>
      <c r="G92">
        <v>8945</v>
      </c>
      <c r="H92">
        <v>9660</v>
      </c>
      <c r="I92">
        <v>49.599204999999998</v>
      </c>
      <c r="J92">
        <v>-121.41425</v>
      </c>
      <c r="K92">
        <v>22.8</v>
      </c>
      <c r="L92" t="s">
        <v>893</v>
      </c>
      <c r="M92" t="s">
        <v>2332</v>
      </c>
      <c r="N92" t="s">
        <v>333</v>
      </c>
      <c r="O92" t="s">
        <v>333</v>
      </c>
      <c r="P92" t="s">
        <v>292</v>
      </c>
      <c r="Q92" t="s">
        <v>1926</v>
      </c>
      <c r="R92" t="s">
        <v>1829</v>
      </c>
      <c r="S92" t="s">
        <v>894</v>
      </c>
      <c r="T92" t="s">
        <v>1928</v>
      </c>
      <c r="U92" t="s">
        <v>1832</v>
      </c>
      <c r="V92">
        <v>6003</v>
      </c>
      <c r="W92" s="274">
        <v>45702.66605324074</v>
      </c>
      <c r="X92" s="325" t="s">
        <v>2333</v>
      </c>
    </row>
    <row r="93" spans="1:24">
      <c r="A93">
        <v>92</v>
      </c>
      <c r="B93" t="s">
        <v>1822</v>
      </c>
      <c r="C93" s="274">
        <v>45702.660879629628</v>
      </c>
      <c r="D93" t="s">
        <v>1891</v>
      </c>
      <c r="E93" t="s">
        <v>1900</v>
      </c>
      <c r="F93" t="s">
        <v>79</v>
      </c>
      <c r="G93">
        <v>4689</v>
      </c>
      <c r="H93">
        <v>117</v>
      </c>
      <c r="I93">
        <v>18.281967359999999</v>
      </c>
      <c r="J93">
        <v>-101.90566071000001</v>
      </c>
      <c r="K93">
        <v>69.040000000000006</v>
      </c>
      <c r="L93" t="s">
        <v>2117</v>
      </c>
      <c r="M93" t="s">
        <v>2118</v>
      </c>
      <c r="N93">
        <v>14718051698</v>
      </c>
      <c r="O93" t="s">
        <v>2116</v>
      </c>
      <c r="P93" t="s">
        <v>292</v>
      </c>
      <c r="Q93" t="s">
        <v>1895</v>
      </c>
      <c r="R93" t="s">
        <v>1862</v>
      </c>
      <c r="S93" t="s">
        <v>2119</v>
      </c>
      <c r="T93" t="s">
        <v>2120</v>
      </c>
      <c r="U93" t="s">
        <v>1897</v>
      </c>
      <c r="V93">
        <v>6829</v>
      </c>
      <c r="W93" s="274">
        <v>45702.66605324074</v>
      </c>
      <c r="X93" s="325" t="s">
        <v>2334</v>
      </c>
    </row>
    <row r="94" spans="1:24">
      <c r="A94">
        <v>93</v>
      </c>
      <c r="B94" t="s">
        <v>1822</v>
      </c>
      <c r="C94" s="274">
        <v>45702.661527777775</v>
      </c>
      <c r="D94" t="s">
        <v>1891</v>
      </c>
      <c r="E94" t="s">
        <v>895</v>
      </c>
      <c r="F94" t="s">
        <v>79</v>
      </c>
      <c r="G94">
        <v>4693</v>
      </c>
      <c r="H94">
        <v>5777</v>
      </c>
      <c r="I94">
        <v>27.304693790000002</v>
      </c>
      <c r="J94">
        <v>-98.661130569999997</v>
      </c>
      <c r="K94">
        <v>62.94</v>
      </c>
      <c r="L94" t="s">
        <v>416</v>
      </c>
      <c r="M94" t="s">
        <v>1860</v>
      </c>
      <c r="N94">
        <v>14764894316</v>
      </c>
      <c r="O94" t="s">
        <v>1859</v>
      </c>
      <c r="P94" t="s">
        <v>292</v>
      </c>
      <c r="Q94" t="s">
        <v>1861</v>
      </c>
      <c r="R94" t="s">
        <v>1862</v>
      </c>
      <c r="S94" t="s">
        <v>427</v>
      </c>
      <c r="T94" t="s">
        <v>1863</v>
      </c>
      <c r="U94" t="s">
        <v>442</v>
      </c>
      <c r="V94">
        <v>6727</v>
      </c>
      <c r="W94" s="274">
        <v>45702.66605324074</v>
      </c>
      <c r="X94" s="325" t="s">
        <v>2335</v>
      </c>
    </row>
    <row r="95" spans="1:24">
      <c r="A95">
        <v>94</v>
      </c>
      <c r="B95" t="s">
        <v>1844</v>
      </c>
      <c r="C95" s="274">
        <v>45702.420138888891</v>
      </c>
      <c r="D95" t="s">
        <v>1891</v>
      </c>
      <c r="E95" t="s">
        <v>53</v>
      </c>
      <c r="F95" t="s">
        <v>79</v>
      </c>
      <c r="G95">
        <v>4696</v>
      </c>
      <c r="H95">
        <v>1121</v>
      </c>
      <c r="I95">
        <v>23.904401979999999</v>
      </c>
      <c r="J95">
        <v>-100.94459755</v>
      </c>
      <c r="K95">
        <v>449.39</v>
      </c>
      <c r="L95" t="s">
        <v>1893</v>
      </c>
      <c r="M95" t="s">
        <v>1893</v>
      </c>
      <c r="N95">
        <v>14722133327</v>
      </c>
      <c r="O95" t="s">
        <v>1892</v>
      </c>
      <c r="P95" t="s">
        <v>292</v>
      </c>
      <c r="Q95" t="s">
        <v>1895</v>
      </c>
      <c r="R95" t="s">
        <v>1862</v>
      </c>
      <c r="S95" t="s">
        <v>1893</v>
      </c>
      <c r="T95" t="s">
        <v>1904</v>
      </c>
      <c r="U95" t="s">
        <v>1897</v>
      </c>
      <c r="V95">
        <v>6802</v>
      </c>
      <c r="W95" s="274">
        <v>45702.66605324074</v>
      </c>
      <c r="X95" s="325" t="s">
        <v>1954</v>
      </c>
    </row>
    <row r="96" spans="1:24">
      <c r="A96">
        <v>95</v>
      </c>
      <c r="B96" t="s">
        <v>1822</v>
      </c>
      <c r="C96" s="274">
        <v>45702.436863425923</v>
      </c>
      <c r="D96" t="s">
        <v>1891</v>
      </c>
      <c r="E96" t="s">
        <v>53</v>
      </c>
      <c r="F96" t="s">
        <v>79</v>
      </c>
      <c r="G96">
        <v>4696</v>
      </c>
      <c r="H96">
        <v>1122</v>
      </c>
      <c r="I96">
        <v>24.01456915</v>
      </c>
      <c r="J96">
        <v>-100.92102739000001</v>
      </c>
      <c r="K96">
        <v>457.07</v>
      </c>
      <c r="L96" t="s">
        <v>1893</v>
      </c>
      <c r="M96" t="s">
        <v>1945</v>
      </c>
      <c r="N96">
        <v>14722133327</v>
      </c>
      <c r="O96" t="s">
        <v>1892</v>
      </c>
      <c r="P96" t="s">
        <v>292</v>
      </c>
      <c r="Q96" t="s">
        <v>1895</v>
      </c>
      <c r="R96" t="s">
        <v>1862</v>
      </c>
      <c r="S96" t="s">
        <v>1893</v>
      </c>
      <c r="T96" t="s">
        <v>1904</v>
      </c>
      <c r="U96" t="s">
        <v>1897</v>
      </c>
      <c r="V96">
        <v>6802</v>
      </c>
      <c r="W96" s="274">
        <v>45702.66605324074</v>
      </c>
      <c r="X96" s="325" t="s">
        <v>1952</v>
      </c>
    </row>
    <row r="97" spans="1:24">
      <c r="A97">
        <v>96</v>
      </c>
      <c r="B97" t="s">
        <v>1844</v>
      </c>
      <c r="C97" s="274">
        <v>45702.444444444445</v>
      </c>
      <c r="D97" t="s">
        <v>1891</v>
      </c>
      <c r="E97" t="s">
        <v>53</v>
      </c>
      <c r="F97" t="s">
        <v>79</v>
      </c>
      <c r="G97">
        <v>4696</v>
      </c>
      <c r="H97">
        <v>1122</v>
      </c>
      <c r="I97">
        <v>24.041876819999999</v>
      </c>
      <c r="J97">
        <v>-100.91513705</v>
      </c>
      <c r="K97">
        <v>459.02</v>
      </c>
      <c r="L97" t="s">
        <v>1893</v>
      </c>
      <c r="M97" t="s">
        <v>1945</v>
      </c>
      <c r="N97">
        <v>14722133327</v>
      </c>
      <c r="O97" t="s">
        <v>1892</v>
      </c>
      <c r="P97" t="s">
        <v>292</v>
      </c>
      <c r="Q97" t="s">
        <v>1895</v>
      </c>
      <c r="R97" t="s">
        <v>1862</v>
      </c>
      <c r="S97" t="s">
        <v>1893</v>
      </c>
      <c r="T97" t="s">
        <v>1904</v>
      </c>
      <c r="U97" t="s">
        <v>1897</v>
      </c>
      <c r="V97">
        <v>6802</v>
      </c>
      <c r="W97" s="274">
        <v>45702.66605324074</v>
      </c>
      <c r="X97" s="325" t="s">
        <v>1946</v>
      </c>
    </row>
    <row r="98" spans="1:24">
      <c r="A98">
        <v>97</v>
      </c>
      <c r="B98" t="s">
        <v>1822</v>
      </c>
      <c r="C98" s="274">
        <v>45702.615023148152</v>
      </c>
      <c r="D98" t="s">
        <v>1891</v>
      </c>
      <c r="E98" t="s">
        <v>53</v>
      </c>
      <c r="F98" t="s">
        <v>79</v>
      </c>
      <c r="G98">
        <v>4696</v>
      </c>
      <c r="H98">
        <v>1124</v>
      </c>
      <c r="I98">
        <v>24.166738819999999</v>
      </c>
      <c r="J98">
        <v>-100.88858304999999</v>
      </c>
      <c r="K98">
        <v>467.67</v>
      </c>
      <c r="L98" t="s">
        <v>1893</v>
      </c>
      <c r="M98" t="s">
        <v>1947</v>
      </c>
      <c r="N98">
        <v>14722133327</v>
      </c>
      <c r="O98" t="s">
        <v>1892</v>
      </c>
      <c r="P98" t="s">
        <v>292</v>
      </c>
      <c r="Q98" t="s">
        <v>1895</v>
      </c>
      <c r="R98" t="s">
        <v>1862</v>
      </c>
      <c r="S98" t="s">
        <v>1893</v>
      </c>
      <c r="T98" t="s">
        <v>1904</v>
      </c>
      <c r="U98" t="s">
        <v>1897</v>
      </c>
      <c r="V98">
        <v>6802</v>
      </c>
      <c r="W98" s="274">
        <v>45702.66605324074</v>
      </c>
      <c r="X98" s="325" t="s">
        <v>1949</v>
      </c>
    </row>
    <row r="99" spans="1:24">
      <c r="A99">
        <v>98</v>
      </c>
      <c r="B99" t="s">
        <v>1844</v>
      </c>
      <c r="C99" s="274">
        <v>45702.618067129632</v>
      </c>
      <c r="D99" t="s">
        <v>1891</v>
      </c>
      <c r="E99" t="s">
        <v>53</v>
      </c>
      <c r="F99" t="s">
        <v>79</v>
      </c>
      <c r="G99">
        <v>4696</v>
      </c>
      <c r="H99">
        <v>1124</v>
      </c>
      <c r="I99">
        <v>24.223732309999999</v>
      </c>
      <c r="J99">
        <v>-100.87643572</v>
      </c>
      <c r="K99">
        <v>471.73</v>
      </c>
      <c r="L99" t="s">
        <v>1893</v>
      </c>
      <c r="M99" t="s">
        <v>1947</v>
      </c>
      <c r="N99">
        <v>14722133327</v>
      </c>
      <c r="O99" t="s">
        <v>1892</v>
      </c>
      <c r="P99" t="s">
        <v>292</v>
      </c>
      <c r="Q99" t="s">
        <v>1895</v>
      </c>
      <c r="R99" t="s">
        <v>1862</v>
      </c>
      <c r="S99" t="s">
        <v>1893</v>
      </c>
      <c r="T99" t="s">
        <v>1904</v>
      </c>
      <c r="U99" t="s">
        <v>1897</v>
      </c>
      <c r="V99">
        <v>6802</v>
      </c>
      <c r="W99" s="274">
        <v>45702.66605324074</v>
      </c>
      <c r="X99" s="325" t="s">
        <v>1948</v>
      </c>
    </row>
    <row r="100" spans="1:24">
      <c r="A100">
        <v>99</v>
      </c>
      <c r="B100" t="s">
        <v>1822</v>
      </c>
      <c r="C100" s="274">
        <v>45702.625</v>
      </c>
      <c r="D100" t="s">
        <v>1891</v>
      </c>
      <c r="E100" t="s">
        <v>53</v>
      </c>
      <c r="F100" t="s">
        <v>79</v>
      </c>
      <c r="G100">
        <v>4696</v>
      </c>
      <c r="H100">
        <v>1125</v>
      </c>
      <c r="I100">
        <v>24.302984479999999</v>
      </c>
      <c r="J100">
        <v>-100.85944588</v>
      </c>
      <c r="K100">
        <v>477.3</v>
      </c>
      <c r="L100" t="s">
        <v>1893</v>
      </c>
      <c r="M100" t="s">
        <v>1912</v>
      </c>
      <c r="N100">
        <v>14722133327</v>
      </c>
      <c r="O100" t="s">
        <v>1892</v>
      </c>
      <c r="P100" t="s">
        <v>292</v>
      </c>
      <c r="Q100" t="s">
        <v>1895</v>
      </c>
      <c r="R100" t="s">
        <v>1862</v>
      </c>
      <c r="S100" t="s">
        <v>1893</v>
      </c>
      <c r="T100" t="s">
        <v>1904</v>
      </c>
      <c r="U100" t="s">
        <v>1897</v>
      </c>
      <c r="V100">
        <v>6802</v>
      </c>
      <c r="W100" s="274">
        <v>45702.66605324074</v>
      </c>
      <c r="X100" s="325" t="s">
        <v>1913</v>
      </c>
    </row>
    <row r="101" spans="1:24">
      <c r="A101">
        <v>100</v>
      </c>
      <c r="B101" t="s">
        <v>1844</v>
      </c>
      <c r="C101" s="274">
        <v>45702.649317129632</v>
      </c>
      <c r="D101" t="s">
        <v>1891</v>
      </c>
      <c r="E101" t="s">
        <v>53</v>
      </c>
      <c r="F101" t="s">
        <v>79</v>
      </c>
      <c r="G101">
        <v>4696</v>
      </c>
      <c r="H101">
        <v>1125</v>
      </c>
      <c r="I101">
        <v>24.328427640000001</v>
      </c>
      <c r="J101">
        <v>-100.85402621999999</v>
      </c>
      <c r="K101">
        <v>479.09</v>
      </c>
      <c r="L101" t="s">
        <v>1893</v>
      </c>
      <c r="M101" t="s">
        <v>1912</v>
      </c>
      <c r="N101">
        <v>14722133327</v>
      </c>
      <c r="O101" t="s">
        <v>1892</v>
      </c>
      <c r="P101" t="s">
        <v>292</v>
      </c>
      <c r="Q101" t="s">
        <v>1895</v>
      </c>
      <c r="R101" t="s">
        <v>1862</v>
      </c>
      <c r="S101" t="s">
        <v>1893</v>
      </c>
      <c r="T101" t="s">
        <v>1904</v>
      </c>
      <c r="U101" t="s">
        <v>1897</v>
      </c>
      <c r="V101">
        <v>6802</v>
      </c>
      <c r="W101" s="274">
        <v>45702.66605324074</v>
      </c>
      <c r="X101" s="325" t="s">
        <v>1944</v>
      </c>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6932-348C-4E0C-8A6E-69D44B66D0F6}">
  <dimension ref="B1:I31"/>
  <sheetViews>
    <sheetView zoomScale="85" zoomScaleNormal="85" workbookViewId="0">
      <selection activeCell="D10" activeCellId="1" sqref="H42 D10"/>
    </sheetView>
  </sheetViews>
  <sheetFormatPr defaultColWidth="9.140625" defaultRowHeight="14.45"/>
  <cols>
    <col min="1" max="1" width="9.140625" style="7"/>
    <col min="2" max="2" width="76.140625" style="7" bestFit="1" customWidth="1"/>
    <col min="3" max="3" width="9.140625" style="7"/>
    <col min="4" max="4" width="60.7109375" style="7" customWidth="1"/>
    <col min="5" max="5" width="9.140625" style="7"/>
    <col min="6" max="6" width="60.7109375" style="7" customWidth="1"/>
    <col min="7" max="7" width="9.140625" style="7"/>
    <col min="8" max="8" width="60.7109375" style="7" customWidth="1"/>
    <col min="9" max="9" width="30.28515625" style="7" customWidth="1"/>
    <col min="10" max="16384" width="9.140625" style="7"/>
  </cols>
  <sheetData>
    <row r="1" spans="2:8" ht="35.25" customHeight="1">
      <c r="B1" s="232"/>
      <c r="C1" s="232"/>
      <c r="D1" s="232"/>
      <c r="E1" s="232"/>
      <c r="F1" s="232"/>
      <c r="G1" s="232"/>
      <c r="H1" s="233" t="s">
        <v>2336</v>
      </c>
    </row>
    <row r="2" spans="2:8" ht="63" customHeight="1">
      <c r="B2" s="230" t="s">
        <v>2337</v>
      </c>
      <c r="C2" s="229"/>
      <c r="D2" s="252" t="s">
        <v>2338</v>
      </c>
      <c r="E2" s="229"/>
      <c r="F2" s="229"/>
      <c r="G2" s="229"/>
      <c r="H2" s="231"/>
    </row>
    <row r="3" spans="2:8">
      <c r="B3" s="228"/>
      <c r="C3" s="228"/>
      <c r="D3" s="228"/>
      <c r="E3" s="228"/>
      <c r="F3" s="228"/>
      <c r="G3" s="228"/>
      <c r="H3" s="228"/>
    </row>
    <row r="4" spans="2:8">
      <c r="B4" s="228"/>
      <c r="C4" s="228"/>
      <c r="D4" s="228"/>
      <c r="E4" s="228"/>
      <c r="F4" s="228"/>
      <c r="G4" s="228"/>
      <c r="H4" s="228"/>
    </row>
    <row r="6" spans="2:8" ht="100.5" customHeight="1">
      <c r="B6" s="293" t="s">
        <v>2339</v>
      </c>
      <c r="C6" s="226"/>
      <c r="D6" s="249" t="s">
        <v>2340</v>
      </c>
      <c r="E6" s="226"/>
      <c r="F6" s="251" t="s">
        <v>2341</v>
      </c>
      <c r="G6" s="226"/>
      <c r="H6" s="291" t="s">
        <v>2342</v>
      </c>
    </row>
    <row r="7" spans="2:8" s="227" customFormat="1" ht="6.6"/>
    <row r="8" spans="2:8" ht="104.25" customHeight="1">
      <c r="B8" s="293" t="s">
        <v>2343</v>
      </c>
      <c r="C8" s="226"/>
      <c r="D8" s="250" t="s">
        <v>2344</v>
      </c>
      <c r="E8" s="226"/>
      <c r="F8" s="253" t="s">
        <v>2345</v>
      </c>
      <c r="G8" s="226"/>
      <c r="H8" s="292" t="s">
        <v>2346</v>
      </c>
    </row>
    <row r="9" spans="2:8" s="227" customFormat="1" ht="6.6"/>
    <row r="10" spans="2:8" ht="104.25" customHeight="1">
      <c r="B10" s="293" t="s">
        <v>2347</v>
      </c>
      <c r="C10" s="226"/>
      <c r="D10" s="249" t="s">
        <v>2348</v>
      </c>
      <c r="E10" s="226"/>
      <c r="F10" s="253" t="s">
        <v>2349</v>
      </c>
      <c r="G10" s="226"/>
      <c r="H10" s="291" t="s">
        <v>2350</v>
      </c>
    </row>
    <row r="13" spans="2:8" ht="117.75" customHeight="1">
      <c r="B13" s="293" t="s">
        <v>2351</v>
      </c>
      <c r="C13" s="259"/>
      <c r="D13" s="260" t="s">
        <v>2352</v>
      </c>
      <c r="F13" s="253" t="s">
        <v>2353</v>
      </c>
      <c r="H13" s="291" t="s">
        <v>514</v>
      </c>
    </row>
    <row r="14" spans="2:8" ht="9.9499999999999993" customHeight="1">
      <c r="H14" s="246"/>
    </row>
    <row r="15" spans="2:8" ht="26.1">
      <c r="F15" s="225" t="s">
        <v>2354</v>
      </c>
      <c r="H15" s="247"/>
    </row>
    <row r="16" spans="2:8" ht="9.9499999999999993" customHeight="1">
      <c r="H16" s="246"/>
    </row>
    <row r="17" spans="6:9" ht="26.1">
      <c r="F17" s="225" t="s">
        <v>2355</v>
      </c>
      <c r="H17" s="258"/>
      <c r="I17" s="248"/>
    </row>
    <row r="18" spans="6:9" ht="9.9499999999999993" customHeight="1">
      <c r="H18" s="246"/>
    </row>
    <row r="19" spans="6:9" ht="30" customHeight="1">
      <c r="F19" s="225" t="s">
        <v>2356</v>
      </c>
      <c r="H19" s="246"/>
    </row>
    <row r="20" spans="6:9" ht="9.9499999999999993" customHeight="1">
      <c r="H20" s="246"/>
    </row>
    <row r="21" spans="6:9" ht="30" customHeight="1">
      <c r="F21" s="225" t="s">
        <v>2357</v>
      </c>
      <c r="H21" s="246"/>
    </row>
    <row r="22" spans="6:9" ht="9.9499999999999993" customHeight="1">
      <c r="H22" s="246"/>
    </row>
    <row r="23" spans="6:9" ht="30" customHeight="1">
      <c r="F23" s="225" t="s">
        <v>2358</v>
      </c>
      <c r="H23" s="246"/>
    </row>
    <row r="24" spans="6:9" ht="9.9499999999999993" customHeight="1">
      <c r="H24" s="246"/>
    </row>
    <row r="25" spans="6:9" ht="30" customHeight="1">
      <c r="F25" s="225" t="s">
        <v>2359</v>
      </c>
      <c r="H25" s="246"/>
    </row>
    <row r="26" spans="6:9" ht="9.9499999999999993" customHeight="1">
      <c r="H26" s="246"/>
    </row>
    <row r="27" spans="6:9" ht="30" customHeight="1">
      <c r="F27" s="225" t="s">
        <v>2360</v>
      </c>
      <c r="H27" s="246"/>
    </row>
    <row r="28" spans="6:9" ht="9.9499999999999993" customHeight="1">
      <c r="H28" s="246"/>
    </row>
    <row r="29" spans="6:9" ht="30" customHeight="1">
      <c r="F29" s="225" t="s">
        <v>2361</v>
      </c>
      <c r="H29" s="246"/>
    </row>
    <row r="30" spans="6:9" ht="9.9499999999999993" customHeight="1"/>
    <row r="31" spans="6:9" ht="26.1">
      <c r="F31" s="225" t="s">
        <v>514</v>
      </c>
    </row>
  </sheetData>
  <hyperlinks>
    <hyperlink ref="D6" location="'CP002'!A1" display="Data Summary" xr:uid="{33D07C98-9499-4CB3-BB96-D814F4849BDA}"/>
    <hyperlink ref="F6" location="'CP001'!A1" display="Data Detail" xr:uid="{16BBCE4F-E773-4982-8A75-46D00FBE9A6E}"/>
    <hyperlink ref="D10" location="'Product Catalog'!A1" display="Regulatory" xr:uid="{EDC0C627-3B42-4C1C-9D4E-FA9347AB9C11}"/>
    <hyperlink ref="H8" location="'AI Search Words'!A1" display="A.I. Prompting" xr:uid="{E72796CD-FE1B-479B-B55C-4584256B3557}"/>
  </hyperlinks>
  <pageMargins left="0.7" right="0.7" top="0.75" bottom="0.75" header="0.3" footer="0.3"/>
  <headerFooter>
    <oddFooter>&amp;L_x000D_&amp;1#&amp;"Aptos"&amp;8&amp;K000000 Classified as CPKC Confidential</oddFooter>
  </headerFooter>
  <customProperties>
    <customPr name="EpmWorksheetKeyString_GUID" r:id="rId1"/>
  </customPropertie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641A-EB2F-4376-8CC8-76FF36C8D9E4}">
  <dimension ref="A1:H21"/>
  <sheetViews>
    <sheetView workbookViewId="0">
      <selection activeCell="U8" sqref="U8"/>
    </sheetView>
  </sheetViews>
  <sheetFormatPr defaultColWidth="9.140625" defaultRowHeight="14.45"/>
  <cols>
    <col min="1" max="1" width="3.42578125" style="7" customWidth="1"/>
    <col min="2" max="2" width="20.5703125" style="7" customWidth="1"/>
    <col min="3" max="3" width="6.28515625" style="7" customWidth="1"/>
    <col min="4" max="4" width="23.28515625" style="7" customWidth="1"/>
    <col min="5" max="5" width="5.7109375" style="7" customWidth="1"/>
    <col min="6" max="6" width="21.28515625" style="7" customWidth="1"/>
    <col min="7" max="7" width="4.85546875" style="7" customWidth="1"/>
    <col min="8" max="8" width="18.7109375" style="7" customWidth="1"/>
    <col min="9" max="16384" width="9.140625" style="7"/>
  </cols>
  <sheetData>
    <row r="1" spans="1:8" ht="43.5" customHeight="1">
      <c r="A1" s="303" t="s">
        <v>2362</v>
      </c>
      <c r="B1" s="298"/>
      <c r="C1" s="298"/>
      <c r="D1" s="298"/>
      <c r="E1" s="298"/>
      <c r="F1" s="298"/>
      <c r="G1" s="298"/>
      <c r="H1" s="298"/>
    </row>
    <row r="3" spans="1:8" ht="42" customHeight="1">
      <c r="B3" s="297" t="s">
        <v>2363</v>
      </c>
      <c r="C3" s="168"/>
      <c r="D3" s="302" t="s">
        <v>2364</v>
      </c>
      <c r="E3" s="165"/>
      <c r="F3" s="301" t="s">
        <v>2365</v>
      </c>
      <c r="G3" s="165"/>
      <c r="H3" s="300" t="s">
        <v>2343</v>
      </c>
    </row>
    <row r="4" spans="1:8">
      <c r="B4" s="296"/>
      <c r="C4" s="168"/>
      <c r="D4" s="165"/>
      <c r="E4" s="165"/>
      <c r="F4" s="165"/>
      <c r="G4" s="165"/>
      <c r="H4" s="165"/>
    </row>
    <row r="5" spans="1:8">
      <c r="B5" s="299" t="s">
        <v>2366</v>
      </c>
      <c r="C5" s="295"/>
      <c r="D5" s="299" t="s">
        <v>2367</v>
      </c>
      <c r="F5" s="299" t="s">
        <v>2368</v>
      </c>
      <c r="H5" s="299" t="s">
        <v>2369</v>
      </c>
    </row>
    <row r="6" spans="1:8">
      <c r="C6" s="295"/>
      <c r="D6" s="296"/>
    </row>
    <row r="7" spans="1:8">
      <c r="B7" s="299" t="s">
        <v>41</v>
      </c>
      <c r="C7" s="295"/>
      <c r="D7" s="299" t="s">
        <v>2370</v>
      </c>
      <c r="F7" s="299" t="s">
        <v>2371</v>
      </c>
      <c r="H7" s="299" t="s">
        <v>2372</v>
      </c>
    </row>
    <row r="8" spans="1:8">
      <c r="C8" s="295"/>
    </row>
    <row r="9" spans="1:8">
      <c r="B9" s="299" t="s">
        <v>2373</v>
      </c>
      <c r="C9" s="295"/>
      <c r="D9" s="299" t="s">
        <v>2374</v>
      </c>
      <c r="F9" s="299" t="s">
        <v>2375</v>
      </c>
      <c r="H9" s="299" t="s">
        <v>2376</v>
      </c>
    </row>
    <row r="10" spans="1:8">
      <c r="C10" s="295"/>
      <c r="D10" s="296"/>
    </row>
    <row r="11" spans="1:8">
      <c r="B11" s="299" t="s">
        <v>2377</v>
      </c>
      <c r="C11" s="295"/>
      <c r="D11" s="299" t="s">
        <v>2348</v>
      </c>
    </row>
    <row r="12" spans="1:8">
      <c r="B12" s="295"/>
      <c r="C12" s="295"/>
      <c r="D12" s="296"/>
    </row>
    <row r="13" spans="1:8">
      <c r="B13" s="299" t="s">
        <v>2378</v>
      </c>
      <c r="C13" s="295"/>
      <c r="D13" s="299" t="s">
        <v>2379</v>
      </c>
    </row>
    <row r="14" spans="1:8">
      <c r="B14" s="295"/>
      <c r="C14" s="295"/>
      <c r="D14" s="296"/>
    </row>
    <row r="15" spans="1:8">
      <c r="B15" s="295"/>
      <c r="C15" s="295"/>
      <c r="D15" s="299" t="s">
        <v>2353</v>
      </c>
    </row>
    <row r="16" spans="1:8">
      <c r="B16" s="295"/>
      <c r="C16" s="295"/>
      <c r="D16" s="296"/>
    </row>
    <row r="17" spans="2:5">
      <c r="C17" s="295"/>
      <c r="D17" s="299" t="s">
        <v>2380</v>
      </c>
    </row>
    <row r="18" spans="2:5">
      <c r="B18" s="295"/>
      <c r="C18" s="295"/>
      <c r="D18" s="296"/>
    </row>
    <row r="19" spans="2:5">
      <c r="B19" s="295"/>
      <c r="C19" s="295"/>
      <c r="D19" s="299" t="s">
        <v>2381</v>
      </c>
    </row>
    <row r="20" spans="2:5">
      <c r="B20" s="295"/>
      <c r="C20" s="295"/>
    </row>
    <row r="21" spans="2:5">
      <c r="D21" s="295"/>
      <c r="E21" s="295"/>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0229-9703-4203-873A-579F61DB27F6}">
  <dimension ref="A1:B57"/>
  <sheetViews>
    <sheetView topLeftCell="B1" workbookViewId="0">
      <selection activeCell="B40" sqref="B40"/>
    </sheetView>
  </sheetViews>
  <sheetFormatPr defaultRowHeight="14.45"/>
  <cols>
    <col min="1" max="1" width="27.140625" customWidth="1"/>
    <col min="2" max="2" width="120.85546875" customWidth="1"/>
  </cols>
  <sheetData>
    <row r="1" spans="1:2" ht="31.5" customHeight="1">
      <c r="A1" s="305" t="s">
        <v>2382</v>
      </c>
      <c r="B1" s="306" t="s">
        <v>2383</v>
      </c>
    </row>
    <row r="2" spans="1:2">
      <c r="A2" s="307" t="s">
        <v>2384</v>
      </c>
      <c r="B2" s="308" t="s">
        <v>2385</v>
      </c>
    </row>
    <row r="3" spans="1:2">
      <c r="A3" s="309" t="s">
        <v>2384</v>
      </c>
      <c r="B3" s="310" t="s">
        <v>2386</v>
      </c>
    </row>
    <row r="4" spans="1:2">
      <c r="A4" s="307" t="s">
        <v>2384</v>
      </c>
      <c r="B4" s="308" t="s">
        <v>2387</v>
      </c>
    </row>
    <row r="5" spans="1:2">
      <c r="A5" s="309" t="s">
        <v>2384</v>
      </c>
      <c r="B5" s="310" t="s">
        <v>2388</v>
      </c>
    </row>
    <row r="6" spans="1:2">
      <c r="A6" s="307" t="s">
        <v>2384</v>
      </c>
      <c r="B6" s="308" t="s">
        <v>2389</v>
      </c>
    </row>
    <row r="7" spans="1:2">
      <c r="A7" s="309" t="s">
        <v>2384</v>
      </c>
      <c r="B7" s="310" t="s">
        <v>2390</v>
      </c>
    </row>
    <row r="8" spans="1:2">
      <c r="A8" s="307" t="s">
        <v>2384</v>
      </c>
      <c r="B8" s="308" t="s">
        <v>2391</v>
      </c>
    </row>
    <row r="9" spans="1:2">
      <c r="A9" s="309" t="s">
        <v>2384</v>
      </c>
      <c r="B9" s="313" t="s">
        <v>2392</v>
      </c>
    </row>
    <row r="10" spans="1:2">
      <c r="A10" s="307" t="s">
        <v>2384</v>
      </c>
      <c r="B10" s="308" t="s">
        <v>2393</v>
      </c>
    </row>
    <row r="11" spans="1:2">
      <c r="A11" s="309" t="s">
        <v>2384</v>
      </c>
      <c r="B11" s="313" t="s">
        <v>2394</v>
      </c>
    </row>
    <row r="12" spans="1:2">
      <c r="A12" s="307" t="s">
        <v>2384</v>
      </c>
      <c r="B12" s="308" t="s">
        <v>2395</v>
      </c>
    </row>
    <row r="13" spans="1:2">
      <c r="A13" s="309" t="s">
        <v>2384</v>
      </c>
      <c r="B13" s="313" t="s">
        <v>2396</v>
      </c>
    </row>
    <row r="14" spans="1:2">
      <c r="A14" s="307" t="s">
        <v>2384</v>
      </c>
      <c r="B14" s="308" t="s">
        <v>2397</v>
      </c>
    </row>
    <row r="15" spans="1:2">
      <c r="A15" s="309" t="s">
        <v>2384</v>
      </c>
      <c r="B15" s="313" t="s">
        <v>2398</v>
      </c>
    </row>
    <row r="16" spans="1:2">
      <c r="A16" s="307" t="s">
        <v>2384</v>
      </c>
      <c r="B16" s="314" t="s">
        <v>2399</v>
      </c>
    </row>
    <row r="17" spans="1:2">
      <c r="A17" s="309" t="s">
        <v>2384</v>
      </c>
      <c r="B17" s="313" t="s">
        <v>2400</v>
      </c>
    </row>
    <row r="18" spans="1:2">
      <c r="A18" s="307" t="s">
        <v>2384</v>
      </c>
      <c r="B18" s="308" t="s">
        <v>2401</v>
      </c>
    </row>
    <row r="19" spans="1:2">
      <c r="A19" s="309" t="s">
        <v>2384</v>
      </c>
      <c r="B19" s="313" t="s">
        <v>2402</v>
      </c>
    </row>
    <row r="20" spans="1:2">
      <c r="A20" s="307" t="s">
        <v>2403</v>
      </c>
      <c r="B20" s="308" t="s">
        <v>2404</v>
      </c>
    </row>
    <row r="21" spans="1:2">
      <c r="A21" s="309" t="s">
        <v>2403</v>
      </c>
      <c r="B21" s="310" t="s">
        <v>2405</v>
      </c>
    </row>
    <row r="22" spans="1:2">
      <c r="A22" s="307" t="s">
        <v>2403</v>
      </c>
      <c r="B22" s="308" t="s">
        <v>2406</v>
      </c>
    </row>
    <row r="23" spans="1:2">
      <c r="A23" s="309" t="s">
        <v>2403</v>
      </c>
      <c r="B23" s="310" t="s">
        <v>2407</v>
      </c>
    </row>
    <row r="24" spans="1:2">
      <c r="A24" s="307" t="s">
        <v>2408</v>
      </c>
      <c r="B24" s="308" t="s">
        <v>2409</v>
      </c>
    </row>
    <row r="25" spans="1:2">
      <c r="A25" s="309" t="s">
        <v>2408</v>
      </c>
      <c r="B25" s="310" t="s">
        <v>2410</v>
      </c>
    </row>
    <row r="26" spans="1:2">
      <c r="A26" s="307" t="s">
        <v>2408</v>
      </c>
      <c r="B26" s="308" t="s">
        <v>2411</v>
      </c>
    </row>
    <row r="27" spans="1:2">
      <c r="A27" s="309" t="s">
        <v>2408</v>
      </c>
      <c r="B27" s="310" t="s">
        <v>2412</v>
      </c>
    </row>
    <row r="28" spans="1:2">
      <c r="A28" s="307" t="s">
        <v>2408</v>
      </c>
      <c r="B28" s="308" t="s">
        <v>2413</v>
      </c>
    </row>
    <row r="29" spans="1:2">
      <c r="A29" s="309" t="s">
        <v>2414</v>
      </c>
      <c r="B29" s="310" t="s">
        <v>2415</v>
      </c>
    </row>
    <row r="30" spans="1:2">
      <c r="A30" s="307" t="s">
        <v>2414</v>
      </c>
      <c r="B30" s="308" t="s">
        <v>2416</v>
      </c>
    </row>
    <row r="31" spans="1:2">
      <c r="A31" s="309" t="s">
        <v>2414</v>
      </c>
      <c r="B31" s="310" t="s">
        <v>2417</v>
      </c>
    </row>
    <row r="32" spans="1:2">
      <c r="A32" s="307" t="s">
        <v>2414</v>
      </c>
      <c r="B32" s="308" t="s">
        <v>2418</v>
      </c>
    </row>
    <row r="33" spans="1:2">
      <c r="A33" s="309" t="s">
        <v>2414</v>
      </c>
      <c r="B33" s="310" t="s">
        <v>2419</v>
      </c>
    </row>
    <row r="34" spans="1:2">
      <c r="A34" s="307" t="s">
        <v>2414</v>
      </c>
      <c r="B34" s="308" t="s">
        <v>2420</v>
      </c>
    </row>
    <row r="35" spans="1:2">
      <c r="A35" s="309" t="s">
        <v>2414</v>
      </c>
      <c r="B35" s="310" t="s">
        <v>2421</v>
      </c>
    </row>
    <row r="36" spans="1:2">
      <c r="A36" s="307" t="s">
        <v>2422</v>
      </c>
      <c r="B36" s="308" t="s">
        <v>2423</v>
      </c>
    </row>
    <row r="37" spans="1:2">
      <c r="A37" s="309" t="s">
        <v>2422</v>
      </c>
      <c r="B37" s="310" t="s">
        <v>2424</v>
      </c>
    </row>
    <row r="38" spans="1:2">
      <c r="A38" s="307" t="s">
        <v>2422</v>
      </c>
      <c r="B38" s="308" t="s">
        <v>2425</v>
      </c>
    </row>
    <row r="39" spans="1:2">
      <c r="A39" s="309" t="s">
        <v>2426</v>
      </c>
      <c r="B39" s="310" t="s">
        <v>2427</v>
      </c>
    </row>
    <row r="40" spans="1:2">
      <c r="A40" s="307" t="s">
        <v>2426</v>
      </c>
      <c r="B40" s="308" t="s">
        <v>2428</v>
      </c>
    </row>
    <row r="41" spans="1:2">
      <c r="A41" s="309" t="s">
        <v>2426</v>
      </c>
      <c r="B41" s="310" t="s">
        <v>2429</v>
      </c>
    </row>
    <row r="42" spans="1:2">
      <c r="A42" s="311" t="s">
        <v>2426</v>
      </c>
      <c r="B42" s="312" t="s">
        <v>2430</v>
      </c>
    </row>
    <row r="43" spans="1:2">
      <c r="A43" s="309" t="s">
        <v>2431</v>
      </c>
      <c r="B43" s="310" t="s">
        <v>2432</v>
      </c>
    </row>
    <row r="44" spans="1:2">
      <c r="A44" s="311" t="s">
        <v>2431</v>
      </c>
      <c r="B44" s="312" t="s">
        <v>2433</v>
      </c>
    </row>
    <row r="57" spans="2:2" ht="15.95">
      <c r="B57" s="257"/>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3CF9-9DB9-49CF-A20B-83EE3E289C8D}">
  <dimension ref="A1:BC214"/>
  <sheetViews>
    <sheetView workbookViewId="0">
      <pane xSplit="1" ySplit="1" topLeftCell="E201" activePane="bottomRight" state="frozen"/>
      <selection pane="bottomRight" activeCell="E168" sqref="E168"/>
      <selection pane="bottomLeft"/>
      <selection pane="topRight"/>
    </sheetView>
  </sheetViews>
  <sheetFormatPr defaultRowHeight="14.45"/>
  <cols>
    <col min="1" max="1" width="21.42578125" customWidth="1"/>
    <col min="2" max="2" width="9.28515625" bestFit="1" customWidth="1"/>
    <col min="3" max="4" width="10" bestFit="1" customWidth="1"/>
    <col min="5" max="5" width="11.7109375" bestFit="1" customWidth="1"/>
    <col min="6" max="6" width="56.28515625" bestFit="1" customWidth="1"/>
    <col min="7" max="7" width="26.28515625" customWidth="1"/>
    <col min="8" max="8" width="23.42578125" customWidth="1"/>
    <col min="9" max="9" width="13.85546875" customWidth="1"/>
  </cols>
  <sheetData>
    <row r="1" spans="1:55" ht="26.1">
      <c r="A1" s="277" t="s">
        <v>35</v>
      </c>
      <c r="B1" s="277" t="s">
        <v>3</v>
      </c>
      <c r="C1" s="278" t="s">
        <v>2434</v>
      </c>
      <c r="D1" s="278" t="s">
        <v>37</v>
      </c>
      <c r="E1" s="277" t="s">
        <v>15</v>
      </c>
      <c r="F1" s="277" t="s">
        <v>39</v>
      </c>
      <c r="G1" s="277" t="s">
        <v>42</v>
      </c>
      <c r="H1" s="277" t="s">
        <v>2435</v>
      </c>
      <c r="I1" s="277" t="s">
        <v>2436</v>
      </c>
      <c r="J1" s="277"/>
      <c r="K1" s="279"/>
      <c r="L1" s="279"/>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77"/>
      <c r="AZ1" s="277"/>
      <c r="BA1" s="277"/>
      <c r="BB1" s="277"/>
      <c r="BC1" s="277"/>
    </row>
    <row r="2" spans="1:55">
      <c r="A2" s="280" t="s">
        <v>74</v>
      </c>
      <c r="B2" s="281" t="s">
        <v>19</v>
      </c>
      <c r="C2" s="282" t="s">
        <v>1</v>
      </c>
      <c r="D2" s="282" t="s">
        <v>1</v>
      </c>
      <c r="E2" s="280" t="s">
        <v>76</v>
      </c>
      <c r="F2" s="280" t="s">
        <v>77</v>
      </c>
      <c r="G2" s="280" t="s">
        <v>79</v>
      </c>
      <c r="H2" s="280"/>
      <c r="I2" s="280" t="str">
        <f>C2&amp;D2</f>
        <v>YY</v>
      </c>
      <c r="J2" s="280"/>
      <c r="K2" s="283"/>
      <c r="L2" s="283"/>
      <c r="M2" s="280"/>
      <c r="N2" s="280"/>
      <c r="O2" s="280"/>
      <c r="P2" s="280"/>
      <c r="Q2" s="280"/>
      <c r="R2" s="280"/>
      <c r="S2" s="280"/>
      <c r="T2" s="280"/>
      <c r="U2" s="280"/>
      <c r="V2" s="280"/>
      <c r="W2" s="280"/>
      <c r="X2" s="280"/>
      <c r="Y2" s="280"/>
      <c r="Z2" s="280"/>
      <c r="AA2" s="280"/>
      <c r="AB2" s="280"/>
      <c r="AC2" s="280"/>
      <c r="AD2" s="280"/>
      <c r="AE2" s="280"/>
      <c r="AF2" s="280"/>
      <c r="AG2" s="280"/>
      <c r="AH2" s="280"/>
      <c r="AI2" s="280"/>
      <c r="AJ2" s="280"/>
      <c r="AK2" s="280"/>
      <c r="AL2" s="280"/>
      <c r="AM2" s="280"/>
      <c r="AN2" s="280"/>
      <c r="AO2" s="280"/>
      <c r="AP2" s="280"/>
      <c r="AQ2" s="280"/>
      <c r="AR2" s="280"/>
      <c r="AS2" s="280"/>
      <c r="AT2" s="280"/>
      <c r="AU2" s="280"/>
      <c r="AV2" s="280"/>
      <c r="AW2" s="280"/>
      <c r="AX2" s="280"/>
      <c r="AY2" s="280"/>
      <c r="AZ2" s="280"/>
      <c r="BA2" s="280"/>
      <c r="BB2" s="280"/>
      <c r="BC2" s="280"/>
    </row>
    <row r="3" spans="1:55">
      <c r="A3" s="280" t="s">
        <v>2437</v>
      </c>
      <c r="B3" s="281" t="s">
        <v>19</v>
      </c>
      <c r="C3" s="282" t="s">
        <v>2438</v>
      </c>
      <c r="D3" s="282" t="s">
        <v>2438</v>
      </c>
      <c r="E3" s="280" t="s">
        <v>2439</v>
      </c>
      <c r="F3" s="280" t="s">
        <v>2440</v>
      </c>
      <c r="G3" s="280" t="s">
        <v>2441</v>
      </c>
      <c r="H3" s="280"/>
      <c r="I3" s="280" t="str">
        <f t="shared" ref="I3:I66" si="0">C3&amp;D3</f>
        <v>TBD_by_ETLTBD_by_ETL</v>
      </c>
      <c r="J3" s="280"/>
      <c r="K3" s="283"/>
      <c r="L3" s="283"/>
      <c r="M3" s="280"/>
      <c r="N3" s="280"/>
      <c r="O3" s="280"/>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row>
    <row r="4" spans="1:55">
      <c r="A4" s="280" t="s">
        <v>2442</v>
      </c>
      <c r="B4" s="281" t="s">
        <v>19</v>
      </c>
      <c r="C4" s="282" t="s">
        <v>2438</v>
      </c>
      <c r="D4" s="282" t="s">
        <v>2438</v>
      </c>
      <c r="E4" s="280" t="s">
        <v>2439</v>
      </c>
      <c r="F4" s="280" t="s">
        <v>2443</v>
      </c>
      <c r="G4" s="280" t="s">
        <v>2444</v>
      </c>
      <c r="H4" s="280"/>
      <c r="I4" s="280" t="str">
        <f t="shared" si="0"/>
        <v>TBD_by_ETLTBD_by_ETL</v>
      </c>
      <c r="J4" s="280"/>
      <c r="K4" s="283"/>
      <c r="L4" s="283"/>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c r="AM4" s="280"/>
      <c r="AN4" s="280"/>
      <c r="AO4" s="280"/>
      <c r="AP4" s="280"/>
      <c r="AQ4" s="280"/>
      <c r="AR4" s="280"/>
      <c r="AS4" s="280"/>
      <c r="AT4" s="280"/>
      <c r="AU4" s="280"/>
      <c r="AV4" s="280"/>
      <c r="AW4" s="280"/>
      <c r="AX4" s="280"/>
      <c r="AY4" s="280"/>
      <c r="AZ4" s="280"/>
      <c r="BA4" s="280"/>
      <c r="BB4" s="280"/>
      <c r="BC4" s="280"/>
    </row>
    <row r="5" spans="1:55">
      <c r="A5" s="280" t="s">
        <v>2445</v>
      </c>
      <c r="B5" s="281" t="s">
        <v>19</v>
      </c>
      <c r="C5" s="282" t="s">
        <v>2438</v>
      </c>
      <c r="D5" s="282" t="s">
        <v>2438</v>
      </c>
      <c r="E5" s="280" t="s">
        <v>2439</v>
      </c>
      <c r="F5" s="284" t="s">
        <v>2446</v>
      </c>
      <c r="G5" s="280" t="s">
        <v>2447</v>
      </c>
      <c r="H5" s="284"/>
      <c r="I5" s="280" t="str">
        <f t="shared" si="0"/>
        <v>TBD_by_ETLTBD_by_ETL</v>
      </c>
      <c r="J5" s="284"/>
      <c r="K5" s="283"/>
      <c r="L5" s="283"/>
      <c r="M5" s="280"/>
      <c r="N5" s="280"/>
      <c r="O5" s="280"/>
      <c r="P5" s="280"/>
      <c r="Q5" s="280"/>
      <c r="R5" s="280"/>
      <c r="S5" s="280"/>
      <c r="T5" s="280"/>
      <c r="U5" s="280"/>
      <c r="V5" s="280"/>
      <c r="W5" s="280"/>
      <c r="X5" s="280"/>
      <c r="Y5" s="280"/>
      <c r="Z5" s="280"/>
      <c r="AA5" s="280"/>
      <c r="AB5" s="280"/>
      <c r="AC5" s="280"/>
      <c r="AD5" s="280"/>
      <c r="AE5" s="280"/>
      <c r="AF5" s="280"/>
      <c r="AG5" s="280"/>
      <c r="AH5" s="280"/>
      <c r="AI5" s="280"/>
      <c r="AJ5" s="280"/>
      <c r="AK5" s="280"/>
      <c r="AL5" s="280"/>
      <c r="AM5" s="280"/>
      <c r="AN5" s="280"/>
      <c r="AO5" s="280"/>
      <c r="AP5" s="280"/>
      <c r="AQ5" s="280"/>
      <c r="AR5" s="280"/>
      <c r="AS5" s="280"/>
      <c r="AT5" s="280"/>
      <c r="AU5" s="280"/>
      <c r="AV5" s="280"/>
      <c r="AW5" s="280"/>
      <c r="AX5" s="280"/>
      <c r="AY5" s="280"/>
      <c r="AZ5" s="280"/>
      <c r="BA5" s="280"/>
      <c r="BB5" s="280"/>
      <c r="BC5" s="280"/>
    </row>
    <row r="6" spans="1:55">
      <c r="A6" s="280" t="s">
        <v>2448</v>
      </c>
      <c r="B6" s="281" t="s">
        <v>19</v>
      </c>
      <c r="C6" s="282" t="s">
        <v>2438</v>
      </c>
      <c r="D6" s="282" t="s">
        <v>2438</v>
      </c>
      <c r="E6" s="280" t="s">
        <v>2439</v>
      </c>
      <c r="F6" s="280" t="s">
        <v>2449</v>
      </c>
      <c r="G6" s="280" t="s">
        <v>2444</v>
      </c>
      <c r="H6" s="280"/>
      <c r="I6" s="280" t="str">
        <f t="shared" si="0"/>
        <v>TBD_by_ETLTBD_by_ETL</v>
      </c>
      <c r="J6" s="280"/>
      <c r="K6" s="283"/>
      <c r="L6" s="283"/>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row>
    <row r="7" spans="1:55">
      <c r="A7" s="280" t="s">
        <v>2450</v>
      </c>
      <c r="B7" s="281" t="s">
        <v>19</v>
      </c>
      <c r="C7" s="282" t="s">
        <v>2438</v>
      </c>
      <c r="D7" s="282" t="s">
        <v>2438</v>
      </c>
      <c r="E7" s="280" t="s">
        <v>2439</v>
      </c>
      <c r="F7" s="284" t="s">
        <v>2451</v>
      </c>
      <c r="G7" s="284">
        <v>45877.605462962965</v>
      </c>
      <c r="H7" s="284"/>
      <c r="I7" s="280" t="str">
        <f t="shared" si="0"/>
        <v>TBD_by_ETLTBD_by_ETL</v>
      </c>
      <c r="J7" s="284"/>
      <c r="K7" s="283"/>
      <c r="L7" s="283"/>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row>
    <row r="8" spans="1:55">
      <c r="A8" s="280" t="s">
        <v>118</v>
      </c>
      <c r="B8" s="281" t="s">
        <v>19</v>
      </c>
      <c r="C8" s="282" t="s">
        <v>1</v>
      </c>
      <c r="D8" s="282" t="s">
        <v>1</v>
      </c>
      <c r="E8" s="280" t="s">
        <v>1380</v>
      </c>
      <c r="F8" s="284" t="s">
        <v>2452</v>
      </c>
      <c r="G8" s="284">
        <v>45870.988194444442</v>
      </c>
      <c r="H8" s="284"/>
      <c r="I8" s="280" t="str">
        <f t="shared" si="0"/>
        <v>YY</v>
      </c>
      <c r="J8" s="284"/>
      <c r="K8" s="283"/>
      <c r="L8" s="283"/>
      <c r="M8" s="280"/>
      <c r="N8" s="280"/>
      <c r="O8" s="280"/>
      <c r="P8" s="280"/>
      <c r="Q8" s="280"/>
      <c r="R8" s="280"/>
      <c r="S8" s="280"/>
      <c r="T8" s="280"/>
      <c r="U8" s="280"/>
      <c r="V8" s="280"/>
      <c r="W8" s="280"/>
      <c r="X8" s="280"/>
      <c r="Y8" s="280"/>
      <c r="Z8" s="280"/>
      <c r="AA8" s="280"/>
      <c r="AB8" s="280"/>
      <c r="AC8" s="280"/>
      <c r="AD8" s="280"/>
      <c r="AE8" s="280"/>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row>
    <row r="9" spans="1:55">
      <c r="A9" s="280" t="s">
        <v>122</v>
      </c>
      <c r="B9" s="281" t="s">
        <v>19</v>
      </c>
      <c r="C9" s="282" t="s">
        <v>1</v>
      </c>
      <c r="D9" s="282" t="s">
        <v>1</v>
      </c>
      <c r="E9" s="280" t="s">
        <v>1380</v>
      </c>
      <c r="F9" s="284" t="s">
        <v>2453</v>
      </c>
      <c r="G9" s="284">
        <v>45870.900694444441</v>
      </c>
      <c r="H9" s="284"/>
      <c r="I9" s="280" t="str">
        <f t="shared" si="0"/>
        <v>YY</v>
      </c>
      <c r="J9" s="284"/>
      <c r="K9" s="283"/>
      <c r="L9" s="283"/>
      <c r="M9" s="280"/>
      <c r="N9" s="280"/>
      <c r="O9" s="280"/>
      <c r="P9" s="280"/>
      <c r="Q9" s="280"/>
      <c r="R9" s="280"/>
      <c r="S9" s="280"/>
      <c r="T9" s="280"/>
      <c r="U9" s="280"/>
      <c r="V9" s="280"/>
      <c r="W9" s="280"/>
      <c r="X9" s="280"/>
      <c r="Y9" s="280"/>
      <c r="Z9" s="280"/>
      <c r="AA9" s="280"/>
      <c r="AB9" s="280"/>
      <c r="AC9" s="280"/>
      <c r="AD9" s="280"/>
      <c r="AE9" s="280"/>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row>
    <row r="10" spans="1:55">
      <c r="A10" s="280" t="s">
        <v>67</v>
      </c>
      <c r="B10" s="281" t="s">
        <v>19</v>
      </c>
      <c r="C10" s="282" t="s">
        <v>1</v>
      </c>
      <c r="D10" s="282" t="s">
        <v>1</v>
      </c>
      <c r="E10" s="280" t="s">
        <v>1380</v>
      </c>
      <c r="F10" s="280" t="s">
        <v>69</v>
      </c>
      <c r="G10" s="285">
        <v>45871</v>
      </c>
      <c r="H10" s="285"/>
      <c r="I10" s="280" t="str">
        <f t="shared" si="0"/>
        <v>YY</v>
      </c>
      <c r="J10" s="285"/>
      <c r="K10" s="283"/>
      <c r="L10" s="283"/>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row>
    <row r="11" spans="1:55">
      <c r="A11" s="280" t="s">
        <v>125</v>
      </c>
      <c r="B11" s="281" t="s">
        <v>19</v>
      </c>
      <c r="C11" s="282" t="s">
        <v>1</v>
      </c>
      <c r="D11" s="282" t="s">
        <v>1</v>
      </c>
      <c r="E11" s="280" t="s">
        <v>680</v>
      </c>
      <c r="F11" s="280" t="s">
        <v>126</v>
      </c>
      <c r="G11" s="280">
        <v>942442</v>
      </c>
      <c r="H11" s="280"/>
      <c r="I11" s="280" t="str">
        <f t="shared" si="0"/>
        <v>YY</v>
      </c>
      <c r="J11" s="280"/>
      <c r="K11" s="283"/>
      <c r="L11" s="283"/>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0"/>
      <c r="AU11" s="280"/>
      <c r="AV11" s="280"/>
      <c r="AW11" s="280"/>
      <c r="AX11" s="280"/>
      <c r="AY11" s="280"/>
      <c r="AZ11" s="280"/>
      <c r="BA11" s="280"/>
      <c r="BB11" s="280"/>
      <c r="BC11" s="280"/>
    </row>
    <row r="12" spans="1:55">
      <c r="A12" s="280" t="s">
        <v>88</v>
      </c>
      <c r="B12" s="281" t="s">
        <v>19</v>
      </c>
      <c r="C12" s="282" t="s">
        <v>1</v>
      </c>
      <c r="D12" s="282" t="s">
        <v>1</v>
      </c>
      <c r="E12" s="280" t="s">
        <v>11</v>
      </c>
      <c r="F12" s="280" t="s">
        <v>89</v>
      </c>
      <c r="G12" s="280" t="s">
        <v>91</v>
      </c>
      <c r="H12" s="280"/>
      <c r="I12" s="280" t="str">
        <f t="shared" si="0"/>
        <v>YY</v>
      </c>
      <c r="J12" s="280"/>
      <c r="K12" s="283"/>
      <c r="L12" s="283"/>
      <c r="M12" s="280"/>
      <c r="N12" s="280"/>
      <c r="O12" s="280"/>
      <c r="P12" s="280"/>
      <c r="Q12" s="280"/>
      <c r="R12" s="280"/>
      <c r="S12" s="280"/>
      <c r="T12" s="280"/>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c r="AY12" s="280"/>
      <c r="AZ12" s="280"/>
      <c r="BA12" s="280"/>
      <c r="BB12" s="280"/>
      <c r="BC12" s="280"/>
    </row>
    <row r="13" spans="1:55">
      <c r="A13" s="280" t="s">
        <v>675</v>
      </c>
      <c r="B13" s="281" t="s">
        <v>19</v>
      </c>
      <c r="C13" s="282" t="s">
        <v>1</v>
      </c>
      <c r="D13" s="282" t="s">
        <v>1</v>
      </c>
      <c r="E13" s="280" t="s">
        <v>680</v>
      </c>
      <c r="F13" s="280" t="s">
        <v>676</v>
      </c>
      <c r="G13" s="280">
        <v>4994</v>
      </c>
      <c r="H13" s="280"/>
      <c r="I13" s="280" t="str">
        <f t="shared" si="0"/>
        <v>YY</v>
      </c>
      <c r="J13" s="280"/>
      <c r="K13" s="283"/>
      <c r="L13" s="283"/>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row>
    <row r="14" spans="1:55">
      <c r="A14" s="280" t="s">
        <v>108</v>
      </c>
      <c r="B14" s="281" t="s">
        <v>19</v>
      </c>
      <c r="C14" s="282" t="s">
        <v>1</v>
      </c>
      <c r="D14" s="282" t="s">
        <v>1</v>
      </c>
      <c r="E14" s="280" t="s">
        <v>6</v>
      </c>
      <c r="F14" s="280" t="s">
        <v>109</v>
      </c>
      <c r="G14" s="280">
        <v>5770</v>
      </c>
      <c r="H14" s="280" t="s">
        <v>799</v>
      </c>
      <c r="I14" s="280" t="str">
        <f t="shared" si="0"/>
        <v>YY</v>
      </c>
      <c r="J14" s="280"/>
      <c r="K14" s="283"/>
      <c r="L14" s="283"/>
      <c r="M14" s="280"/>
      <c r="N14" s="280"/>
      <c r="O14" s="280"/>
      <c r="P14" s="280"/>
      <c r="Q14" s="280"/>
      <c r="R14" s="280"/>
      <c r="S14" s="280"/>
      <c r="T14" s="280"/>
      <c r="U14" s="280"/>
      <c r="V14" s="280"/>
      <c r="W14" s="280"/>
      <c r="X14" s="280"/>
      <c r="Y14" s="280"/>
      <c r="Z14" s="280"/>
      <c r="AA14" s="280"/>
      <c r="AB14" s="280"/>
      <c r="AC14" s="280"/>
      <c r="AD14" s="280"/>
      <c r="AE14" s="280"/>
      <c r="AF14" s="280"/>
      <c r="AG14" s="280"/>
      <c r="AH14" s="280"/>
      <c r="AI14" s="280"/>
      <c r="AJ14" s="280"/>
      <c r="AK14" s="280"/>
      <c r="AL14" s="280"/>
      <c r="AM14" s="280"/>
      <c r="AN14" s="280"/>
      <c r="AO14" s="280"/>
      <c r="AP14" s="280"/>
      <c r="AQ14" s="280"/>
      <c r="AR14" s="280"/>
      <c r="AS14" s="280"/>
      <c r="AT14" s="280"/>
      <c r="AU14" s="280"/>
      <c r="AV14" s="280"/>
      <c r="AW14" s="280"/>
      <c r="AX14" s="280"/>
      <c r="AY14" s="280"/>
      <c r="AZ14" s="280"/>
      <c r="BA14" s="280"/>
      <c r="BB14" s="280"/>
      <c r="BC14" s="280"/>
    </row>
    <row r="15" spans="1:55">
      <c r="A15" s="280" t="s">
        <v>113</v>
      </c>
      <c r="B15" s="281" t="s">
        <v>19</v>
      </c>
      <c r="C15" s="282" t="s">
        <v>1</v>
      </c>
      <c r="D15" s="282" t="s">
        <v>1</v>
      </c>
      <c r="E15" s="280" t="s">
        <v>6</v>
      </c>
      <c r="F15" s="280" t="s">
        <v>114</v>
      </c>
      <c r="G15" s="280">
        <v>5772</v>
      </c>
      <c r="H15" s="280" t="s">
        <v>799</v>
      </c>
      <c r="I15" s="280" t="str">
        <f t="shared" si="0"/>
        <v>YY</v>
      </c>
      <c r="J15" s="280"/>
      <c r="K15" s="283"/>
      <c r="L15" s="283"/>
      <c r="M15" s="280"/>
      <c r="N15" s="280"/>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row>
    <row r="16" spans="1:55">
      <c r="A16" s="280" t="s">
        <v>160</v>
      </c>
      <c r="B16" s="281" t="s">
        <v>19</v>
      </c>
      <c r="C16" s="282" t="s">
        <v>1</v>
      </c>
      <c r="D16" s="282" t="s">
        <v>1</v>
      </c>
      <c r="E16" s="280" t="s">
        <v>9</v>
      </c>
      <c r="F16" s="280" t="s">
        <v>161</v>
      </c>
      <c r="G16" s="280">
        <v>2</v>
      </c>
      <c r="H16" s="280"/>
      <c r="I16" s="280" t="str">
        <f t="shared" si="0"/>
        <v>YY</v>
      </c>
      <c r="J16" s="280"/>
      <c r="K16" s="283"/>
      <c r="L16" s="283"/>
      <c r="M16" s="280"/>
      <c r="N16" s="280"/>
      <c r="O16" s="280"/>
      <c r="P16" s="280"/>
      <c r="Q16" s="280"/>
      <c r="R16" s="280"/>
      <c r="S16" s="280"/>
      <c r="T16" s="280"/>
      <c r="U16" s="280"/>
      <c r="V16" s="280"/>
      <c r="W16" s="280"/>
      <c r="X16" s="280"/>
      <c r="Y16" s="280"/>
      <c r="Z16" s="280"/>
      <c r="AA16" s="280"/>
      <c r="AB16" s="280"/>
      <c r="AC16" s="280"/>
      <c r="AD16" s="280"/>
      <c r="AE16" s="280"/>
      <c r="AF16" s="280"/>
      <c r="AG16" s="280"/>
      <c r="AH16" s="280"/>
      <c r="AI16" s="280"/>
      <c r="AJ16" s="280"/>
      <c r="AK16" s="280"/>
      <c r="AL16" s="280"/>
      <c r="AM16" s="280"/>
      <c r="AN16" s="280"/>
      <c r="AO16" s="280"/>
      <c r="AP16" s="280"/>
      <c r="AQ16" s="280"/>
      <c r="AR16" s="280"/>
      <c r="AS16" s="280"/>
      <c r="AT16" s="280"/>
      <c r="AU16" s="280"/>
      <c r="AV16" s="280"/>
      <c r="AW16" s="280"/>
      <c r="AX16" s="280"/>
      <c r="AY16" s="280"/>
      <c r="AZ16" s="280"/>
      <c r="BA16" s="280"/>
      <c r="BB16" s="280"/>
      <c r="BC16" s="280"/>
    </row>
    <row r="17" spans="1:55">
      <c r="A17" s="280" t="s">
        <v>165</v>
      </c>
      <c r="B17" s="281" t="s">
        <v>19</v>
      </c>
      <c r="C17" s="282" t="s">
        <v>1</v>
      </c>
      <c r="D17" s="282" t="s">
        <v>1</v>
      </c>
      <c r="E17" s="280" t="s">
        <v>9</v>
      </c>
      <c r="F17" s="280" t="s">
        <v>166</v>
      </c>
      <c r="G17" s="280">
        <v>6.02</v>
      </c>
      <c r="H17" s="280"/>
      <c r="I17" s="280" t="str">
        <f t="shared" si="0"/>
        <v>YY</v>
      </c>
      <c r="J17" s="280"/>
      <c r="K17" s="283"/>
      <c r="L17" s="283"/>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80"/>
      <c r="AU17" s="280"/>
      <c r="AV17" s="280"/>
      <c r="AW17" s="280"/>
      <c r="AX17" s="280"/>
      <c r="AY17" s="280"/>
      <c r="AZ17" s="280"/>
      <c r="BA17" s="280"/>
      <c r="BB17" s="280"/>
      <c r="BC17" s="280"/>
    </row>
    <row r="18" spans="1:55">
      <c r="A18" s="280" t="s">
        <v>827</v>
      </c>
      <c r="B18" s="281" t="s">
        <v>19</v>
      </c>
      <c r="C18" s="282" t="s">
        <v>1</v>
      </c>
      <c r="D18" s="282"/>
      <c r="E18" s="280" t="s">
        <v>4</v>
      </c>
      <c r="F18" s="280" t="s">
        <v>828</v>
      </c>
      <c r="G18" s="280">
        <v>2</v>
      </c>
      <c r="H18" s="280"/>
      <c r="I18" s="280" t="str">
        <f t="shared" si="0"/>
        <v>Y</v>
      </c>
      <c r="J18" s="280"/>
      <c r="K18" s="283"/>
      <c r="L18" s="283"/>
      <c r="M18" s="280"/>
      <c r="N18" s="280"/>
      <c r="O18" s="280"/>
      <c r="P18" s="280"/>
      <c r="Q18" s="280"/>
      <c r="R18" s="280"/>
      <c r="S18" s="280"/>
      <c r="T18" s="280"/>
      <c r="U18" s="280"/>
      <c r="V18" s="280"/>
      <c r="W18" s="280"/>
      <c r="X18" s="280"/>
      <c r="Y18" s="280"/>
      <c r="Z18" s="280"/>
      <c r="AA18" s="280"/>
      <c r="AB18" s="280"/>
      <c r="AC18" s="280"/>
      <c r="AD18" s="280"/>
      <c r="AE18" s="280"/>
      <c r="AF18" s="280"/>
      <c r="AG18" s="280"/>
      <c r="AH18" s="280"/>
      <c r="AI18" s="280"/>
      <c r="AJ18" s="280"/>
      <c r="AK18" s="280"/>
      <c r="AL18" s="280"/>
      <c r="AM18" s="280"/>
      <c r="AN18" s="280"/>
      <c r="AO18" s="280"/>
      <c r="AP18" s="280"/>
      <c r="AQ18" s="280"/>
      <c r="AR18" s="280"/>
      <c r="AS18" s="280"/>
      <c r="AT18" s="280"/>
      <c r="AU18" s="280"/>
      <c r="AV18" s="280"/>
      <c r="AW18" s="280"/>
      <c r="AX18" s="280"/>
      <c r="AY18" s="280"/>
      <c r="AZ18" s="280"/>
      <c r="BA18" s="280"/>
      <c r="BB18" s="280"/>
      <c r="BC18" s="280"/>
    </row>
    <row r="19" spans="1:55">
      <c r="A19" s="280" t="s">
        <v>823</v>
      </c>
      <c r="B19" s="281" t="s">
        <v>19</v>
      </c>
      <c r="C19" s="282" t="s">
        <v>1</v>
      </c>
      <c r="D19" s="282"/>
      <c r="E19" s="280" t="s">
        <v>4</v>
      </c>
      <c r="F19" s="280" t="s">
        <v>824</v>
      </c>
      <c r="G19" s="280">
        <v>21</v>
      </c>
      <c r="H19" s="280"/>
      <c r="I19" s="280" t="str">
        <f t="shared" si="0"/>
        <v>Y</v>
      </c>
      <c r="J19" s="280"/>
      <c r="K19" s="283"/>
      <c r="L19" s="283"/>
      <c r="M19" s="280"/>
      <c r="N19" s="280"/>
      <c r="O19" s="280"/>
      <c r="P19" s="280"/>
      <c r="Q19" s="280"/>
      <c r="R19" s="280"/>
      <c r="S19" s="280"/>
      <c r="T19" s="280"/>
      <c r="U19" s="280"/>
      <c r="V19" s="280"/>
      <c r="W19" s="280"/>
      <c r="X19" s="280"/>
      <c r="Y19" s="280"/>
      <c r="Z19" s="280"/>
      <c r="AA19" s="280"/>
      <c r="AB19" s="280"/>
      <c r="AC19" s="280"/>
      <c r="AD19" s="280"/>
      <c r="AE19" s="280"/>
      <c r="AF19" s="280"/>
      <c r="AG19" s="280"/>
      <c r="AH19" s="280"/>
      <c r="AI19" s="280"/>
      <c r="AJ19" s="280"/>
      <c r="AK19" s="280"/>
      <c r="AL19" s="280"/>
      <c r="AM19" s="280"/>
      <c r="AN19" s="280"/>
      <c r="AO19" s="280"/>
      <c r="AP19" s="280"/>
      <c r="AQ19" s="280"/>
      <c r="AR19" s="280"/>
      <c r="AS19" s="280"/>
      <c r="AT19" s="280"/>
      <c r="AU19" s="280"/>
      <c r="AV19" s="280"/>
      <c r="AW19" s="280"/>
      <c r="AX19" s="280"/>
      <c r="AY19" s="280"/>
      <c r="AZ19" s="280"/>
      <c r="BA19" s="280"/>
      <c r="BB19" s="280"/>
      <c r="BC19" s="280"/>
    </row>
    <row r="20" spans="1:55">
      <c r="A20" s="280" t="s">
        <v>819</v>
      </c>
      <c r="B20" s="281" t="s">
        <v>19</v>
      </c>
      <c r="C20" s="282" t="s">
        <v>1</v>
      </c>
      <c r="D20" s="282"/>
      <c r="E20" s="280" t="s">
        <v>4</v>
      </c>
      <c r="F20" s="280" t="s">
        <v>820</v>
      </c>
      <c r="G20" s="280">
        <v>21</v>
      </c>
      <c r="H20" s="280"/>
      <c r="I20" s="280" t="str">
        <f t="shared" si="0"/>
        <v>Y</v>
      </c>
      <c r="J20" s="280"/>
      <c r="K20" s="283"/>
      <c r="L20" s="283"/>
      <c r="M20" s="280"/>
      <c r="N20" s="280"/>
      <c r="O20" s="280"/>
      <c r="P20" s="280"/>
      <c r="Q20" s="280"/>
      <c r="R20" s="280"/>
      <c r="S20" s="280"/>
      <c r="T20" s="280"/>
      <c r="U20" s="280"/>
      <c r="V20" s="280"/>
      <c r="W20" s="280"/>
      <c r="X20" s="280"/>
      <c r="Y20" s="280"/>
      <c r="Z20" s="280"/>
      <c r="AA20" s="280"/>
      <c r="AB20" s="280"/>
      <c r="AC20" s="280"/>
      <c r="AD20" s="280"/>
      <c r="AE20" s="280"/>
      <c r="AF20" s="280"/>
      <c r="AG20" s="280"/>
      <c r="AH20" s="280"/>
      <c r="AI20" s="280"/>
      <c r="AJ20" s="280"/>
      <c r="AK20" s="280"/>
      <c r="AL20" s="280"/>
      <c r="AM20" s="280"/>
      <c r="AN20" s="280"/>
      <c r="AO20" s="280"/>
      <c r="AP20" s="280"/>
      <c r="AQ20" s="280"/>
      <c r="AR20" s="280"/>
      <c r="AS20" s="280"/>
      <c r="AT20" s="280"/>
      <c r="AU20" s="280"/>
      <c r="AV20" s="280"/>
      <c r="AW20" s="280"/>
      <c r="AX20" s="280"/>
      <c r="AY20" s="280"/>
      <c r="AZ20" s="280"/>
      <c r="BA20" s="280"/>
      <c r="BB20" s="280"/>
      <c r="BC20" s="280"/>
    </row>
    <row r="21" spans="1:55">
      <c r="A21" s="280" t="s">
        <v>169</v>
      </c>
      <c r="B21" s="281" t="s">
        <v>19</v>
      </c>
      <c r="C21" s="282" t="s">
        <v>1</v>
      </c>
      <c r="D21" s="282" t="s">
        <v>1</v>
      </c>
      <c r="E21" s="280" t="s">
        <v>8</v>
      </c>
      <c r="F21" s="280" t="s">
        <v>170</v>
      </c>
      <c r="G21" s="280">
        <v>167.70599999999999</v>
      </c>
      <c r="H21" s="280"/>
      <c r="I21" s="280" t="str">
        <f t="shared" si="0"/>
        <v>YY</v>
      </c>
      <c r="J21" s="280"/>
      <c r="K21" s="283"/>
      <c r="L21" s="283"/>
      <c r="M21" s="280"/>
      <c r="N21" s="280"/>
      <c r="O21" s="280"/>
      <c r="P21" s="280"/>
      <c r="Q21" s="280"/>
      <c r="R21" s="280"/>
      <c r="S21" s="280"/>
      <c r="T21" s="280"/>
      <c r="U21" s="280"/>
      <c r="V21" s="280"/>
      <c r="W21" s="280"/>
      <c r="X21" s="280"/>
      <c r="Y21" s="280"/>
      <c r="Z21" s="280"/>
      <c r="AA21" s="280"/>
      <c r="AB21" s="280"/>
      <c r="AC21" s="280"/>
      <c r="AD21" s="280"/>
      <c r="AE21" s="280"/>
      <c r="AF21" s="280"/>
      <c r="AG21" s="280"/>
      <c r="AH21" s="280"/>
      <c r="AI21" s="280"/>
      <c r="AJ21" s="280"/>
      <c r="AK21" s="280"/>
      <c r="AL21" s="280"/>
      <c r="AM21" s="280"/>
      <c r="AN21" s="280"/>
      <c r="AO21" s="280"/>
      <c r="AP21" s="280"/>
      <c r="AQ21" s="280"/>
      <c r="AR21" s="280"/>
      <c r="AS21" s="280"/>
      <c r="AT21" s="280"/>
      <c r="AU21" s="280"/>
      <c r="AV21" s="280"/>
      <c r="AW21" s="280"/>
      <c r="AX21" s="280"/>
      <c r="AY21" s="280"/>
      <c r="AZ21" s="280"/>
      <c r="BA21" s="280"/>
      <c r="BB21" s="280"/>
      <c r="BC21" s="280"/>
    </row>
    <row r="22" spans="1:55">
      <c r="A22" s="280" t="s">
        <v>129</v>
      </c>
      <c r="B22" s="281" t="s">
        <v>19</v>
      </c>
      <c r="C22" s="282" t="s">
        <v>1</v>
      </c>
      <c r="D22" s="282" t="s">
        <v>1</v>
      </c>
      <c r="E22" s="286" t="s">
        <v>8</v>
      </c>
      <c r="F22" s="286" t="s">
        <v>130</v>
      </c>
      <c r="G22" s="286">
        <v>7.9859999999999998</v>
      </c>
      <c r="H22" s="286" t="s">
        <v>802</v>
      </c>
      <c r="I22" s="280" t="str">
        <f t="shared" si="0"/>
        <v>YY</v>
      </c>
      <c r="J22" s="280"/>
      <c r="K22" s="283"/>
      <c r="L22" s="283"/>
      <c r="M22" s="280"/>
      <c r="N22" s="280"/>
      <c r="O22" s="280"/>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row>
    <row r="23" spans="1:55">
      <c r="A23" s="280" t="s">
        <v>735</v>
      </c>
      <c r="B23" s="281" t="s">
        <v>19</v>
      </c>
      <c r="C23" s="282" t="s">
        <v>1</v>
      </c>
      <c r="D23" s="282" t="s">
        <v>1</v>
      </c>
      <c r="E23" s="286" t="s">
        <v>7</v>
      </c>
      <c r="F23" s="286" t="s">
        <v>736</v>
      </c>
      <c r="G23" s="286">
        <v>8700</v>
      </c>
      <c r="H23" s="286" t="s">
        <v>804</v>
      </c>
      <c r="I23" s="280" t="str">
        <f t="shared" si="0"/>
        <v>YY</v>
      </c>
      <c r="J23" s="280"/>
      <c r="K23" s="283"/>
      <c r="L23" s="283"/>
      <c r="M23" s="280"/>
      <c r="N23" s="280"/>
      <c r="O23" s="280"/>
      <c r="P23" s="280"/>
      <c r="Q23" s="280"/>
      <c r="R23" s="280"/>
      <c r="S23" s="280"/>
      <c r="T23" s="280"/>
      <c r="U23" s="280"/>
      <c r="V23" s="280"/>
      <c r="W23" s="280"/>
      <c r="X23" s="280"/>
      <c r="Y23" s="280"/>
      <c r="Z23" s="280"/>
      <c r="AA23" s="280"/>
      <c r="AB23" s="280"/>
      <c r="AC23" s="280"/>
      <c r="AD23" s="280"/>
      <c r="AE23" s="280"/>
      <c r="AF23" s="280"/>
      <c r="AG23" s="280"/>
      <c r="AH23" s="280"/>
      <c r="AI23" s="280"/>
      <c r="AJ23" s="280"/>
      <c r="AK23" s="280"/>
      <c r="AL23" s="280"/>
      <c r="AM23" s="280"/>
      <c r="AN23" s="280"/>
      <c r="AO23" s="280"/>
      <c r="AP23" s="280"/>
      <c r="AQ23" s="280"/>
      <c r="AR23" s="280"/>
      <c r="AS23" s="280"/>
      <c r="AT23" s="280"/>
      <c r="AU23" s="280"/>
      <c r="AV23" s="280"/>
      <c r="AW23" s="280"/>
      <c r="AX23" s="280"/>
      <c r="AY23" s="280"/>
      <c r="AZ23" s="280"/>
      <c r="BA23" s="280"/>
      <c r="BB23" s="280"/>
      <c r="BC23" s="280"/>
    </row>
    <row r="24" spans="1:55">
      <c r="A24" s="280" t="s">
        <v>184</v>
      </c>
      <c r="B24" s="281" t="s">
        <v>19</v>
      </c>
      <c r="C24" s="282" t="s">
        <v>1</v>
      </c>
      <c r="D24" s="282" t="s">
        <v>1</v>
      </c>
      <c r="E24" s="286" t="s">
        <v>8</v>
      </c>
      <c r="F24" s="286" t="s">
        <v>185</v>
      </c>
      <c r="G24" s="286">
        <v>0</v>
      </c>
      <c r="H24" s="286" t="s">
        <v>804</v>
      </c>
      <c r="I24" s="280" t="str">
        <f t="shared" si="0"/>
        <v>YY</v>
      </c>
      <c r="J24" s="280"/>
      <c r="K24" s="283"/>
      <c r="L24" s="283"/>
      <c r="M24" s="280"/>
      <c r="N24" s="280"/>
      <c r="O24" s="280"/>
      <c r="P24" s="280"/>
      <c r="Q24" s="280"/>
      <c r="R24" s="280"/>
      <c r="S24" s="280"/>
      <c r="T24" s="280"/>
      <c r="U24" s="280"/>
      <c r="V24" s="280"/>
      <c r="W24" s="280"/>
      <c r="X24" s="280"/>
      <c r="Y24" s="280"/>
      <c r="Z24" s="280"/>
      <c r="AA24" s="280"/>
      <c r="AB24" s="280"/>
      <c r="AC24" s="280"/>
      <c r="AD24" s="280"/>
      <c r="AE24" s="280"/>
      <c r="AF24" s="280"/>
      <c r="AG24" s="280"/>
      <c r="AH24" s="280"/>
      <c r="AI24" s="280"/>
      <c r="AJ24" s="280"/>
      <c r="AK24" s="280"/>
      <c r="AL24" s="280"/>
      <c r="AM24" s="280"/>
      <c r="AN24" s="280"/>
      <c r="AO24" s="280"/>
      <c r="AP24" s="280"/>
      <c r="AQ24" s="280"/>
      <c r="AR24" s="280"/>
      <c r="AS24" s="280"/>
      <c r="AT24" s="280"/>
      <c r="AU24" s="280"/>
      <c r="AV24" s="280"/>
      <c r="AW24" s="280"/>
      <c r="AX24" s="280"/>
      <c r="AY24" s="280"/>
      <c r="AZ24" s="280"/>
      <c r="BA24" s="280"/>
      <c r="BB24" s="280"/>
      <c r="BC24" s="280"/>
    </row>
    <row r="25" spans="1:55">
      <c r="A25" s="280" t="s">
        <v>187</v>
      </c>
      <c r="B25" s="281" t="s">
        <v>19</v>
      </c>
      <c r="C25" s="282" t="s">
        <v>1</v>
      </c>
      <c r="D25" s="282" t="s">
        <v>1</v>
      </c>
      <c r="E25" s="280" t="s">
        <v>8</v>
      </c>
      <c r="F25" s="280" t="s">
        <v>188</v>
      </c>
      <c r="G25" s="280">
        <v>3386.0639999999999</v>
      </c>
      <c r="H25" s="280"/>
      <c r="I25" s="280" t="str">
        <f t="shared" si="0"/>
        <v>YY</v>
      </c>
      <c r="J25" s="280"/>
      <c r="K25" s="283"/>
      <c r="L25" s="283"/>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row>
    <row r="26" spans="1:55">
      <c r="A26" s="280" t="s">
        <v>150</v>
      </c>
      <c r="B26" s="281" t="s">
        <v>19</v>
      </c>
      <c r="C26" s="282" t="s">
        <v>1</v>
      </c>
      <c r="D26" s="282" t="s">
        <v>1</v>
      </c>
      <c r="E26" s="280" t="s">
        <v>13</v>
      </c>
      <c r="F26" s="280" t="s">
        <v>151</v>
      </c>
      <c r="G26" s="280">
        <v>424</v>
      </c>
      <c r="H26" s="280"/>
      <c r="I26" s="280" t="str">
        <f t="shared" si="0"/>
        <v>YY</v>
      </c>
      <c r="J26" s="280"/>
      <c r="K26" s="283"/>
      <c r="L26" s="283"/>
      <c r="M26" s="280"/>
      <c r="N26" s="280"/>
      <c r="O26" s="280"/>
      <c r="P26" s="280"/>
      <c r="Q26" s="280"/>
      <c r="R26" s="280"/>
      <c r="S26" s="280"/>
      <c r="T26" s="280"/>
      <c r="U26" s="280"/>
      <c r="V26" s="280"/>
      <c r="W26" s="280"/>
      <c r="X26" s="280"/>
      <c r="Y26" s="280"/>
      <c r="Z26" s="280"/>
      <c r="AA26" s="280"/>
      <c r="AB26" s="280"/>
      <c r="AC26" s="280"/>
      <c r="AD26" s="280"/>
      <c r="AE26" s="280"/>
      <c r="AF26" s="280"/>
      <c r="AG26" s="280"/>
      <c r="AH26" s="280"/>
      <c r="AI26" s="280"/>
      <c r="AJ26" s="280"/>
      <c r="AK26" s="280"/>
      <c r="AL26" s="280"/>
      <c r="AM26" s="280"/>
      <c r="AN26" s="280"/>
      <c r="AO26" s="280"/>
      <c r="AP26" s="280"/>
      <c r="AQ26" s="280"/>
      <c r="AR26" s="280"/>
      <c r="AS26" s="280"/>
      <c r="AT26" s="280"/>
      <c r="AU26" s="280"/>
      <c r="AV26" s="280"/>
      <c r="AW26" s="280"/>
      <c r="AX26" s="280"/>
      <c r="AY26" s="280"/>
      <c r="AZ26" s="280"/>
      <c r="BA26" s="280"/>
      <c r="BB26" s="280"/>
      <c r="BC26" s="280"/>
    </row>
    <row r="27" spans="1:55">
      <c r="A27" s="280" t="s">
        <v>134</v>
      </c>
      <c r="B27" s="281" t="s">
        <v>19</v>
      </c>
      <c r="C27" s="282" t="s">
        <v>1</v>
      </c>
      <c r="D27" s="282" t="s">
        <v>1</v>
      </c>
      <c r="E27" s="280" t="s">
        <v>8</v>
      </c>
      <c r="F27" s="280" t="s">
        <v>135</v>
      </c>
      <c r="G27" s="280">
        <v>16043.874</v>
      </c>
      <c r="H27" s="280"/>
      <c r="I27" s="280" t="str">
        <f t="shared" si="0"/>
        <v>YY</v>
      </c>
      <c r="J27" s="280"/>
      <c r="K27" s="283"/>
      <c r="L27" s="283"/>
      <c r="M27" s="280"/>
      <c r="N27" s="280"/>
      <c r="O27" s="280"/>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row>
    <row r="28" spans="1:55">
      <c r="A28" s="280" t="s">
        <v>155</v>
      </c>
      <c r="B28" s="281" t="s">
        <v>19</v>
      </c>
      <c r="C28" s="282" t="s">
        <v>1</v>
      </c>
      <c r="D28" s="282" t="s">
        <v>1</v>
      </c>
      <c r="E28" s="280" t="s">
        <v>13</v>
      </c>
      <c r="F28" s="280" t="s">
        <v>156</v>
      </c>
      <c r="G28" s="280">
        <v>1598.45</v>
      </c>
      <c r="H28" s="280"/>
      <c r="I28" s="280" t="str">
        <f t="shared" si="0"/>
        <v>YY</v>
      </c>
      <c r="J28" s="280"/>
      <c r="K28" s="283"/>
      <c r="L28" s="283"/>
      <c r="M28" s="280"/>
      <c r="N28" s="280"/>
      <c r="O28" s="280"/>
      <c r="P28" s="280"/>
      <c r="Q28" s="280"/>
      <c r="R28" s="280"/>
      <c r="S28" s="280"/>
      <c r="T28" s="280"/>
      <c r="U28" s="280"/>
      <c r="V28" s="280"/>
      <c r="W28" s="280"/>
      <c r="X28" s="280"/>
      <c r="Y28" s="280"/>
      <c r="Z28" s="280"/>
      <c r="AA28" s="280"/>
      <c r="AB28" s="280"/>
      <c r="AC28" s="280"/>
      <c r="AD28" s="280"/>
      <c r="AE28" s="280"/>
      <c r="AF28" s="280"/>
      <c r="AG28" s="280"/>
      <c r="AH28" s="280"/>
      <c r="AI28" s="280"/>
      <c r="AJ28" s="280"/>
      <c r="AK28" s="280"/>
      <c r="AL28" s="280"/>
      <c r="AM28" s="280"/>
      <c r="AN28" s="280"/>
      <c r="AO28" s="280"/>
      <c r="AP28" s="280"/>
      <c r="AQ28" s="280"/>
      <c r="AR28" s="280"/>
      <c r="AS28" s="280"/>
      <c r="AT28" s="280"/>
      <c r="AU28" s="280"/>
      <c r="AV28" s="280"/>
      <c r="AW28" s="280"/>
      <c r="AX28" s="280"/>
      <c r="AY28" s="280"/>
      <c r="AZ28" s="280"/>
      <c r="BA28" s="280"/>
      <c r="BB28" s="280"/>
      <c r="BC28" s="280"/>
    </row>
    <row r="29" spans="1:55">
      <c r="A29" s="280" t="s">
        <v>173</v>
      </c>
      <c r="B29" s="281" t="s">
        <v>19</v>
      </c>
      <c r="C29" s="282" t="s">
        <v>1</v>
      </c>
      <c r="D29" s="282" t="s">
        <v>1</v>
      </c>
      <c r="E29" s="280" t="s">
        <v>10</v>
      </c>
      <c r="F29" s="280" t="s">
        <v>174</v>
      </c>
      <c r="G29" s="280">
        <v>9379.1579999999994</v>
      </c>
      <c r="H29" s="280"/>
      <c r="I29" s="280" t="str">
        <f t="shared" si="0"/>
        <v>YY</v>
      </c>
      <c r="J29" s="280"/>
      <c r="K29" s="283"/>
      <c r="L29" s="283"/>
      <c r="M29" s="280"/>
      <c r="N29" s="280"/>
      <c r="O29" s="280"/>
      <c r="P29" s="280"/>
      <c r="Q29" s="280"/>
      <c r="R29" s="280"/>
      <c r="S29" s="280"/>
      <c r="T29" s="280"/>
      <c r="U29" s="280"/>
      <c r="V29" s="280"/>
      <c r="W29" s="280"/>
      <c r="X29" s="280"/>
      <c r="Y29" s="280"/>
      <c r="Z29" s="280"/>
      <c r="AA29" s="280"/>
      <c r="AB29" s="280"/>
      <c r="AC29" s="280"/>
      <c r="AD29" s="280"/>
      <c r="AE29" s="280"/>
      <c r="AF29" s="280"/>
      <c r="AG29" s="280"/>
      <c r="AH29" s="280"/>
      <c r="AI29" s="280"/>
      <c r="AJ29" s="280"/>
      <c r="AK29" s="280"/>
      <c r="AL29" s="280"/>
      <c r="AM29" s="280"/>
      <c r="AN29" s="280"/>
      <c r="AO29" s="280"/>
      <c r="AP29" s="280"/>
      <c r="AQ29" s="280"/>
      <c r="AR29" s="280"/>
      <c r="AS29" s="280"/>
      <c r="AT29" s="280"/>
      <c r="AU29" s="280"/>
      <c r="AV29" s="280"/>
      <c r="AW29" s="280"/>
      <c r="AX29" s="280"/>
      <c r="AY29" s="280"/>
      <c r="AZ29" s="280"/>
      <c r="BA29" s="280"/>
      <c r="BB29" s="280"/>
      <c r="BC29" s="280"/>
    </row>
    <row r="30" spans="1:55">
      <c r="A30" s="280" t="s">
        <v>178</v>
      </c>
      <c r="B30" s="281" t="s">
        <v>19</v>
      </c>
      <c r="C30" s="282" t="s">
        <v>1</v>
      </c>
      <c r="D30" s="282" t="s">
        <v>1</v>
      </c>
      <c r="E30" s="280" t="s">
        <v>10</v>
      </c>
      <c r="F30" s="280" t="s">
        <v>180</v>
      </c>
      <c r="G30" s="280">
        <v>25423.031999999999</v>
      </c>
      <c r="H30" s="280"/>
      <c r="I30" s="280" t="str">
        <f t="shared" si="0"/>
        <v>YY</v>
      </c>
      <c r="J30" s="280"/>
      <c r="K30" s="283"/>
      <c r="L30" s="283"/>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c r="BA30" s="280"/>
      <c r="BB30" s="280"/>
      <c r="BC30" s="280"/>
    </row>
    <row r="31" spans="1:55">
      <c r="A31" s="280" t="s">
        <v>621</v>
      </c>
      <c r="B31" s="281" t="s">
        <v>19</v>
      </c>
      <c r="C31" s="282" t="s">
        <v>1</v>
      </c>
      <c r="D31" s="282" t="s">
        <v>1</v>
      </c>
      <c r="E31" s="280" t="s">
        <v>4</v>
      </c>
      <c r="F31" s="280" t="s">
        <v>622</v>
      </c>
      <c r="G31" s="280">
        <v>2</v>
      </c>
      <c r="H31" s="280"/>
      <c r="I31" s="280" t="str">
        <f t="shared" si="0"/>
        <v>YY</v>
      </c>
      <c r="J31" s="280"/>
      <c r="K31" s="283"/>
      <c r="L31" s="283"/>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c r="BA31" s="280"/>
      <c r="BB31" s="280"/>
      <c r="BC31" s="280"/>
    </row>
    <row r="32" spans="1:55">
      <c r="A32" s="280" t="s">
        <v>626</v>
      </c>
      <c r="B32" s="281" t="s">
        <v>19</v>
      </c>
      <c r="C32" s="282" t="s">
        <v>1</v>
      </c>
      <c r="D32" s="282" t="s">
        <v>1</v>
      </c>
      <c r="E32" s="286" t="s">
        <v>4</v>
      </c>
      <c r="F32" s="286" t="s">
        <v>627</v>
      </c>
      <c r="G32" s="286">
        <v>0</v>
      </c>
      <c r="H32" s="286" t="s">
        <v>802</v>
      </c>
      <c r="I32" s="280" t="str">
        <f t="shared" si="0"/>
        <v>YY</v>
      </c>
      <c r="J32" s="280"/>
      <c r="K32" s="283"/>
      <c r="L32" s="283"/>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c r="BA32" s="280"/>
      <c r="BB32" s="280"/>
      <c r="BC32" s="280"/>
    </row>
    <row r="33" spans="1:55">
      <c r="A33" s="280" t="s">
        <v>191</v>
      </c>
      <c r="B33" s="281" t="s">
        <v>19</v>
      </c>
      <c r="C33" s="282" t="s">
        <v>1</v>
      </c>
      <c r="D33" s="282" t="s">
        <v>1</v>
      </c>
      <c r="E33" s="280" t="s">
        <v>8</v>
      </c>
      <c r="F33" s="280" t="s">
        <v>192</v>
      </c>
      <c r="G33" s="280">
        <v>167.70599999999999</v>
      </c>
      <c r="H33" s="280"/>
      <c r="I33" s="280" t="str">
        <f t="shared" si="0"/>
        <v>YY</v>
      </c>
      <c r="J33" s="280"/>
      <c r="K33" s="283"/>
      <c r="L33" s="283"/>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c r="BA33" s="280"/>
      <c r="BB33" s="280"/>
      <c r="BC33" s="280"/>
    </row>
    <row r="34" spans="1:55">
      <c r="A34" s="280" t="s">
        <v>196</v>
      </c>
      <c r="B34" s="281" t="s">
        <v>19</v>
      </c>
      <c r="C34" s="282" t="s">
        <v>1</v>
      </c>
      <c r="D34" s="282" t="s">
        <v>1</v>
      </c>
      <c r="E34" s="280" t="s">
        <v>8</v>
      </c>
      <c r="F34" s="280" t="s">
        <v>197</v>
      </c>
      <c r="G34" s="280">
        <v>0</v>
      </c>
      <c r="H34" s="280"/>
      <c r="I34" s="280" t="str">
        <f t="shared" si="0"/>
        <v>YY</v>
      </c>
      <c r="J34" s="280"/>
      <c r="K34" s="283"/>
      <c r="L34" s="283"/>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c r="BA34" s="280"/>
      <c r="BB34" s="280"/>
      <c r="BC34" s="280"/>
    </row>
    <row r="35" spans="1:55">
      <c r="A35" s="280" t="s">
        <v>200</v>
      </c>
      <c r="B35" s="281" t="s">
        <v>19</v>
      </c>
      <c r="C35" s="282" t="s">
        <v>1</v>
      </c>
      <c r="D35" s="282" t="s">
        <v>1</v>
      </c>
      <c r="E35" s="286" t="s">
        <v>8</v>
      </c>
      <c r="F35" s="286" t="s">
        <v>201</v>
      </c>
      <c r="G35" s="286">
        <v>15.972</v>
      </c>
      <c r="H35" s="286" t="s">
        <v>804</v>
      </c>
      <c r="I35" s="280" t="str">
        <f t="shared" si="0"/>
        <v>YY</v>
      </c>
      <c r="J35" s="280"/>
      <c r="K35" s="283"/>
      <c r="L35" s="283"/>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c r="BA35" s="280"/>
      <c r="BB35" s="280"/>
      <c r="BC35" s="280"/>
    </row>
    <row r="36" spans="1:55">
      <c r="A36" s="280" t="s">
        <v>205</v>
      </c>
      <c r="B36" s="281" t="s">
        <v>19</v>
      </c>
      <c r="C36" s="282" t="s">
        <v>1</v>
      </c>
      <c r="D36" s="282" t="s">
        <v>1</v>
      </c>
      <c r="E36" s="286" t="s">
        <v>8</v>
      </c>
      <c r="F36" s="286" t="s">
        <v>206</v>
      </c>
      <c r="G36" s="286">
        <v>0</v>
      </c>
      <c r="H36" s="286" t="s">
        <v>804</v>
      </c>
      <c r="I36" s="280" t="str">
        <f t="shared" si="0"/>
        <v>YY</v>
      </c>
      <c r="J36" s="280"/>
      <c r="K36" s="283"/>
      <c r="L36" s="283"/>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c r="BA36" s="280"/>
      <c r="BB36" s="280"/>
      <c r="BC36" s="280"/>
    </row>
    <row r="37" spans="1:55">
      <c r="A37" s="280" t="s">
        <v>209</v>
      </c>
      <c r="B37" s="281" t="s">
        <v>19</v>
      </c>
      <c r="C37" s="282" t="s">
        <v>1</v>
      </c>
      <c r="D37" s="282" t="s">
        <v>1</v>
      </c>
      <c r="E37" s="280" t="s">
        <v>8</v>
      </c>
      <c r="F37" s="280" t="s">
        <v>210</v>
      </c>
      <c r="G37" s="280">
        <v>0</v>
      </c>
      <c r="H37" s="280"/>
      <c r="I37" s="280" t="str">
        <f t="shared" si="0"/>
        <v>YY</v>
      </c>
      <c r="J37" s="280"/>
      <c r="K37" s="283"/>
      <c r="L37" s="283"/>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c r="BA37" s="280"/>
      <c r="BB37" s="280"/>
      <c r="BC37" s="280"/>
    </row>
    <row r="38" spans="1:55">
      <c r="A38" s="280" t="s">
        <v>213</v>
      </c>
      <c r="B38" s="281" t="s">
        <v>19</v>
      </c>
      <c r="C38" s="282" t="s">
        <v>1</v>
      </c>
      <c r="D38" s="282" t="s">
        <v>1</v>
      </c>
      <c r="E38" s="280" t="s">
        <v>8</v>
      </c>
      <c r="F38" s="280" t="s">
        <v>214</v>
      </c>
      <c r="G38" s="280">
        <v>0</v>
      </c>
      <c r="H38" s="280"/>
      <c r="I38" s="280" t="str">
        <f t="shared" si="0"/>
        <v>YY</v>
      </c>
      <c r="J38" s="280"/>
      <c r="K38" s="283"/>
      <c r="L38" s="283"/>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row>
    <row r="39" spans="1:55">
      <c r="A39" s="280" t="s">
        <v>218</v>
      </c>
      <c r="B39" s="281" t="s">
        <v>19</v>
      </c>
      <c r="C39" s="287" t="s">
        <v>219</v>
      </c>
      <c r="D39" s="287" t="s">
        <v>219</v>
      </c>
      <c r="E39" s="280" t="s">
        <v>8</v>
      </c>
      <c r="F39" s="280" t="s">
        <v>220</v>
      </c>
      <c r="G39" s="280">
        <v>0</v>
      </c>
      <c r="H39" s="280"/>
      <c r="I39" s="280" t="str">
        <f t="shared" si="0"/>
        <v>XX</v>
      </c>
      <c r="J39" s="280"/>
      <c r="K39" s="283"/>
      <c r="L39" s="283"/>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row>
    <row r="40" spans="1:55">
      <c r="A40" s="280" t="s">
        <v>223</v>
      </c>
      <c r="B40" s="281" t="s">
        <v>19</v>
      </c>
      <c r="C40" s="282" t="s">
        <v>1</v>
      </c>
      <c r="D40" s="282" t="s">
        <v>1</v>
      </c>
      <c r="E40" s="280" t="s">
        <v>8</v>
      </c>
      <c r="F40" s="280" t="s">
        <v>224</v>
      </c>
      <c r="G40" s="280">
        <v>69478.2</v>
      </c>
      <c r="H40" s="280"/>
      <c r="I40" s="280" t="str">
        <f t="shared" si="0"/>
        <v>YY</v>
      </c>
      <c r="J40" s="280"/>
      <c r="K40" s="283"/>
      <c r="L40" s="283"/>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c r="BA40" s="280"/>
      <c r="BB40" s="280"/>
      <c r="BC40" s="280"/>
    </row>
    <row r="41" spans="1:55">
      <c r="A41" s="280" t="s">
        <v>228</v>
      </c>
      <c r="B41" s="281" t="s">
        <v>19</v>
      </c>
      <c r="C41" s="282" t="s">
        <v>1</v>
      </c>
      <c r="D41" s="282" t="s">
        <v>1</v>
      </c>
      <c r="E41" s="280" t="s">
        <v>8</v>
      </c>
      <c r="F41" s="280" t="s">
        <v>229</v>
      </c>
      <c r="G41" s="280">
        <v>0</v>
      </c>
      <c r="H41" s="280"/>
      <c r="I41" s="280" t="str">
        <f t="shared" si="0"/>
        <v>YY</v>
      </c>
      <c r="J41" s="280"/>
      <c r="K41" s="283"/>
      <c r="L41" s="283"/>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row>
    <row r="42" spans="1:55">
      <c r="A42" s="280" t="s">
        <v>231</v>
      </c>
      <c r="B42" s="281" t="s">
        <v>19</v>
      </c>
      <c r="C42" s="282" t="s">
        <v>1</v>
      </c>
      <c r="D42" s="282" t="s">
        <v>1</v>
      </c>
      <c r="E42" s="280" t="s">
        <v>8</v>
      </c>
      <c r="F42" s="280" t="s">
        <v>233</v>
      </c>
      <c r="G42" s="280">
        <v>1224.52</v>
      </c>
      <c r="H42" s="280"/>
      <c r="I42" s="280" t="str">
        <f t="shared" si="0"/>
        <v>YY</v>
      </c>
      <c r="J42" s="280"/>
      <c r="K42" s="283"/>
      <c r="L42" s="283"/>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c r="BA42" s="280"/>
      <c r="BB42" s="280"/>
      <c r="BC42" s="280"/>
    </row>
    <row r="43" spans="1:55">
      <c r="A43" s="280" t="s">
        <v>236</v>
      </c>
      <c r="B43" s="281" t="s">
        <v>19</v>
      </c>
      <c r="C43" s="282" t="s">
        <v>1</v>
      </c>
      <c r="D43" s="282" t="s">
        <v>1</v>
      </c>
      <c r="E43" s="280" t="s">
        <v>8</v>
      </c>
      <c r="F43" s="280" t="s">
        <v>237</v>
      </c>
      <c r="G43" s="280">
        <v>0</v>
      </c>
      <c r="H43" s="280"/>
      <c r="I43" s="280" t="str">
        <f t="shared" si="0"/>
        <v>YY</v>
      </c>
      <c r="J43" s="280"/>
      <c r="K43" s="283"/>
      <c r="L43" s="283"/>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c r="BA43" s="280"/>
      <c r="BB43" s="280"/>
      <c r="BC43" s="280"/>
    </row>
    <row r="44" spans="1:55">
      <c r="A44" s="280" t="s">
        <v>239</v>
      </c>
      <c r="B44" s="281" t="s">
        <v>19</v>
      </c>
      <c r="C44" s="282" t="s">
        <v>1</v>
      </c>
      <c r="D44" s="282" t="s">
        <v>1</v>
      </c>
      <c r="E44" s="280" t="s">
        <v>8</v>
      </c>
      <c r="F44" s="280" t="s">
        <v>240</v>
      </c>
      <c r="G44" s="280">
        <v>28790.861000000001</v>
      </c>
      <c r="H44" s="280"/>
      <c r="I44" s="280" t="str">
        <f t="shared" si="0"/>
        <v>YY</v>
      </c>
      <c r="J44" s="280"/>
      <c r="K44" s="283"/>
      <c r="L44" s="283"/>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row>
    <row r="45" spans="1:55">
      <c r="A45" s="280" t="s">
        <v>243</v>
      </c>
      <c r="B45" s="281" t="s">
        <v>19</v>
      </c>
      <c r="C45" s="282" t="s">
        <v>1</v>
      </c>
      <c r="D45" s="282" t="s">
        <v>1</v>
      </c>
      <c r="E45" s="280" t="s">
        <v>8</v>
      </c>
      <c r="F45" s="280" t="s">
        <v>244</v>
      </c>
      <c r="G45" s="280">
        <v>30015.381000000001</v>
      </c>
      <c r="H45" s="280"/>
      <c r="I45" s="280" t="str">
        <f t="shared" si="0"/>
        <v>YY</v>
      </c>
      <c r="J45" s="280"/>
      <c r="K45" s="283"/>
      <c r="L45" s="283"/>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c r="BA45" s="280"/>
      <c r="BB45" s="280"/>
      <c r="BC45" s="280"/>
    </row>
    <row r="46" spans="1:55">
      <c r="A46" s="280" t="s">
        <v>412</v>
      </c>
      <c r="B46" s="281" t="s">
        <v>19</v>
      </c>
      <c r="C46" s="282" t="s">
        <v>1</v>
      </c>
      <c r="D46" s="282" t="s">
        <v>1</v>
      </c>
      <c r="E46" s="280" t="s">
        <v>6</v>
      </c>
      <c r="F46" s="280" t="s">
        <v>413</v>
      </c>
      <c r="G46" s="280" t="s">
        <v>416</v>
      </c>
      <c r="H46" s="280"/>
      <c r="I46" s="280" t="str">
        <f t="shared" si="0"/>
        <v>YY</v>
      </c>
      <c r="J46" s="280"/>
      <c r="K46" s="283"/>
      <c r="L46" s="283"/>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0"/>
      <c r="BB46" s="280"/>
      <c r="BC46" s="280"/>
    </row>
    <row r="47" spans="1:55">
      <c r="A47" s="280" t="s">
        <v>434</v>
      </c>
      <c r="B47" s="281" t="s">
        <v>19</v>
      </c>
      <c r="C47" s="282" t="s">
        <v>1</v>
      </c>
      <c r="D47" s="282" t="s">
        <v>1</v>
      </c>
      <c r="E47" s="280" t="s">
        <v>6</v>
      </c>
      <c r="F47" s="280" t="s">
        <v>435</v>
      </c>
      <c r="G47" s="280" t="s">
        <v>437</v>
      </c>
      <c r="H47" s="280"/>
      <c r="I47" s="280" t="str">
        <f t="shared" si="0"/>
        <v>YY</v>
      </c>
      <c r="J47" s="280"/>
      <c r="K47" s="283"/>
      <c r="L47" s="283"/>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c r="BA47" s="280"/>
      <c r="BB47" s="280"/>
      <c r="BC47" s="280"/>
    </row>
    <row r="48" spans="1:55">
      <c r="A48" s="280" t="s">
        <v>429</v>
      </c>
      <c r="B48" s="281" t="s">
        <v>19</v>
      </c>
      <c r="C48" s="282" t="s">
        <v>1</v>
      </c>
      <c r="D48" s="282" t="s">
        <v>1</v>
      </c>
      <c r="E48" s="280" t="s">
        <v>6</v>
      </c>
      <c r="F48" s="280" t="s">
        <v>430</v>
      </c>
      <c r="G48" s="280" t="s">
        <v>432</v>
      </c>
      <c r="H48" s="280"/>
      <c r="I48" s="280" t="str">
        <f t="shared" si="0"/>
        <v>YY</v>
      </c>
      <c r="J48" s="280"/>
      <c r="K48" s="283"/>
      <c r="L48" s="283"/>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c r="BA48" s="280"/>
      <c r="BB48" s="280"/>
      <c r="BC48" s="280"/>
    </row>
    <row r="49" spans="1:55">
      <c r="A49" s="280" t="s">
        <v>81</v>
      </c>
      <c r="B49" s="281" t="s">
        <v>19</v>
      </c>
      <c r="C49" s="282" t="s">
        <v>1</v>
      </c>
      <c r="D49" s="282" t="s">
        <v>1</v>
      </c>
      <c r="E49" s="280" t="s">
        <v>6</v>
      </c>
      <c r="F49" s="280" t="s">
        <v>82</v>
      </c>
      <c r="G49" s="280">
        <v>100</v>
      </c>
      <c r="H49" s="280"/>
      <c r="I49" s="280" t="str">
        <f t="shared" si="0"/>
        <v>YY</v>
      </c>
      <c r="J49" s="280"/>
      <c r="K49" s="283"/>
      <c r="L49" s="283"/>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c r="BA49" s="280"/>
      <c r="BB49" s="280"/>
      <c r="BC49" s="280"/>
    </row>
    <row r="50" spans="1:55">
      <c r="A50" s="280" t="s">
        <v>740</v>
      </c>
      <c r="B50" s="281" t="s">
        <v>19</v>
      </c>
      <c r="C50" s="282" t="s">
        <v>1</v>
      </c>
      <c r="D50" s="282" t="s">
        <v>1</v>
      </c>
      <c r="E50" s="280" t="s">
        <v>11</v>
      </c>
      <c r="F50" s="280" t="s">
        <v>741</v>
      </c>
      <c r="G50" s="280">
        <v>8</v>
      </c>
      <c r="H50" s="280"/>
      <c r="I50" s="280" t="str">
        <f t="shared" si="0"/>
        <v>YY</v>
      </c>
      <c r="J50" s="280"/>
      <c r="K50" s="283"/>
      <c r="L50" s="283"/>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c r="BA50" s="280"/>
      <c r="BB50" s="280"/>
      <c r="BC50" s="280"/>
    </row>
    <row r="51" spans="1:55">
      <c r="A51" s="280" t="s">
        <v>85</v>
      </c>
      <c r="B51" s="281" t="s">
        <v>19</v>
      </c>
      <c r="C51" s="282" t="s">
        <v>1</v>
      </c>
      <c r="D51" s="282" t="s">
        <v>1</v>
      </c>
      <c r="E51" s="280" t="s">
        <v>11</v>
      </c>
      <c r="F51" s="280" t="s">
        <v>86</v>
      </c>
      <c r="G51" s="280">
        <v>181</v>
      </c>
      <c r="H51" s="280"/>
      <c r="I51" s="280" t="str">
        <f t="shared" si="0"/>
        <v>YY</v>
      </c>
      <c r="J51" s="280"/>
      <c r="K51" s="283"/>
      <c r="L51" s="283"/>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c r="BA51" s="280"/>
      <c r="BB51" s="280"/>
      <c r="BC51" s="280"/>
    </row>
    <row r="52" spans="1:55">
      <c r="A52" s="280" t="s">
        <v>93</v>
      </c>
      <c r="B52" s="281" t="s">
        <v>19</v>
      </c>
      <c r="C52" s="282" t="s">
        <v>1</v>
      </c>
      <c r="D52" s="282" t="s">
        <v>1</v>
      </c>
      <c r="E52" s="280" t="s">
        <v>11</v>
      </c>
      <c r="F52" s="280" t="s">
        <v>94</v>
      </c>
      <c r="G52" s="280" t="s">
        <v>96</v>
      </c>
      <c r="H52" s="280"/>
      <c r="I52" s="280" t="str">
        <f t="shared" si="0"/>
        <v>YY</v>
      </c>
      <c r="J52" s="280"/>
      <c r="K52" s="283"/>
      <c r="L52" s="283"/>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c r="BA52" s="280"/>
      <c r="BB52" s="280"/>
      <c r="BC52" s="280"/>
    </row>
    <row r="53" spans="1:55">
      <c r="A53" s="280" t="s">
        <v>98</v>
      </c>
      <c r="B53" s="281" t="s">
        <v>19</v>
      </c>
      <c r="C53" s="282" t="s">
        <v>1</v>
      </c>
      <c r="D53" s="282" t="s">
        <v>1</v>
      </c>
      <c r="E53" s="280" t="s">
        <v>11</v>
      </c>
      <c r="F53" s="280" t="s">
        <v>99</v>
      </c>
      <c r="G53" s="280" t="s">
        <v>101</v>
      </c>
      <c r="H53" s="280"/>
      <c r="I53" s="280" t="str">
        <f t="shared" si="0"/>
        <v>YY</v>
      </c>
      <c r="J53" s="280"/>
      <c r="K53" s="283"/>
      <c r="L53" s="283"/>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c r="BA53" s="280"/>
      <c r="BB53" s="280"/>
      <c r="BC53" s="280"/>
    </row>
    <row r="54" spans="1:55">
      <c r="A54" s="280" t="s">
        <v>679</v>
      </c>
      <c r="B54" s="281" t="s">
        <v>19</v>
      </c>
      <c r="C54" s="282" t="s">
        <v>1</v>
      </c>
      <c r="D54" s="282" t="s">
        <v>1</v>
      </c>
      <c r="E54" s="280" t="s">
        <v>680</v>
      </c>
      <c r="F54" s="280" t="s">
        <v>681</v>
      </c>
      <c r="G54" s="280" t="s">
        <v>333</v>
      </c>
      <c r="H54" s="280"/>
      <c r="I54" s="280" t="str">
        <f t="shared" si="0"/>
        <v>YY</v>
      </c>
      <c r="J54" s="280"/>
      <c r="K54" s="283"/>
      <c r="L54" s="283"/>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c r="BA54" s="280"/>
      <c r="BB54" s="280"/>
      <c r="BC54" s="280"/>
    </row>
    <row r="55" spans="1:55">
      <c r="A55" s="280" t="s">
        <v>424</v>
      </c>
      <c r="B55" s="281" t="s">
        <v>19</v>
      </c>
      <c r="C55" s="282" t="s">
        <v>1</v>
      </c>
      <c r="D55" s="282" t="s">
        <v>1</v>
      </c>
      <c r="E55" s="280" t="s">
        <v>6</v>
      </c>
      <c r="F55" s="280" t="s">
        <v>425</v>
      </c>
      <c r="G55" s="280" t="s">
        <v>427</v>
      </c>
      <c r="H55" s="280"/>
      <c r="I55" s="280" t="str">
        <f t="shared" si="0"/>
        <v>YY</v>
      </c>
      <c r="J55" s="280"/>
      <c r="K55" s="283"/>
      <c r="L55" s="283"/>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c r="BA55" s="280"/>
      <c r="BB55" s="280"/>
      <c r="BC55" s="280"/>
    </row>
    <row r="56" spans="1:55">
      <c r="A56" s="280" t="s">
        <v>444</v>
      </c>
      <c r="B56" s="281" t="s">
        <v>104</v>
      </c>
      <c r="C56" s="282" t="s">
        <v>1</v>
      </c>
      <c r="D56" s="282" t="s">
        <v>1</v>
      </c>
      <c r="E56" s="286" t="s">
        <v>6</v>
      </c>
      <c r="F56" s="286" t="s">
        <v>445</v>
      </c>
      <c r="G56" s="280" t="s">
        <v>447</v>
      </c>
      <c r="H56" s="286" t="s">
        <v>811</v>
      </c>
      <c r="I56" s="280" t="str">
        <f t="shared" si="0"/>
        <v>YY</v>
      </c>
      <c r="J56" s="280"/>
      <c r="K56" s="283"/>
      <c r="L56" s="283"/>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c r="BA56" s="280"/>
      <c r="BB56" s="280"/>
      <c r="BC56" s="280"/>
    </row>
    <row r="57" spans="1:55">
      <c r="A57" s="280" t="s">
        <v>450</v>
      </c>
      <c r="B57" s="281" t="s">
        <v>104</v>
      </c>
      <c r="C57" s="282" t="s">
        <v>1</v>
      </c>
      <c r="D57" s="282" t="s">
        <v>1</v>
      </c>
      <c r="E57" s="286" t="s">
        <v>6</v>
      </c>
      <c r="F57" s="286" t="s">
        <v>451</v>
      </c>
      <c r="G57" s="280" t="s">
        <v>447</v>
      </c>
      <c r="H57" s="280"/>
      <c r="I57" s="280" t="str">
        <f t="shared" si="0"/>
        <v>YY</v>
      </c>
      <c r="J57" s="280"/>
      <c r="K57" s="283"/>
      <c r="L57" s="283"/>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c r="BA57" s="280"/>
      <c r="BB57" s="280"/>
      <c r="BC57" s="280"/>
    </row>
    <row r="58" spans="1:55">
      <c r="A58" s="280" t="s">
        <v>439</v>
      </c>
      <c r="B58" s="281" t="s">
        <v>104</v>
      </c>
      <c r="C58" s="282" t="s">
        <v>1</v>
      </c>
      <c r="D58" s="282" t="s">
        <v>1</v>
      </c>
      <c r="E58" s="286" t="s">
        <v>6</v>
      </c>
      <c r="F58" s="286" t="s">
        <v>440</v>
      </c>
      <c r="G58" s="280" t="s">
        <v>442</v>
      </c>
      <c r="H58" s="280"/>
      <c r="I58" s="280" t="str">
        <f t="shared" si="0"/>
        <v>YY</v>
      </c>
      <c r="J58" s="280"/>
      <c r="K58" s="283"/>
      <c r="L58" s="283"/>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c r="BA58" s="280"/>
      <c r="BB58" s="280"/>
      <c r="BC58" s="280"/>
    </row>
    <row r="59" spans="1:55">
      <c r="A59" s="280" t="s">
        <v>419</v>
      </c>
      <c r="B59" s="281" t="s">
        <v>104</v>
      </c>
      <c r="C59" s="282" t="s">
        <v>1</v>
      </c>
      <c r="D59" s="282" t="s">
        <v>1</v>
      </c>
      <c r="E59" s="286" t="s">
        <v>6</v>
      </c>
      <c r="F59" s="286" t="s">
        <v>420</v>
      </c>
      <c r="G59" s="280" t="s">
        <v>422</v>
      </c>
      <c r="H59" s="280"/>
      <c r="I59" s="280" t="str">
        <f t="shared" si="0"/>
        <v>YY</v>
      </c>
      <c r="J59" s="280"/>
      <c r="K59" s="283"/>
      <c r="L59" s="283"/>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c r="BA59" s="280"/>
      <c r="BB59" s="280"/>
      <c r="BC59" s="280"/>
    </row>
    <row r="60" spans="1:55">
      <c r="A60" s="280" t="s">
        <v>103</v>
      </c>
      <c r="B60" s="281" t="s">
        <v>104</v>
      </c>
      <c r="C60" s="282" t="s">
        <v>1</v>
      </c>
      <c r="D60" s="282" t="s">
        <v>1</v>
      </c>
      <c r="E60" s="286" t="s">
        <v>11</v>
      </c>
      <c r="F60" s="286" t="s">
        <v>105</v>
      </c>
      <c r="G60" s="280" t="s">
        <v>107</v>
      </c>
      <c r="I60" s="280" t="str">
        <f t="shared" si="0"/>
        <v>YY</v>
      </c>
      <c r="J60" s="280"/>
      <c r="K60" s="283"/>
      <c r="L60" s="283"/>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c r="BA60" s="280"/>
      <c r="BB60" s="280"/>
      <c r="BC60" s="280"/>
    </row>
    <row r="61" spans="1:55">
      <c r="A61" s="280" t="s">
        <v>744</v>
      </c>
      <c r="B61" s="281" t="s">
        <v>104</v>
      </c>
      <c r="C61" s="282" t="s">
        <v>1</v>
      </c>
      <c r="D61" s="282" t="s">
        <v>1</v>
      </c>
      <c r="E61" s="286" t="s">
        <v>11</v>
      </c>
      <c r="F61" s="286" t="s">
        <v>745</v>
      </c>
      <c r="G61" s="280" t="s">
        <v>747</v>
      </c>
      <c r="H61" s="286" t="s">
        <v>816</v>
      </c>
      <c r="I61" s="280" t="str">
        <f t="shared" si="0"/>
        <v>YY</v>
      </c>
      <c r="J61" s="280"/>
      <c r="K61" s="283"/>
      <c r="L61" s="283"/>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c r="BA61" s="280"/>
      <c r="BB61" s="280"/>
      <c r="BC61" s="280"/>
    </row>
    <row r="62" spans="1:55">
      <c r="A62" s="280" t="s">
        <v>749</v>
      </c>
      <c r="B62" s="281" t="s">
        <v>104</v>
      </c>
      <c r="C62" s="282" t="s">
        <v>1</v>
      </c>
      <c r="D62" s="282" t="s">
        <v>1</v>
      </c>
      <c r="E62" s="286" t="s">
        <v>11</v>
      </c>
      <c r="F62" s="286" t="s">
        <v>750</v>
      </c>
      <c r="G62" s="280" t="s">
        <v>752</v>
      </c>
      <c r="H62" s="286" t="s">
        <v>817</v>
      </c>
      <c r="I62" s="280" t="str">
        <f t="shared" si="0"/>
        <v>YY</v>
      </c>
      <c r="J62" s="280"/>
      <c r="K62" s="283"/>
      <c r="L62" s="283"/>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c r="BA62" s="280"/>
      <c r="BB62" s="280"/>
      <c r="BC62" s="280"/>
    </row>
    <row r="63" spans="1:55">
      <c r="A63" s="280" t="s">
        <v>753</v>
      </c>
      <c r="B63" s="281" t="s">
        <v>104</v>
      </c>
      <c r="C63" s="282" t="s">
        <v>1</v>
      </c>
      <c r="D63" s="282" t="s">
        <v>1</v>
      </c>
      <c r="E63" s="286" t="s">
        <v>11</v>
      </c>
      <c r="F63" s="286" t="s">
        <v>754</v>
      </c>
      <c r="G63" s="280" t="s">
        <v>107</v>
      </c>
      <c r="H63" s="286" t="s">
        <v>818</v>
      </c>
      <c r="I63" s="280" t="str">
        <f t="shared" si="0"/>
        <v>YY</v>
      </c>
      <c r="J63" s="280"/>
      <c r="K63" s="283"/>
      <c r="L63" s="283"/>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row>
    <row r="64" spans="1:55">
      <c r="A64" s="280" t="s">
        <v>490</v>
      </c>
      <c r="B64" s="281" t="s">
        <v>104</v>
      </c>
      <c r="C64" s="282" t="s">
        <v>1</v>
      </c>
      <c r="D64" s="282" t="s">
        <v>1</v>
      </c>
      <c r="E64" s="286" t="s">
        <v>6</v>
      </c>
      <c r="F64" s="286" t="s">
        <v>491</v>
      </c>
      <c r="G64" s="280" t="s">
        <v>494</v>
      </c>
      <c r="H64" s="280"/>
      <c r="I64" s="280" t="str">
        <f t="shared" si="0"/>
        <v>YY</v>
      </c>
      <c r="J64" s="280"/>
      <c r="K64" s="283"/>
      <c r="L64" s="283"/>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c r="BA64" s="280"/>
      <c r="BB64" s="280"/>
      <c r="BC64" s="280"/>
    </row>
    <row r="65" spans="1:55">
      <c r="A65" s="280" t="s">
        <v>496</v>
      </c>
      <c r="B65" s="281" t="s">
        <v>104</v>
      </c>
      <c r="C65" s="282" t="s">
        <v>1</v>
      </c>
      <c r="D65" s="282" t="s">
        <v>1</v>
      </c>
      <c r="E65" s="286" t="s">
        <v>6</v>
      </c>
      <c r="F65" s="286" t="s">
        <v>497</v>
      </c>
      <c r="G65" s="280" t="s">
        <v>499</v>
      </c>
      <c r="H65" s="280"/>
      <c r="I65" s="280" t="str">
        <f t="shared" si="0"/>
        <v>YY</v>
      </c>
      <c r="J65" s="280"/>
      <c r="K65" s="283"/>
      <c r="L65" s="283"/>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c r="BA65" s="280"/>
      <c r="BB65" s="280"/>
      <c r="BC65" s="280"/>
    </row>
    <row r="66" spans="1:55">
      <c r="A66" s="280" t="s">
        <v>830</v>
      </c>
      <c r="B66" s="281" t="s">
        <v>104</v>
      </c>
      <c r="C66" s="282" t="s">
        <v>1</v>
      </c>
      <c r="D66" s="282"/>
      <c r="E66" s="286" t="s">
        <v>10</v>
      </c>
      <c r="F66" s="286" t="s">
        <v>831</v>
      </c>
      <c r="G66" s="280" t="s">
        <v>834</v>
      </c>
      <c r="H66" s="280"/>
      <c r="I66" s="280" t="str">
        <f t="shared" si="0"/>
        <v>Y</v>
      </c>
      <c r="J66" s="280"/>
      <c r="K66" s="283"/>
      <c r="L66" s="283"/>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c r="BA66" s="280"/>
      <c r="BB66" s="280"/>
      <c r="BC66" s="280"/>
    </row>
    <row r="67" spans="1:55">
      <c r="A67" s="280" t="s">
        <v>835</v>
      </c>
      <c r="B67" s="281" t="s">
        <v>104</v>
      </c>
      <c r="C67" s="282" t="s">
        <v>1</v>
      </c>
      <c r="D67" s="282"/>
      <c r="E67" s="286" t="s">
        <v>13</v>
      </c>
      <c r="F67" s="286" t="s">
        <v>836</v>
      </c>
      <c r="G67" s="280" t="s">
        <v>838</v>
      </c>
      <c r="H67" s="280"/>
      <c r="I67" s="280" t="str">
        <f t="shared" ref="I67:I130" si="1">C67&amp;D67</f>
        <v>Y</v>
      </c>
      <c r="J67" s="280"/>
      <c r="K67" s="280"/>
      <c r="L67" s="283"/>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c r="BB67" s="280"/>
      <c r="BC67" s="280"/>
    </row>
    <row r="68" spans="1:55">
      <c r="A68" s="280" t="s">
        <v>839</v>
      </c>
      <c r="B68" s="281" t="s">
        <v>104</v>
      </c>
      <c r="C68" s="282" t="s">
        <v>1</v>
      </c>
      <c r="D68" s="282"/>
      <c r="E68" s="286" t="s">
        <v>232</v>
      </c>
      <c r="F68" s="286" t="s">
        <v>840</v>
      </c>
      <c r="G68" s="280" t="s">
        <v>842</v>
      </c>
      <c r="H68" s="280"/>
      <c r="I68" s="280" t="str">
        <f t="shared" si="1"/>
        <v>Y</v>
      </c>
      <c r="J68" s="280"/>
      <c r="K68" s="283"/>
      <c r="L68" s="283"/>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c r="BB68" s="280"/>
      <c r="BC68" s="280"/>
    </row>
    <row r="69" spans="1:55">
      <c r="A69" s="280" t="s">
        <v>843</v>
      </c>
      <c r="B69" s="281" t="s">
        <v>104</v>
      </c>
      <c r="C69" s="282" t="s">
        <v>1</v>
      </c>
      <c r="D69" s="282"/>
      <c r="E69" s="286" t="s">
        <v>8</v>
      </c>
      <c r="F69" s="286" t="s">
        <v>844</v>
      </c>
      <c r="G69" s="280" t="s">
        <v>847</v>
      </c>
      <c r="H69" s="280"/>
      <c r="I69" s="280" t="str">
        <f t="shared" si="1"/>
        <v>Y</v>
      </c>
      <c r="J69" s="280"/>
      <c r="K69" s="283"/>
      <c r="L69" s="283"/>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row>
    <row r="70" spans="1:55">
      <c r="A70" s="280" t="s">
        <v>848</v>
      </c>
      <c r="B70" s="281" t="s">
        <v>104</v>
      </c>
      <c r="C70" s="282" t="s">
        <v>1</v>
      </c>
      <c r="D70" s="282"/>
      <c r="E70" s="286" t="s">
        <v>8</v>
      </c>
      <c r="F70" s="286" t="s">
        <v>849</v>
      </c>
      <c r="G70" s="280" t="s">
        <v>852</v>
      </c>
      <c r="H70" s="280"/>
      <c r="I70" s="280" t="str">
        <f t="shared" si="1"/>
        <v>Y</v>
      </c>
      <c r="J70" s="280"/>
      <c r="K70" s="283"/>
      <c r="L70" s="283"/>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row>
    <row r="71" spans="1:55">
      <c r="A71" s="280" t="s">
        <v>257</v>
      </c>
      <c r="B71" s="281" t="s">
        <v>18</v>
      </c>
      <c r="C71" s="282"/>
      <c r="D71" s="282" t="s">
        <v>1</v>
      </c>
      <c r="E71" s="280" t="s">
        <v>5</v>
      </c>
      <c r="F71" s="280" t="s">
        <v>258</v>
      </c>
      <c r="G71" s="280" t="s">
        <v>260</v>
      </c>
      <c r="H71" s="280"/>
      <c r="I71" s="280" t="str">
        <f t="shared" si="1"/>
        <v>Y</v>
      </c>
      <c r="J71" s="280"/>
      <c r="K71" s="283"/>
      <c r="L71" s="283"/>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c r="BA71" s="280"/>
      <c r="BB71" s="280"/>
      <c r="BC71" s="280"/>
    </row>
    <row r="72" spans="1:55">
      <c r="A72" s="280" t="s">
        <v>262</v>
      </c>
      <c r="B72" s="281" t="s">
        <v>18</v>
      </c>
      <c r="C72" s="282"/>
      <c r="D72" s="282" t="s">
        <v>1</v>
      </c>
      <c r="E72" s="280" t="s">
        <v>5</v>
      </c>
      <c r="F72" s="280" t="s">
        <v>263</v>
      </c>
      <c r="G72" s="280" t="s">
        <v>265</v>
      </c>
      <c r="H72" s="280"/>
      <c r="I72" s="280" t="str">
        <f t="shared" si="1"/>
        <v>Y</v>
      </c>
      <c r="J72" s="280"/>
      <c r="K72" s="283"/>
      <c r="L72" s="283"/>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c r="BA72" s="280"/>
      <c r="BB72" s="280"/>
      <c r="BC72" s="280"/>
    </row>
    <row r="73" spans="1:55">
      <c r="A73" s="280" t="s">
        <v>685</v>
      </c>
      <c r="B73" s="281" t="s">
        <v>18</v>
      </c>
      <c r="C73" s="282"/>
      <c r="D73" s="282" t="s">
        <v>1</v>
      </c>
      <c r="E73" s="280" t="s">
        <v>680</v>
      </c>
      <c r="F73" s="280" t="s">
        <v>686</v>
      </c>
      <c r="G73" s="280" t="s">
        <v>687</v>
      </c>
      <c r="H73" s="280"/>
      <c r="I73" s="280" t="str">
        <f t="shared" si="1"/>
        <v>Y</v>
      </c>
      <c r="J73" s="280"/>
      <c r="K73" s="283"/>
      <c r="L73" s="283"/>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c r="BA73" s="280"/>
      <c r="BB73" s="280"/>
      <c r="BC73" s="280"/>
    </row>
    <row r="74" spans="1:55">
      <c r="A74" s="280" t="s">
        <v>689</v>
      </c>
      <c r="B74" s="281" t="s">
        <v>18</v>
      </c>
      <c r="C74" s="282"/>
      <c r="D74" s="282" t="s">
        <v>1</v>
      </c>
      <c r="E74" s="280" t="s">
        <v>680</v>
      </c>
      <c r="F74" s="280" t="s">
        <v>690</v>
      </c>
      <c r="G74" s="280" t="s">
        <v>578</v>
      </c>
      <c r="H74" s="280"/>
      <c r="I74" s="280" t="str">
        <f t="shared" si="1"/>
        <v>Y</v>
      </c>
      <c r="J74" s="280"/>
      <c r="K74" s="283"/>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c r="BA74" s="280"/>
      <c r="BB74" s="280"/>
      <c r="BC74" s="280"/>
    </row>
    <row r="75" spans="1:55">
      <c r="A75" s="280" t="s">
        <v>2454</v>
      </c>
      <c r="B75" s="281" t="s">
        <v>18</v>
      </c>
      <c r="C75" s="282" t="s">
        <v>2438</v>
      </c>
      <c r="D75" s="282" t="s">
        <v>2438</v>
      </c>
      <c r="E75" s="280" t="s">
        <v>2439</v>
      </c>
      <c r="F75" s="280" t="s">
        <v>2455</v>
      </c>
      <c r="G75" s="284">
        <v>45870.802789351903</v>
      </c>
      <c r="H75" s="280"/>
      <c r="I75" s="280" t="str">
        <f t="shared" si="1"/>
        <v>TBD_by_ETLTBD_by_ETL</v>
      </c>
      <c r="J75" s="280"/>
      <c r="K75" s="283"/>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c r="BA75" s="280"/>
      <c r="BB75" s="280"/>
      <c r="BC75" s="280"/>
    </row>
    <row r="76" spans="1:55">
      <c r="A76" s="280" t="s">
        <v>2456</v>
      </c>
      <c r="B76" s="281" t="s">
        <v>18</v>
      </c>
      <c r="C76" s="282" t="s">
        <v>2438</v>
      </c>
      <c r="D76" s="282" t="s">
        <v>2438</v>
      </c>
      <c r="E76" s="280" t="s">
        <v>2439</v>
      </c>
      <c r="F76" s="280" t="s">
        <v>2457</v>
      </c>
      <c r="G76" s="284">
        <v>45870.802789351903</v>
      </c>
      <c r="H76" s="280"/>
      <c r="I76" s="280" t="str">
        <f t="shared" si="1"/>
        <v>TBD_by_ETLTBD_by_ETL</v>
      </c>
      <c r="J76" s="280"/>
      <c r="K76" s="283"/>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c r="BA76" s="280"/>
      <c r="BB76" s="280"/>
      <c r="BC76" s="280"/>
    </row>
    <row r="77" spans="1:55">
      <c r="A77" s="280" t="s">
        <v>2458</v>
      </c>
      <c r="B77" s="281" t="s">
        <v>18</v>
      </c>
      <c r="C77" s="282" t="s">
        <v>2438</v>
      </c>
      <c r="D77" s="282" t="s">
        <v>2438</v>
      </c>
      <c r="E77" s="280" t="s">
        <v>2439</v>
      </c>
      <c r="F77" s="280" t="s">
        <v>2459</v>
      </c>
      <c r="G77" s="280" t="s">
        <v>2460</v>
      </c>
      <c r="H77" s="280"/>
      <c r="I77" s="280" t="str">
        <f t="shared" si="1"/>
        <v>TBD_by_ETLTBD_by_ETL</v>
      </c>
      <c r="J77" s="280"/>
      <c r="K77" s="283"/>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c r="BA77" s="280"/>
      <c r="BB77" s="280"/>
      <c r="BC77" s="280"/>
    </row>
    <row r="78" spans="1:55">
      <c r="A78" s="280" t="s">
        <v>2461</v>
      </c>
      <c r="B78" s="281" t="s">
        <v>18</v>
      </c>
      <c r="C78" s="282" t="s">
        <v>2438</v>
      </c>
      <c r="D78" s="282" t="s">
        <v>2438</v>
      </c>
      <c r="E78" s="280" t="s">
        <v>2439</v>
      </c>
      <c r="F78" s="280" t="s">
        <v>2462</v>
      </c>
      <c r="G78" s="280" t="s">
        <v>2460</v>
      </c>
      <c r="H78" s="280"/>
      <c r="I78" s="280" t="str">
        <f t="shared" si="1"/>
        <v>TBD_by_ETLTBD_by_ETL</v>
      </c>
      <c r="J78" s="280"/>
      <c r="K78" s="283"/>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c r="BA78" s="280"/>
      <c r="BB78" s="280"/>
      <c r="BC78" s="280"/>
    </row>
    <row r="79" spans="1:55">
      <c r="A79" s="280" t="s">
        <v>564</v>
      </c>
      <c r="B79" s="281" t="s">
        <v>18</v>
      </c>
      <c r="C79" s="282"/>
      <c r="D79" s="282" t="s">
        <v>1</v>
      </c>
      <c r="E79" s="280" t="s">
        <v>5</v>
      </c>
      <c r="F79" s="280" t="s">
        <v>565</v>
      </c>
      <c r="G79" s="280" t="s">
        <v>568</v>
      </c>
      <c r="H79" s="280"/>
      <c r="I79" s="280" t="str">
        <f t="shared" si="1"/>
        <v>Y</v>
      </c>
      <c r="J79" s="280"/>
      <c r="K79" s="283"/>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c r="BA79" s="280"/>
      <c r="BB79" s="280"/>
      <c r="BC79" s="280"/>
    </row>
    <row r="80" spans="1:55">
      <c r="A80" s="280" t="s">
        <v>570</v>
      </c>
      <c r="B80" s="281" t="s">
        <v>18</v>
      </c>
      <c r="C80" s="282"/>
      <c r="D80" s="282" t="s">
        <v>1</v>
      </c>
      <c r="E80" s="280" t="s">
        <v>5</v>
      </c>
      <c r="F80" s="280" t="s">
        <v>571</v>
      </c>
      <c r="G80" s="280" t="s">
        <v>573</v>
      </c>
      <c r="H80" s="280"/>
      <c r="I80" s="280" t="str">
        <f t="shared" si="1"/>
        <v>Y</v>
      </c>
      <c r="J80" s="280"/>
      <c r="K80" s="283"/>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c r="BA80" s="280"/>
      <c r="BB80" s="280"/>
      <c r="BC80" s="280"/>
    </row>
    <row r="81" spans="1:55">
      <c r="A81" s="280" t="s">
        <v>575</v>
      </c>
      <c r="B81" s="281" t="s">
        <v>18</v>
      </c>
      <c r="C81" s="282"/>
      <c r="D81" s="282" t="s">
        <v>1</v>
      </c>
      <c r="E81" s="280" t="s">
        <v>5</v>
      </c>
      <c r="F81" s="280" t="s">
        <v>576</v>
      </c>
      <c r="G81" s="280" t="s">
        <v>578</v>
      </c>
      <c r="H81" s="280"/>
      <c r="I81" s="280" t="str">
        <f t="shared" si="1"/>
        <v>Y</v>
      </c>
      <c r="J81" s="280"/>
      <c r="K81" s="283"/>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c r="BA81" s="280"/>
      <c r="BB81" s="280"/>
      <c r="BC81" s="280"/>
    </row>
    <row r="82" spans="1:55">
      <c r="A82" s="280" t="s">
        <v>139</v>
      </c>
      <c r="B82" s="281" t="s">
        <v>18</v>
      </c>
      <c r="C82" s="282"/>
      <c r="D82" s="282" t="s">
        <v>1</v>
      </c>
      <c r="E82" s="280" t="s">
        <v>5</v>
      </c>
      <c r="F82" s="280" t="s">
        <v>140</v>
      </c>
      <c r="G82" s="280" t="s">
        <v>143</v>
      </c>
      <c r="H82" s="280"/>
      <c r="I82" s="280" t="str">
        <f t="shared" si="1"/>
        <v>Y</v>
      </c>
      <c r="J82" s="280"/>
      <c r="K82" s="283"/>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c r="BA82" s="280"/>
      <c r="BB82" s="280"/>
      <c r="BC82" s="280"/>
    </row>
    <row r="83" spans="1:55">
      <c r="A83" s="280" t="s">
        <v>284</v>
      </c>
      <c r="B83" s="281" t="s">
        <v>18</v>
      </c>
      <c r="C83" s="282"/>
      <c r="D83" s="282" t="s">
        <v>1</v>
      </c>
      <c r="E83" s="280" t="s">
        <v>12</v>
      </c>
      <c r="F83" s="280" t="s">
        <v>285</v>
      </c>
      <c r="G83" s="280" t="s">
        <v>287</v>
      </c>
      <c r="H83" s="280"/>
      <c r="I83" s="280" t="str">
        <f t="shared" si="1"/>
        <v>Y</v>
      </c>
      <c r="J83" s="280"/>
      <c r="K83" s="283"/>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row>
    <row r="84" spans="1:55">
      <c r="A84" s="280" t="s">
        <v>294</v>
      </c>
      <c r="B84" s="281" t="s">
        <v>18</v>
      </c>
      <c r="C84" s="282"/>
      <c r="D84" s="282" t="s">
        <v>1</v>
      </c>
      <c r="E84" s="280" t="s">
        <v>12</v>
      </c>
      <c r="F84" s="280" t="s">
        <v>295</v>
      </c>
      <c r="G84" s="280" t="s">
        <v>297</v>
      </c>
      <c r="H84" s="280"/>
      <c r="I84" s="280" t="str">
        <f t="shared" si="1"/>
        <v>Y</v>
      </c>
      <c r="J84" s="280"/>
      <c r="K84" s="283"/>
      <c r="L84" s="283"/>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row>
    <row r="85" spans="1:55">
      <c r="A85" s="280" t="s">
        <v>311</v>
      </c>
      <c r="B85" s="281" t="s">
        <v>18</v>
      </c>
      <c r="C85" s="282"/>
      <c r="D85" s="282" t="s">
        <v>1</v>
      </c>
      <c r="E85" s="280" t="s">
        <v>12</v>
      </c>
      <c r="F85" s="280" t="s">
        <v>312</v>
      </c>
      <c r="G85" s="280" t="s">
        <v>314</v>
      </c>
      <c r="H85" s="280"/>
      <c r="I85" s="280" t="str">
        <f t="shared" si="1"/>
        <v>Y</v>
      </c>
      <c r="J85" s="280"/>
      <c r="K85" s="283"/>
      <c r="L85" s="283"/>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c r="BA85" s="280"/>
      <c r="BB85" s="280"/>
      <c r="BC85" s="280"/>
    </row>
    <row r="86" spans="1:55">
      <c r="A86" s="280" t="s">
        <v>289</v>
      </c>
      <c r="B86" s="281" t="s">
        <v>18</v>
      </c>
      <c r="C86" s="282"/>
      <c r="D86" s="282" t="s">
        <v>1</v>
      </c>
      <c r="E86" s="280" t="s">
        <v>12</v>
      </c>
      <c r="F86" s="280" t="s">
        <v>290</v>
      </c>
      <c r="G86" s="280" t="s">
        <v>292</v>
      </c>
      <c r="H86" s="280"/>
      <c r="I86" s="280" t="str">
        <f t="shared" si="1"/>
        <v>Y</v>
      </c>
      <c r="J86" s="280"/>
      <c r="K86" s="283"/>
      <c r="L86" s="283"/>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c r="BA86" s="280"/>
      <c r="BB86" s="280"/>
      <c r="BC86" s="280"/>
    </row>
    <row r="87" spans="1:55">
      <c r="A87" s="280" t="s">
        <v>299</v>
      </c>
      <c r="B87" s="281" t="s">
        <v>18</v>
      </c>
      <c r="C87" s="282"/>
      <c r="D87" s="282" t="s">
        <v>1</v>
      </c>
      <c r="E87" s="280" t="s">
        <v>12</v>
      </c>
      <c r="F87" s="280" t="s">
        <v>300</v>
      </c>
      <c r="G87" s="280" t="s">
        <v>302</v>
      </c>
      <c r="H87" s="280"/>
      <c r="I87" s="280" t="str">
        <f t="shared" si="1"/>
        <v>Y</v>
      </c>
      <c r="J87" s="280"/>
      <c r="K87" s="283"/>
      <c r="L87" s="283"/>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c r="BA87" s="280"/>
      <c r="BB87" s="280"/>
      <c r="BC87" s="280"/>
    </row>
    <row r="88" spans="1:55">
      <c r="A88" s="280" t="s">
        <v>316</v>
      </c>
      <c r="B88" s="281" t="s">
        <v>18</v>
      </c>
      <c r="C88" s="282"/>
      <c r="D88" s="282" t="s">
        <v>1</v>
      </c>
      <c r="E88" s="280" t="s">
        <v>12</v>
      </c>
      <c r="F88" s="280" t="s">
        <v>317</v>
      </c>
      <c r="G88" s="280" t="s">
        <v>319</v>
      </c>
      <c r="H88" s="280"/>
      <c r="I88" s="280" t="str">
        <f t="shared" si="1"/>
        <v>Y</v>
      </c>
      <c r="J88" s="280"/>
      <c r="K88" s="283"/>
      <c r="L88" s="283"/>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c r="BA88" s="280"/>
      <c r="BB88" s="280"/>
      <c r="BC88" s="280"/>
    </row>
    <row r="89" spans="1:55">
      <c r="A89" s="280" t="s">
        <v>145</v>
      </c>
      <c r="B89" s="281" t="s">
        <v>18</v>
      </c>
      <c r="C89" s="282"/>
      <c r="D89" s="282" t="s">
        <v>1</v>
      </c>
      <c r="E89" s="280" t="s">
        <v>5</v>
      </c>
      <c r="F89" s="280" t="s">
        <v>146</v>
      </c>
      <c r="G89" s="280" t="s">
        <v>149</v>
      </c>
      <c r="H89" s="280"/>
      <c r="I89" s="280" t="str">
        <f t="shared" si="1"/>
        <v>Y</v>
      </c>
      <c r="J89" s="280"/>
      <c r="K89" s="283"/>
      <c r="L89" s="283"/>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c r="BA89" s="280"/>
      <c r="BB89" s="280"/>
      <c r="BC89" s="280"/>
    </row>
    <row r="90" spans="1:55">
      <c r="A90" s="280" t="s">
        <v>335</v>
      </c>
      <c r="B90" s="281" t="s">
        <v>18</v>
      </c>
      <c r="C90" s="282"/>
      <c r="D90" s="282" t="s">
        <v>1</v>
      </c>
      <c r="E90" s="280" t="s">
        <v>12</v>
      </c>
      <c r="F90" s="280" t="s">
        <v>336</v>
      </c>
      <c r="G90" s="280" t="s">
        <v>338</v>
      </c>
      <c r="H90" s="280"/>
      <c r="I90" s="280" t="str">
        <f t="shared" si="1"/>
        <v>Y</v>
      </c>
      <c r="J90" s="280"/>
      <c r="K90" s="283"/>
      <c r="L90" s="283"/>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c r="BA90" s="280"/>
      <c r="BB90" s="280"/>
      <c r="BC90" s="280"/>
    </row>
    <row r="91" spans="1:55">
      <c r="A91" s="280" t="s">
        <v>756</v>
      </c>
      <c r="B91" s="281" t="s">
        <v>18</v>
      </c>
      <c r="C91" s="282"/>
      <c r="D91" s="282" t="s">
        <v>1</v>
      </c>
      <c r="E91" s="280" t="s">
        <v>7</v>
      </c>
      <c r="F91" s="280" t="s">
        <v>757</v>
      </c>
      <c r="G91" s="280" t="s">
        <v>333</v>
      </c>
      <c r="H91" s="280"/>
      <c r="I91" s="280" t="str">
        <f t="shared" si="1"/>
        <v>Y</v>
      </c>
      <c r="J91" s="280"/>
      <c r="K91" s="283"/>
      <c r="L91" s="283"/>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c r="BA91" s="280"/>
      <c r="BB91" s="280"/>
      <c r="BC91" s="280"/>
    </row>
    <row r="92" spans="1:55">
      <c r="A92" s="280" t="s">
        <v>759</v>
      </c>
      <c r="B92" s="281" t="s">
        <v>18</v>
      </c>
      <c r="C92" s="282"/>
      <c r="D92" s="282" t="s">
        <v>1</v>
      </c>
      <c r="E92" s="280" t="s">
        <v>7</v>
      </c>
      <c r="F92" s="280" t="s">
        <v>760</v>
      </c>
      <c r="G92" s="280" t="s">
        <v>333</v>
      </c>
      <c r="H92" s="280"/>
      <c r="I92" s="280" t="str">
        <f t="shared" si="1"/>
        <v>Y</v>
      </c>
      <c r="J92" s="280"/>
      <c r="K92" s="283"/>
      <c r="L92" s="283"/>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c r="BA92" s="280"/>
      <c r="BB92" s="280"/>
      <c r="BC92" s="280"/>
    </row>
    <row r="93" spans="1:55">
      <c r="A93" s="280" t="s">
        <v>321</v>
      </c>
      <c r="B93" s="281" t="s">
        <v>18</v>
      </c>
      <c r="C93" s="282"/>
      <c r="D93" s="282" t="s">
        <v>1</v>
      </c>
      <c r="E93" s="280" t="s">
        <v>12</v>
      </c>
      <c r="F93" s="280" t="s">
        <v>1513</v>
      </c>
      <c r="G93" s="280" t="s">
        <v>324</v>
      </c>
      <c r="H93" s="280"/>
      <c r="I93" s="280" t="str">
        <f t="shared" si="1"/>
        <v>Y</v>
      </c>
      <c r="J93" s="280"/>
      <c r="K93" s="283"/>
      <c r="L93" s="283"/>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c r="BA93" s="280"/>
      <c r="BB93" s="280"/>
      <c r="BC93" s="280"/>
    </row>
    <row r="94" spans="1:55">
      <c r="A94" s="280" t="s">
        <v>326</v>
      </c>
      <c r="B94" s="281" t="s">
        <v>18</v>
      </c>
      <c r="C94" s="282"/>
      <c r="D94" s="282" t="s">
        <v>1</v>
      </c>
      <c r="E94" s="280" t="s">
        <v>12</v>
      </c>
      <c r="F94" s="280" t="s">
        <v>327</v>
      </c>
      <c r="G94" s="280" t="s">
        <v>324</v>
      </c>
      <c r="H94" s="280"/>
      <c r="I94" s="280" t="str">
        <f t="shared" si="1"/>
        <v>Y</v>
      </c>
      <c r="J94" s="280"/>
      <c r="K94" s="283"/>
      <c r="L94" s="283"/>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c r="BA94" s="280"/>
      <c r="BB94" s="280"/>
      <c r="BC94" s="280"/>
    </row>
    <row r="95" spans="1:55">
      <c r="A95" s="280" t="s">
        <v>359</v>
      </c>
      <c r="B95" s="281" t="s">
        <v>18</v>
      </c>
      <c r="C95" s="282"/>
      <c r="D95" s="282" t="s">
        <v>1</v>
      </c>
      <c r="E95" s="280" t="s">
        <v>12</v>
      </c>
      <c r="F95" s="280" t="s">
        <v>360</v>
      </c>
      <c r="G95" s="280" t="s">
        <v>333</v>
      </c>
      <c r="H95" s="280"/>
      <c r="I95" s="280" t="str">
        <f t="shared" si="1"/>
        <v>Y</v>
      </c>
      <c r="J95" s="280"/>
      <c r="K95" s="283"/>
      <c r="L95" s="283"/>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c r="BA95" s="280"/>
      <c r="BB95" s="280"/>
      <c r="BC95" s="280"/>
    </row>
    <row r="96" spans="1:55">
      <c r="A96" s="280" t="s">
        <v>717</v>
      </c>
      <c r="B96" s="281" t="s">
        <v>18</v>
      </c>
      <c r="C96" s="282"/>
      <c r="D96" s="282" t="s">
        <v>1</v>
      </c>
      <c r="E96" s="280" t="s">
        <v>1380</v>
      </c>
      <c r="F96" s="280" t="s">
        <v>718</v>
      </c>
      <c r="G96" s="284">
        <v>45870.797222222202</v>
      </c>
      <c r="H96" s="280"/>
      <c r="I96" s="280" t="str">
        <f t="shared" si="1"/>
        <v>Y</v>
      </c>
      <c r="J96" s="280"/>
      <c r="K96" s="283"/>
      <c r="L96" s="283"/>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c r="BA96" s="280"/>
      <c r="BB96" s="280"/>
      <c r="BC96" s="280"/>
    </row>
    <row r="97" spans="1:55">
      <c r="A97" s="280" t="s">
        <v>340</v>
      </c>
      <c r="B97" s="281" t="s">
        <v>18</v>
      </c>
      <c r="C97" s="282"/>
      <c r="D97" s="282" t="s">
        <v>1</v>
      </c>
      <c r="E97" s="280" t="s">
        <v>12</v>
      </c>
      <c r="F97" s="280" t="s">
        <v>341</v>
      </c>
      <c r="G97" s="280" t="s">
        <v>343</v>
      </c>
      <c r="H97" s="280"/>
      <c r="I97" s="280" t="str">
        <f t="shared" si="1"/>
        <v>Y</v>
      </c>
      <c r="J97" s="280"/>
      <c r="K97" s="283"/>
      <c r="L97" s="283"/>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c r="BA97" s="280"/>
      <c r="BB97" s="280"/>
      <c r="BC97" s="280"/>
    </row>
    <row r="98" spans="1:55">
      <c r="A98" s="280" t="s">
        <v>355</v>
      </c>
      <c r="B98" s="281" t="s">
        <v>18</v>
      </c>
      <c r="C98" s="282"/>
      <c r="D98" s="282" t="s">
        <v>1</v>
      </c>
      <c r="E98" s="280" t="s">
        <v>12</v>
      </c>
      <c r="F98" s="280" t="s">
        <v>356</v>
      </c>
      <c r="G98" s="280" t="s">
        <v>333</v>
      </c>
      <c r="H98" s="280"/>
      <c r="I98" s="280" t="str">
        <f t="shared" si="1"/>
        <v>Y</v>
      </c>
      <c r="J98" s="280"/>
      <c r="K98" s="283"/>
      <c r="L98" s="283"/>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c r="BA98" s="280"/>
      <c r="BB98" s="280"/>
      <c r="BC98" s="280"/>
    </row>
    <row r="99" spans="1:55">
      <c r="A99" s="280" t="s">
        <v>454</v>
      </c>
      <c r="B99" s="281" t="s">
        <v>18</v>
      </c>
      <c r="C99" s="282"/>
      <c r="D99" s="282" t="s">
        <v>1</v>
      </c>
      <c r="E99" s="280" t="s">
        <v>12</v>
      </c>
      <c r="F99" s="280" t="s">
        <v>455</v>
      </c>
      <c r="G99" s="280" t="s">
        <v>292</v>
      </c>
      <c r="H99" s="280"/>
      <c r="I99" s="280" t="str">
        <f t="shared" si="1"/>
        <v>Y</v>
      </c>
      <c r="J99" s="280"/>
      <c r="K99" s="283"/>
      <c r="L99" s="283"/>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c r="BA99" s="280"/>
      <c r="BB99" s="280"/>
      <c r="BC99" s="280"/>
    </row>
    <row r="100" spans="1:55">
      <c r="A100" s="280" t="s">
        <v>462</v>
      </c>
      <c r="B100" s="281" t="s">
        <v>18</v>
      </c>
      <c r="C100" s="282"/>
      <c r="D100" s="282" t="s">
        <v>1</v>
      </c>
      <c r="E100" s="280" t="s">
        <v>12</v>
      </c>
      <c r="F100" s="280" t="s">
        <v>463</v>
      </c>
      <c r="G100" s="280" t="s">
        <v>401</v>
      </c>
      <c r="H100" s="280"/>
      <c r="I100" s="280" t="str">
        <f t="shared" si="1"/>
        <v>Y</v>
      </c>
      <c r="J100" s="280"/>
      <c r="K100" s="283"/>
      <c r="L100" s="283"/>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row>
    <row r="101" spans="1:55">
      <c r="A101" s="280" t="s">
        <v>470</v>
      </c>
      <c r="B101" s="281" t="s">
        <v>18</v>
      </c>
      <c r="C101" s="282"/>
      <c r="D101" s="282" t="s">
        <v>1</v>
      </c>
      <c r="E101" s="280" t="s">
        <v>12</v>
      </c>
      <c r="F101" s="280" t="s">
        <v>471</v>
      </c>
      <c r="G101" s="280" t="s">
        <v>406</v>
      </c>
      <c r="H101" s="280"/>
      <c r="I101" s="280" t="str">
        <f t="shared" si="1"/>
        <v>Y</v>
      </c>
      <c r="J101" s="280"/>
      <c r="K101" s="283"/>
      <c r="L101" s="283"/>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c r="BA101" s="280"/>
      <c r="BB101" s="280"/>
      <c r="BC101" s="280"/>
    </row>
    <row r="102" spans="1:55">
      <c r="A102" s="280" t="s">
        <v>478</v>
      </c>
      <c r="B102" s="281" t="s">
        <v>18</v>
      </c>
      <c r="C102" s="282"/>
      <c r="D102" s="282" t="s">
        <v>1</v>
      </c>
      <c r="E102" s="280" t="s">
        <v>12</v>
      </c>
      <c r="F102" s="280" t="s">
        <v>479</v>
      </c>
      <c r="G102" s="280" t="s">
        <v>287</v>
      </c>
      <c r="H102" s="280"/>
      <c r="I102" s="280" t="str">
        <f t="shared" si="1"/>
        <v>Y</v>
      </c>
      <c r="J102" s="280"/>
      <c r="K102" s="283"/>
      <c r="L102" s="283"/>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c r="BA102" s="280"/>
      <c r="BB102" s="280"/>
      <c r="BC102" s="280"/>
    </row>
    <row r="103" spans="1:55">
      <c r="A103" s="280" t="s">
        <v>458</v>
      </c>
      <c r="B103" s="281" t="s">
        <v>18</v>
      </c>
      <c r="C103" s="282"/>
      <c r="D103" s="282" t="s">
        <v>1</v>
      </c>
      <c r="E103" s="280" t="s">
        <v>12</v>
      </c>
      <c r="F103" s="280" t="s">
        <v>459</v>
      </c>
      <c r="G103" s="280" t="s">
        <v>292</v>
      </c>
      <c r="H103" s="280"/>
      <c r="I103" s="280" t="str">
        <f t="shared" si="1"/>
        <v>Y</v>
      </c>
      <c r="J103" s="280"/>
      <c r="K103" s="283"/>
      <c r="L103" s="283"/>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c r="BA103" s="280"/>
      <c r="BB103" s="280"/>
      <c r="BC103" s="280"/>
    </row>
    <row r="104" spans="1:55">
      <c r="A104" s="280" t="s">
        <v>466</v>
      </c>
      <c r="B104" s="281" t="s">
        <v>18</v>
      </c>
      <c r="C104" s="282"/>
      <c r="D104" s="282" t="s">
        <v>1</v>
      </c>
      <c r="E104" s="280" t="s">
        <v>12</v>
      </c>
      <c r="F104" s="280" t="s">
        <v>467</v>
      </c>
      <c r="G104" s="280" t="s">
        <v>302</v>
      </c>
      <c r="H104" s="280"/>
      <c r="I104" s="280" t="str">
        <f t="shared" si="1"/>
        <v>Y</v>
      </c>
      <c r="J104" s="280"/>
      <c r="K104" s="283"/>
      <c r="L104" s="283"/>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c r="BA104" s="280"/>
      <c r="BB104" s="280"/>
      <c r="BC104" s="280"/>
    </row>
    <row r="105" spans="1:55">
      <c r="A105" s="280" t="s">
        <v>474</v>
      </c>
      <c r="B105" s="281" t="s">
        <v>18</v>
      </c>
      <c r="C105" s="282"/>
      <c r="D105" s="282" t="s">
        <v>1</v>
      </c>
      <c r="E105" s="280" t="s">
        <v>12</v>
      </c>
      <c r="F105" s="280" t="s">
        <v>475</v>
      </c>
      <c r="G105" s="280" t="s">
        <v>319</v>
      </c>
      <c r="H105" s="280"/>
      <c r="I105" s="280" t="str">
        <f t="shared" si="1"/>
        <v>Y</v>
      </c>
      <c r="J105" s="280"/>
      <c r="K105" s="283"/>
      <c r="L105" s="283"/>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c r="BA105" s="280"/>
      <c r="BB105" s="280"/>
      <c r="BC105" s="280"/>
    </row>
    <row r="106" spans="1:55">
      <c r="A106" s="280" t="s">
        <v>482</v>
      </c>
      <c r="B106" s="281" t="s">
        <v>18</v>
      </c>
      <c r="C106" s="282"/>
      <c r="D106" s="282" t="s">
        <v>1</v>
      </c>
      <c r="E106" s="280" t="s">
        <v>12</v>
      </c>
      <c r="F106" s="280" t="s">
        <v>483</v>
      </c>
      <c r="G106" s="280" t="s">
        <v>292</v>
      </c>
      <c r="H106" s="280"/>
      <c r="I106" s="280" t="str">
        <f t="shared" si="1"/>
        <v>Y</v>
      </c>
      <c r="J106" s="280"/>
      <c r="K106" s="283"/>
      <c r="L106" s="283"/>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c r="BA106" s="280"/>
      <c r="BB106" s="280"/>
      <c r="BC106" s="280"/>
    </row>
    <row r="107" spans="1:55">
      <c r="A107" s="280" t="s">
        <v>692</v>
      </c>
      <c r="B107" s="281" t="s">
        <v>18</v>
      </c>
      <c r="C107" s="282"/>
      <c r="D107" s="282" t="s">
        <v>1</v>
      </c>
      <c r="E107" s="280" t="s">
        <v>680</v>
      </c>
      <c r="F107" s="280" t="s">
        <v>693</v>
      </c>
      <c r="G107" s="280" t="s">
        <v>333</v>
      </c>
      <c r="H107" s="280"/>
      <c r="I107" s="280" t="str">
        <f t="shared" si="1"/>
        <v>Y</v>
      </c>
      <c r="J107" s="280"/>
      <c r="K107" s="283"/>
      <c r="L107" s="283"/>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c r="BA107" s="280"/>
      <c r="BB107" s="280"/>
      <c r="BC107" s="280"/>
    </row>
    <row r="108" spans="1:55">
      <c r="A108" s="280" t="s">
        <v>697</v>
      </c>
      <c r="B108" s="281" t="s">
        <v>18</v>
      </c>
      <c r="C108" s="282"/>
      <c r="D108" s="282" t="s">
        <v>1</v>
      </c>
      <c r="E108" s="280" t="s">
        <v>680</v>
      </c>
      <c r="F108" s="280" t="s">
        <v>698</v>
      </c>
      <c r="G108" s="280" t="s">
        <v>333</v>
      </c>
      <c r="H108" s="280"/>
      <c r="I108" s="280" t="str">
        <f t="shared" si="1"/>
        <v>Y</v>
      </c>
      <c r="J108" s="280"/>
      <c r="K108" s="283"/>
      <c r="L108" s="283"/>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c r="BA108" s="280"/>
      <c r="BB108" s="280"/>
      <c r="BC108" s="280"/>
    </row>
    <row r="109" spans="1:55">
      <c r="A109" s="280" t="s">
        <v>700</v>
      </c>
      <c r="B109" s="281" t="s">
        <v>18</v>
      </c>
      <c r="C109" s="282"/>
      <c r="D109" s="282" t="s">
        <v>1</v>
      </c>
      <c r="E109" s="280" t="s">
        <v>680</v>
      </c>
      <c r="F109" s="280" t="s">
        <v>701</v>
      </c>
      <c r="G109" s="280" t="s">
        <v>333</v>
      </c>
      <c r="H109" s="280"/>
      <c r="I109" s="280" t="str">
        <f t="shared" si="1"/>
        <v>Y</v>
      </c>
      <c r="J109" s="280"/>
      <c r="K109" s="283"/>
      <c r="L109" s="283"/>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c r="BA109" s="280"/>
      <c r="BB109" s="280"/>
      <c r="BC109" s="280"/>
    </row>
    <row r="110" spans="1:55">
      <c r="A110" s="280" t="s">
        <v>703</v>
      </c>
      <c r="B110" s="281" t="s">
        <v>18</v>
      </c>
      <c r="C110" s="282"/>
      <c r="D110" s="282" t="s">
        <v>1</v>
      </c>
      <c r="E110" s="280" t="s">
        <v>680</v>
      </c>
      <c r="F110" s="280" t="s">
        <v>704</v>
      </c>
      <c r="G110" s="280" t="s">
        <v>333</v>
      </c>
      <c r="H110" s="280"/>
      <c r="I110" s="280" t="str">
        <f t="shared" si="1"/>
        <v>Y</v>
      </c>
      <c r="J110" s="280"/>
      <c r="K110" s="283"/>
      <c r="L110" s="283"/>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row>
    <row r="111" spans="1:55">
      <c r="A111" s="280" t="s">
        <v>486</v>
      </c>
      <c r="B111" s="281" t="s">
        <v>18</v>
      </c>
      <c r="C111" s="282"/>
      <c r="D111" s="282" t="s">
        <v>1</v>
      </c>
      <c r="E111" s="280" t="s">
        <v>6</v>
      </c>
      <c r="F111" s="280" t="s">
        <v>487</v>
      </c>
      <c r="G111" s="280" t="s">
        <v>333</v>
      </c>
      <c r="H111" s="280"/>
      <c r="I111" s="280" t="str">
        <f t="shared" si="1"/>
        <v>Y</v>
      </c>
      <c r="J111" s="280"/>
      <c r="K111" s="283"/>
      <c r="L111" s="283"/>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c r="BA111" s="280"/>
      <c r="BB111" s="280"/>
      <c r="BC111" s="280"/>
    </row>
    <row r="112" spans="1:55">
      <c r="A112" s="280" t="s">
        <v>629</v>
      </c>
      <c r="B112" s="281" t="s">
        <v>18</v>
      </c>
      <c r="C112" s="282"/>
      <c r="D112" s="282" t="s">
        <v>1</v>
      </c>
      <c r="E112" s="286" t="s">
        <v>4</v>
      </c>
      <c r="F112" s="286" t="s">
        <v>630</v>
      </c>
      <c r="G112" s="286" t="s">
        <v>333</v>
      </c>
      <c r="H112" s="286" t="s">
        <v>2463</v>
      </c>
      <c r="I112" s="280" t="str">
        <f t="shared" si="1"/>
        <v>Y</v>
      </c>
      <c r="J112" s="280"/>
      <c r="K112" s="283"/>
      <c r="L112" s="283"/>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c r="BA112" s="280"/>
      <c r="BB112" s="280"/>
      <c r="BC112" s="280"/>
    </row>
    <row r="113" spans="1:55">
      <c r="A113" s="280" t="s">
        <v>635</v>
      </c>
      <c r="B113" s="281" t="s">
        <v>18</v>
      </c>
      <c r="C113" s="282"/>
      <c r="D113" s="282" t="s">
        <v>1</v>
      </c>
      <c r="E113" s="286" t="s">
        <v>4</v>
      </c>
      <c r="F113" s="286" t="s">
        <v>636</v>
      </c>
      <c r="G113" s="286" t="s">
        <v>333</v>
      </c>
      <c r="H113" s="286" t="s">
        <v>2463</v>
      </c>
      <c r="I113" s="280" t="str">
        <f t="shared" si="1"/>
        <v>Y</v>
      </c>
      <c r="J113" s="280"/>
      <c r="K113" s="283"/>
      <c r="L113" s="283"/>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c r="BA113" s="280"/>
      <c r="BB113" s="280"/>
      <c r="BC113" s="280"/>
    </row>
    <row r="114" spans="1:55">
      <c r="A114" s="280" t="s">
        <v>762</v>
      </c>
      <c r="B114" s="281" t="s">
        <v>18</v>
      </c>
      <c r="C114" s="282"/>
      <c r="D114" s="282" t="s">
        <v>1</v>
      </c>
      <c r="E114" s="286" t="s">
        <v>7</v>
      </c>
      <c r="F114" s="286" t="s">
        <v>763</v>
      </c>
      <c r="G114" s="286" t="s">
        <v>333</v>
      </c>
      <c r="H114" s="286" t="s">
        <v>2463</v>
      </c>
      <c r="I114" s="280" t="str">
        <f t="shared" si="1"/>
        <v>Y</v>
      </c>
      <c r="J114" s="280"/>
      <c r="K114" s="283"/>
      <c r="L114" s="283"/>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c r="BA114" s="280"/>
      <c r="BB114" s="280"/>
      <c r="BC114" s="280"/>
    </row>
    <row r="115" spans="1:55">
      <c r="A115" s="280" t="s">
        <v>765</v>
      </c>
      <c r="B115" s="281" t="s">
        <v>18</v>
      </c>
      <c r="C115" s="282"/>
      <c r="D115" s="282" t="s">
        <v>1</v>
      </c>
      <c r="E115" s="280" t="s">
        <v>11</v>
      </c>
      <c r="F115" s="280" t="s">
        <v>766</v>
      </c>
      <c r="G115" s="280" t="s">
        <v>53</v>
      </c>
      <c r="H115" s="280"/>
      <c r="I115" s="280" t="str">
        <f t="shared" si="1"/>
        <v>Y</v>
      </c>
      <c r="J115" s="280"/>
      <c r="K115" s="283"/>
      <c r="L115" s="283"/>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row>
    <row r="116" spans="1:55">
      <c r="A116" s="280" t="s">
        <v>639</v>
      </c>
      <c r="B116" s="281" t="s">
        <v>18</v>
      </c>
      <c r="C116" s="282"/>
      <c r="D116" s="282" t="s">
        <v>1</v>
      </c>
      <c r="E116" s="286" t="s">
        <v>4</v>
      </c>
      <c r="F116" s="286" t="s">
        <v>640</v>
      </c>
      <c r="G116" s="286" t="s">
        <v>333</v>
      </c>
      <c r="H116" s="280"/>
      <c r="I116" s="280" t="str">
        <f t="shared" si="1"/>
        <v>Y</v>
      </c>
      <c r="J116" s="280"/>
      <c r="K116" s="283"/>
      <c r="L116" s="283"/>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c r="BA116" s="280"/>
      <c r="BB116" s="280"/>
      <c r="BC116" s="280"/>
    </row>
    <row r="117" spans="1:55">
      <c r="A117" s="280" t="s">
        <v>645</v>
      </c>
      <c r="B117" s="281" t="s">
        <v>18</v>
      </c>
      <c r="C117" s="282"/>
      <c r="D117" s="282" t="s">
        <v>1</v>
      </c>
      <c r="E117" s="286" t="s">
        <v>4</v>
      </c>
      <c r="F117" s="286" t="s">
        <v>646</v>
      </c>
      <c r="G117" s="286" t="s">
        <v>333</v>
      </c>
      <c r="H117" s="280"/>
      <c r="I117" s="280" t="str">
        <f t="shared" si="1"/>
        <v>Y</v>
      </c>
      <c r="J117" s="280"/>
      <c r="K117" s="283"/>
      <c r="L117" s="283"/>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c r="BA117" s="280"/>
      <c r="BB117" s="280"/>
      <c r="BC117" s="280"/>
    </row>
    <row r="118" spans="1:55">
      <c r="A118" s="280" t="s">
        <v>651</v>
      </c>
      <c r="B118" s="281" t="s">
        <v>18</v>
      </c>
      <c r="C118" s="282"/>
      <c r="D118" s="282" t="s">
        <v>1</v>
      </c>
      <c r="E118" s="286" t="s">
        <v>4</v>
      </c>
      <c r="F118" s="286" t="s">
        <v>652</v>
      </c>
      <c r="G118" s="286" t="s">
        <v>333</v>
      </c>
      <c r="H118" s="280"/>
      <c r="I118" s="280" t="str">
        <f t="shared" si="1"/>
        <v>Y</v>
      </c>
      <c r="J118" s="280"/>
      <c r="K118" s="283"/>
      <c r="L118" s="283"/>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c r="BA118" s="280"/>
      <c r="BB118" s="280"/>
      <c r="BC118" s="280"/>
    </row>
    <row r="119" spans="1:55">
      <c r="A119" s="280" t="s">
        <v>657</v>
      </c>
      <c r="B119" s="281" t="s">
        <v>18</v>
      </c>
      <c r="C119" s="282"/>
      <c r="D119" s="282" t="s">
        <v>1</v>
      </c>
      <c r="E119" s="286" t="s">
        <v>4</v>
      </c>
      <c r="F119" s="286" t="s">
        <v>658</v>
      </c>
      <c r="G119" s="286" t="s">
        <v>333</v>
      </c>
      <c r="H119" s="280"/>
      <c r="I119" s="280" t="str">
        <f t="shared" si="1"/>
        <v>Y</v>
      </c>
      <c r="J119" s="280"/>
      <c r="K119" s="283"/>
      <c r="L119" s="283"/>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c r="BA119" s="280"/>
      <c r="BB119" s="280"/>
      <c r="BC119" s="280"/>
    </row>
    <row r="120" spans="1:55">
      <c r="A120" s="280" t="s">
        <v>663</v>
      </c>
      <c r="B120" s="281" t="s">
        <v>18</v>
      </c>
      <c r="C120" s="282"/>
      <c r="D120" s="282" t="s">
        <v>1</v>
      </c>
      <c r="E120" s="286" t="s">
        <v>4</v>
      </c>
      <c r="F120" s="286" t="s">
        <v>664</v>
      </c>
      <c r="G120" s="286" t="s">
        <v>333</v>
      </c>
      <c r="H120" s="280"/>
      <c r="I120" s="280" t="str">
        <f t="shared" si="1"/>
        <v>Y</v>
      </c>
      <c r="J120" s="280"/>
      <c r="K120" s="283"/>
      <c r="L120" s="283"/>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c r="BA120" s="280"/>
      <c r="BB120" s="280"/>
      <c r="BC120" s="280"/>
    </row>
    <row r="121" spans="1:55">
      <c r="A121" s="280" t="s">
        <v>642</v>
      </c>
      <c r="B121" s="281" t="s">
        <v>18</v>
      </c>
      <c r="C121" s="282"/>
      <c r="D121" s="282" t="s">
        <v>1</v>
      </c>
      <c r="E121" s="286" t="s">
        <v>4</v>
      </c>
      <c r="F121" s="286" t="s">
        <v>643</v>
      </c>
      <c r="G121" s="286" t="s">
        <v>333</v>
      </c>
      <c r="H121" s="280"/>
      <c r="I121" s="280" t="str">
        <f t="shared" si="1"/>
        <v>Y</v>
      </c>
      <c r="J121" s="280"/>
      <c r="K121" s="283"/>
      <c r="L121" s="283"/>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c r="BA121" s="280"/>
      <c r="BB121" s="280"/>
      <c r="BC121" s="280"/>
    </row>
    <row r="122" spans="1:55">
      <c r="A122" s="280" t="s">
        <v>648</v>
      </c>
      <c r="B122" s="281" t="s">
        <v>18</v>
      </c>
      <c r="C122" s="282"/>
      <c r="D122" s="282" t="s">
        <v>1</v>
      </c>
      <c r="E122" s="286" t="s">
        <v>4</v>
      </c>
      <c r="F122" s="286" t="s">
        <v>649</v>
      </c>
      <c r="G122" s="286" t="s">
        <v>333</v>
      </c>
      <c r="H122" s="280"/>
      <c r="I122" s="280" t="str">
        <f t="shared" si="1"/>
        <v>Y</v>
      </c>
      <c r="J122" s="280"/>
      <c r="K122" s="283"/>
      <c r="L122" s="283"/>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c r="BA122" s="280"/>
      <c r="BB122" s="280"/>
      <c r="BC122" s="280"/>
    </row>
    <row r="123" spans="1:55">
      <c r="A123" s="280" t="s">
        <v>654</v>
      </c>
      <c r="B123" s="281" t="s">
        <v>18</v>
      </c>
      <c r="C123" s="282"/>
      <c r="D123" s="282" t="s">
        <v>1</v>
      </c>
      <c r="E123" s="286" t="s">
        <v>4</v>
      </c>
      <c r="F123" s="286" t="s">
        <v>655</v>
      </c>
      <c r="G123" s="286" t="s">
        <v>333</v>
      </c>
      <c r="H123" s="280"/>
      <c r="I123" s="280" t="str">
        <f t="shared" si="1"/>
        <v>Y</v>
      </c>
      <c r="J123" s="280"/>
      <c r="K123" s="283"/>
      <c r="L123" s="283"/>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c r="BA123" s="280"/>
      <c r="BB123" s="280"/>
      <c r="BC123" s="280"/>
    </row>
    <row r="124" spans="1:55">
      <c r="A124" s="280" t="s">
        <v>660</v>
      </c>
      <c r="B124" s="281" t="s">
        <v>18</v>
      </c>
      <c r="C124" s="282"/>
      <c r="D124" s="282" t="s">
        <v>1</v>
      </c>
      <c r="E124" s="286" t="s">
        <v>4</v>
      </c>
      <c r="F124" s="286" t="s">
        <v>661</v>
      </c>
      <c r="G124" s="286" t="s">
        <v>333</v>
      </c>
      <c r="H124" s="280"/>
      <c r="I124" s="280" t="str">
        <f t="shared" si="1"/>
        <v>Y</v>
      </c>
      <c r="J124" s="280"/>
      <c r="K124" s="283"/>
      <c r="L124" s="283"/>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c r="BA124" s="280"/>
      <c r="BB124" s="280"/>
      <c r="BC124" s="280"/>
    </row>
    <row r="125" spans="1:55">
      <c r="A125" s="280" t="s">
        <v>666</v>
      </c>
      <c r="B125" s="281" t="s">
        <v>18</v>
      </c>
      <c r="C125" s="282"/>
      <c r="D125" s="282" t="s">
        <v>1</v>
      </c>
      <c r="E125" s="286" t="s">
        <v>4</v>
      </c>
      <c r="F125" s="286" t="s">
        <v>667</v>
      </c>
      <c r="G125" s="286" t="s">
        <v>333</v>
      </c>
      <c r="H125" s="280"/>
      <c r="I125" s="280" t="str">
        <f t="shared" si="1"/>
        <v>Y</v>
      </c>
      <c r="J125" s="280"/>
      <c r="K125" s="283"/>
      <c r="L125" s="283"/>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c r="BA125" s="280"/>
      <c r="BB125" s="280"/>
      <c r="BC125" s="280"/>
    </row>
    <row r="126" spans="1:55">
      <c r="A126" s="280" t="s">
        <v>721</v>
      </c>
      <c r="B126" s="281" t="s">
        <v>18</v>
      </c>
      <c r="C126" s="282"/>
      <c r="D126" s="282" t="s">
        <v>1</v>
      </c>
      <c r="E126" s="280" t="s">
        <v>1380</v>
      </c>
      <c r="F126" s="280" t="s">
        <v>722</v>
      </c>
      <c r="G126" s="284" t="s">
        <v>724</v>
      </c>
      <c r="H126" s="280"/>
      <c r="I126" s="280" t="str">
        <f t="shared" si="1"/>
        <v>Y</v>
      </c>
      <c r="J126" s="280"/>
      <c r="K126" s="283"/>
      <c r="L126" s="283"/>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c r="BA126" s="280"/>
      <c r="BB126" s="280"/>
      <c r="BC126" s="280"/>
    </row>
    <row r="127" spans="1:55">
      <c r="A127" s="280" t="s">
        <v>390</v>
      </c>
      <c r="B127" s="281" t="s">
        <v>18</v>
      </c>
      <c r="C127" s="282"/>
      <c r="D127" s="282" t="s">
        <v>1</v>
      </c>
      <c r="E127" s="280" t="s">
        <v>6</v>
      </c>
      <c r="F127" s="280" t="s">
        <v>391</v>
      </c>
      <c r="G127" s="280" t="s">
        <v>333</v>
      </c>
      <c r="H127" s="280"/>
      <c r="I127" s="280" t="str">
        <f t="shared" si="1"/>
        <v>Y</v>
      </c>
      <c r="J127" s="280"/>
      <c r="K127" s="283"/>
      <c r="L127" s="283"/>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c r="BA127" s="280"/>
      <c r="BB127" s="280"/>
      <c r="BC127" s="280"/>
    </row>
    <row r="128" spans="1:55">
      <c r="A128" s="280" t="s">
        <v>394</v>
      </c>
      <c r="B128" s="281" t="s">
        <v>18</v>
      </c>
      <c r="C128" s="282"/>
      <c r="D128" s="282" t="s">
        <v>1</v>
      </c>
      <c r="E128" s="280" t="s">
        <v>6</v>
      </c>
      <c r="F128" s="280" t="s">
        <v>395</v>
      </c>
      <c r="G128" s="280" t="s">
        <v>292</v>
      </c>
      <c r="H128" s="280"/>
      <c r="I128" s="280" t="str">
        <f t="shared" si="1"/>
        <v>Y</v>
      </c>
      <c r="J128" s="280"/>
      <c r="K128" s="283"/>
      <c r="L128" s="283"/>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c r="BA128" s="280"/>
      <c r="BB128" s="280"/>
      <c r="BC128" s="280"/>
    </row>
    <row r="129" spans="1:55">
      <c r="A129" s="280" t="s">
        <v>398</v>
      </c>
      <c r="B129" s="281" t="s">
        <v>18</v>
      </c>
      <c r="C129" s="282"/>
      <c r="D129" s="282" t="s">
        <v>1</v>
      </c>
      <c r="E129" s="280" t="s">
        <v>6</v>
      </c>
      <c r="F129" s="280" t="s">
        <v>399</v>
      </c>
      <c r="G129" s="280" t="s">
        <v>401</v>
      </c>
      <c r="H129" s="280"/>
      <c r="I129" s="280" t="str">
        <f t="shared" si="1"/>
        <v>Y</v>
      </c>
      <c r="J129" s="280"/>
      <c r="K129" s="283"/>
      <c r="L129" s="283"/>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row>
    <row r="130" spans="1:55">
      <c r="A130" s="280" t="s">
        <v>403</v>
      </c>
      <c r="B130" s="281" t="s">
        <v>18</v>
      </c>
      <c r="C130" s="282"/>
      <c r="D130" s="282" t="s">
        <v>1</v>
      </c>
      <c r="E130" s="280" t="s">
        <v>6</v>
      </c>
      <c r="F130" s="280" t="s">
        <v>404</v>
      </c>
      <c r="G130" s="280" t="s">
        <v>406</v>
      </c>
      <c r="H130" s="280"/>
      <c r="I130" s="280" t="str">
        <f t="shared" si="1"/>
        <v>Y</v>
      </c>
      <c r="J130" s="280"/>
      <c r="K130" s="283"/>
      <c r="L130" s="283"/>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c r="BA130" s="280"/>
      <c r="BB130" s="280"/>
      <c r="BC130" s="280"/>
    </row>
    <row r="131" spans="1:55">
      <c r="A131" s="280" t="s">
        <v>330</v>
      </c>
      <c r="B131" s="281" t="s">
        <v>18</v>
      </c>
      <c r="C131" s="282"/>
      <c r="D131" s="282" t="s">
        <v>1</v>
      </c>
      <c r="E131" s="286" t="s">
        <v>12</v>
      </c>
      <c r="F131" s="286" t="s">
        <v>331</v>
      </c>
      <c r="G131" s="286" t="s">
        <v>333</v>
      </c>
      <c r="H131" s="280"/>
      <c r="I131" s="280" t="str">
        <f t="shared" ref="I131:I194" si="2">C131&amp;D131</f>
        <v>Y</v>
      </c>
      <c r="J131" s="280"/>
      <c r="K131" s="283"/>
      <c r="L131" s="283"/>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c r="BA131" s="280"/>
      <c r="BB131" s="280"/>
      <c r="BC131" s="280"/>
    </row>
    <row r="132" spans="1:55">
      <c r="A132" s="280" t="s">
        <v>669</v>
      </c>
      <c r="B132" s="281" t="s">
        <v>18</v>
      </c>
      <c r="C132" s="282"/>
      <c r="D132" s="282" t="s">
        <v>1</v>
      </c>
      <c r="E132" s="286" t="s">
        <v>4</v>
      </c>
      <c r="F132" s="286" t="s">
        <v>670</v>
      </c>
      <c r="G132" s="286" t="s">
        <v>333</v>
      </c>
      <c r="H132" s="280"/>
      <c r="I132" s="280" t="str">
        <f t="shared" si="2"/>
        <v>Y</v>
      </c>
      <c r="J132" s="280"/>
      <c r="K132" s="283"/>
      <c r="L132" s="283"/>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c r="BA132" s="280"/>
      <c r="BB132" s="280"/>
      <c r="BC132" s="280"/>
    </row>
    <row r="133" spans="1:55">
      <c r="A133" s="280" t="s">
        <v>672</v>
      </c>
      <c r="B133" s="281" t="s">
        <v>18</v>
      </c>
      <c r="C133" s="282"/>
      <c r="D133" s="282" t="s">
        <v>1</v>
      </c>
      <c r="E133" s="286" t="s">
        <v>4</v>
      </c>
      <c r="F133" s="286" t="s">
        <v>673</v>
      </c>
      <c r="G133" s="286" t="s">
        <v>333</v>
      </c>
      <c r="H133" s="280"/>
      <c r="I133" s="280" t="str">
        <f t="shared" si="2"/>
        <v>Y</v>
      </c>
      <c r="J133" s="280"/>
      <c r="K133" s="283"/>
      <c r="L133" s="283"/>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c r="BA133" s="280"/>
      <c r="BB133" s="280"/>
      <c r="BC133" s="280"/>
    </row>
    <row r="134" spans="1:55">
      <c r="A134" s="280" t="s">
        <v>726</v>
      </c>
      <c r="B134" s="281" t="s">
        <v>18</v>
      </c>
      <c r="C134" s="282"/>
      <c r="D134" s="282" t="s">
        <v>1</v>
      </c>
      <c r="E134" s="286" t="s">
        <v>1380</v>
      </c>
      <c r="F134" s="286" t="s">
        <v>727</v>
      </c>
      <c r="G134" s="286" t="s">
        <v>333</v>
      </c>
      <c r="H134" s="280"/>
      <c r="I134" s="280" t="str">
        <f t="shared" si="2"/>
        <v>Y</v>
      </c>
      <c r="J134" s="280"/>
      <c r="K134" s="283"/>
      <c r="L134" s="283"/>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c r="BA134" s="280"/>
      <c r="BB134" s="280"/>
      <c r="BC134" s="280"/>
    </row>
    <row r="135" spans="1:55">
      <c r="A135" s="280" t="s">
        <v>729</v>
      </c>
      <c r="B135" s="281" t="s">
        <v>18</v>
      </c>
      <c r="C135" s="282"/>
      <c r="D135" s="282" t="s">
        <v>1</v>
      </c>
      <c r="E135" s="286" t="s">
        <v>1380</v>
      </c>
      <c r="F135" s="286" t="s">
        <v>730</v>
      </c>
      <c r="G135" s="286" t="s">
        <v>333</v>
      </c>
      <c r="H135" s="280"/>
      <c r="I135" s="280" t="str">
        <f t="shared" si="2"/>
        <v>Y</v>
      </c>
      <c r="J135" s="280"/>
      <c r="K135" s="283"/>
      <c r="L135" s="283"/>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c r="BA135" s="280"/>
      <c r="BB135" s="280"/>
      <c r="BC135" s="280"/>
    </row>
    <row r="136" spans="1:55">
      <c r="A136" s="280" t="s">
        <v>709</v>
      </c>
      <c r="B136" s="281" t="s">
        <v>18</v>
      </c>
      <c r="C136" s="282"/>
      <c r="D136" s="282" t="s">
        <v>1</v>
      </c>
      <c r="E136" s="280" t="s">
        <v>9</v>
      </c>
      <c r="F136" s="280" t="s">
        <v>710</v>
      </c>
      <c r="G136" s="280" t="s">
        <v>711</v>
      </c>
      <c r="H136" s="280"/>
      <c r="I136" s="280" t="str">
        <f t="shared" si="2"/>
        <v>Y</v>
      </c>
      <c r="J136" s="280"/>
      <c r="K136" s="283"/>
      <c r="L136" s="283"/>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c r="BA136" s="280"/>
      <c r="BB136" s="280"/>
      <c r="BC136" s="280"/>
    </row>
    <row r="137" spans="1:55">
      <c r="A137" s="280" t="s">
        <v>713</v>
      </c>
      <c r="B137" s="281" t="s">
        <v>18</v>
      </c>
      <c r="C137" s="282"/>
      <c r="D137" s="282" t="s">
        <v>1</v>
      </c>
      <c r="E137" s="280" t="s">
        <v>9</v>
      </c>
      <c r="F137" s="280" t="s">
        <v>714</v>
      </c>
      <c r="G137" s="280" t="s">
        <v>715</v>
      </c>
      <c r="H137" s="280"/>
      <c r="I137" s="280" t="str">
        <f t="shared" si="2"/>
        <v>Y</v>
      </c>
      <c r="J137" s="280"/>
      <c r="K137" s="283"/>
      <c r="L137" s="283"/>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c r="BA137" s="280"/>
      <c r="BB137" s="280"/>
      <c r="BC137" s="280"/>
    </row>
    <row r="138" spans="1:55">
      <c r="A138" s="280" t="s">
        <v>706</v>
      </c>
      <c r="B138" s="281" t="s">
        <v>18</v>
      </c>
      <c r="C138" s="282"/>
      <c r="D138" s="282" t="s">
        <v>1</v>
      </c>
      <c r="E138" s="280" t="s">
        <v>680</v>
      </c>
      <c r="F138" s="280" t="s">
        <v>707</v>
      </c>
      <c r="G138" s="280" t="s">
        <v>333</v>
      </c>
      <c r="H138" s="280"/>
      <c r="I138" s="280" t="str">
        <f t="shared" si="2"/>
        <v>Y</v>
      </c>
      <c r="J138" s="280"/>
      <c r="K138" s="283"/>
      <c r="L138" s="283"/>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c r="BA138" s="280"/>
      <c r="BB138" s="280"/>
      <c r="BC138" s="280"/>
    </row>
    <row r="139" spans="1:55">
      <c r="A139" s="280" t="s">
        <v>768</v>
      </c>
      <c r="B139" s="281" t="s">
        <v>18</v>
      </c>
      <c r="C139" s="282"/>
      <c r="D139" s="282" t="s">
        <v>1</v>
      </c>
      <c r="E139" s="280" t="s">
        <v>11</v>
      </c>
      <c r="F139" s="280" t="s">
        <v>769</v>
      </c>
      <c r="G139" s="280" t="s">
        <v>1</v>
      </c>
      <c r="H139" s="280"/>
      <c r="I139" s="280" t="str">
        <f t="shared" si="2"/>
        <v>Y</v>
      </c>
      <c r="J139" s="280"/>
      <c r="K139" s="283"/>
      <c r="L139" s="283"/>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c r="BA139" s="280"/>
      <c r="BB139" s="280"/>
      <c r="BC139" s="280"/>
    </row>
    <row r="140" spans="1:55">
      <c r="A140" s="280" t="s">
        <v>380</v>
      </c>
      <c r="B140" s="281" t="s">
        <v>18</v>
      </c>
      <c r="C140" s="282"/>
      <c r="D140" s="282" t="s">
        <v>1</v>
      </c>
      <c r="E140" s="280" t="s">
        <v>12</v>
      </c>
      <c r="F140" s="280" t="s">
        <v>381</v>
      </c>
      <c r="G140" s="280" t="s">
        <v>383</v>
      </c>
      <c r="H140" s="280"/>
      <c r="I140" s="280" t="str">
        <f t="shared" si="2"/>
        <v>Y</v>
      </c>
      <c r="J140" s="280"/>
      <c r="K140" s="283"/>
      <c r="L140" s="283"/>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c r="BA140" s="280"/>
      <c r="BB140" s="280"/>
      <c r="BC140" s="280"/>
    </row>
    <row r="141" spans="1:55">
      <c r="A141" s="280" t="s">
        <v>385</v>
      </c>
      <c r="B141" s="281" t="s">
        <v>18</v>
      </c>
      <c r="C141" s="282"/>
      <c r="D141" s="282" t="s">
        <v>1</v>
      </c>
      <c r="E141" s="280" t="s">
        <v>12</v>
      </c>
      <c r="F141" s="280" t="s">
        <v>386</v>
      </c>
      <c r="G141" s="280" t="s">
        <v>388</v>
      </c>
      <c r="H141" s="280"/>
      <c r="I141" s="280" t="str">
        <f t="shared" si="2"/>
        <v>Y</v>
      </c>
      <c r="J141" s="280"/>
      <c r="K141" s="283"/>
      <c r="L141" s="283"/>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c r="BA141" s="280"/>
      <c r="BB141" s="280"/>
      <c r="BC141" s="280"/>
    </row>
    <row r="142" spans="1:55">
      <c r="A142" s="280" t="s">
        <v>408</v>
      </c>
      <c r="B142" s="281" t="s">
        <v>18</v>
      </c>
      <c r="C142" s="282"/>
      <c r="D142" s="282" t="s">
        <v>1</v>
      </c>
      <c r="E142" s="280" t="s">
        <v>6</v>
      </c>
      <c r="F142" s="280" t="s">
        <v>409</v>
      </c>
      <c r="G142" s="280" t="s">
        <v>333</v>
      </c>
      <c r="H142" s="280"/>
      <c r="I142" s="280" t="str">
        <f t="shared" si="2"/>
        <v>Y</v>
      </c>
      <c r="J142" s="280"/>
      <c r="K142" s="283"/>
      <c r="L142" s="283"/>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c r="BA142" s="280"/>
      <c r="BB142" s="280"/>
      <c r="BC142" s="280"/>
    </row>
    <row r="143" spans="1:55">
      <c r="A143" s="280" t="s">
        <v>51</v>
      </c>
      <c r="B143" s="288" t="s">
        <v>17</v>
      </c>
      <c r="C143" s="282" t="s">
        <v>1</v>
      </c>
      <c r="D143" s="282" t="s">
        <v>1</v>
      </c>
      <c r="E143" s="289" t="s">
        <v>9</v>
      </c>
      <c r="F143" s="289" t="s">
        <v>54</v>
      </c>
      <c r="G143" s="289" t="s">
        <v>1506</v>
      </c>
      <c r="H143" s="280"/>
      <c r="I143" s="280" t="str">
        <f t="shared" si="2"/>
        <v>YY</v>
      </c>
      <c r="J143" s="280"/>
      <c r="K143" s="283"/>
      <c r="L143" s="283"/>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c r="BA143" s="280"/>
      <c r="BB143" s="280"/>
      <c r="BC143" s="280"/>
    </row>
    <row r="144" spans="1:55">
      <c r="A144" s="280" t="s">
        <v>58</v>
      </c>
      <c r="B144" s="288" t="s">
        <v>17</v>
      </c>
      <c r="C144" s="282" t="s">
        <v>1</v>
      </c>
      <c r="D144" s="282" t="s">
        <v>1</v>
      </c>
      <c r="E144" s="289" t="s">
        <v>9</v>
      </c>
      <c r="F144" s="289" t="s">
        <v>59</v>
      </c>
      <c r="G144" s="289" t="s">
        <v>1506</v>
      </c>
      <c r="H144" s="280"/>
      <c r="I144" s="280" t="str">
        <f t="shared" si="2"/>
        <v>YY</v>
      </c>
      <c r="J144" s="280"/>
      <c r="K144" s="283"/>
      <c r="L144" s="283"/>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c r="BA144" s="280"/>
      <c r="BB144" s="280"/>
      <c r="BC144" s="280"/>
    </row>
    <row r="145" spans="1:55">
      <c r="A145" s="280" t="s">
        <v>61</v>
      </c>
      <c r="B145" s="288" t="s">
        <v>17</v>
      </c>
      <c r="C145" s="282" t="s">
        <v>1</v>
      </c>
      <c r="D145" s="282" t="s">
        <v>1</v>
      </c>
      <c r="E145" s="289" t="s">
        <v>9</v>
      </c>
      <c r="F145" s="289" t="s">
        <v>62</v>
      </c>
      <c r="G145" s="289" t="s">
        <v>1506</v>
      </c>
      <c r="H145" s="280"/>
      <c r="I145" s="280" t="str">
        <f t="shared" si="2"/>
        <v>YY</v>
      </c>
      <c r="J145" s="280"/>
      <c r="K145" s="283"/>
      <c r="L145" s="283"/>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c r="BA145" s="280"/>
      <c r="BB145" s="280"/>
      <c r="BC145" s="280"/>
    </row>
    <row r="146" spans="1:55">
      <c r="A146" s="280" t="s">
        <v>64</v>
      </c>
      <c r="B146" s="288" t="s">
        <v>17</v>
      </c>
      <c r="C146" s="282" t="s">
        <v>1</v>
      </c>
      <c r="D146" s="282" t="s">
        <v>1</v>
      </c>
      <c r="E146" s="289" t="s">
        <v>9</v>
      </c>
      <c r="F146" s="289" t="s">
        <v>65</v>
      </c>
      <c r="G146" s="289" t="s">
        <v>1506</v>
      </c>
      <c r="H146" s="280"/>
      <c r="I146" s="280" t="str">
        <f t="shared" si="2"/>
        <v>YY</v>
      </c>
      <c r="J146" s="280"/>
      <c r="K146" s="283"/>
      <c r="L146" s="283"/>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c r="BA146" s="280"/>
      <c r="BB146" s="280"/>
      <c r="BC146" s="280"/>
    </row>
    <row r="147" spans="1:55">
      <c r="A147" s="280" t="s">
        <v>246</v>
      </c>
      <c r="B147" s="288" t="s">
        <v>17</v>
      </c>
      <c r="C147" s="282" t="s">
        <v>1</v>
      </c>
      <c r="D147" s="282" t="s">
        <v>1</v>
      </c>
      <c r="E147" s="289" t="s">
        <v>9</v>
      </c>
      <c r="F147" s="289" t="s">
        <v>247</v>
      </c>
      <c r="G147" s="289" t="s">
        <v>1506</v>
      </c>
      <c r="H147" s="280"/>
      <c r="I147" s="280" t="str">
        <f t="shared" si="2"/>
        <v>YY</v>
      </c>
      <c r="J147" s="280"/>
      <c r="K147" s="283"/>
      <c r="L147" s="283"/>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c r="BA147" s="280"/>
      <c r="BB147" s="280"/>
      <c r="BC147" s="280"/>
    </row>
    <row r="148" spans="1:55">
      <c r="A148" s="280" t="s">
        <v>771</v>
      </c>
      <c r="B148" s="288" t="s">
        <v>17</v>
      </c>
      <c r="C148" s="282" t="s">
        <v>1</v>
      </c>
      <c r="D148" s="282" t="s">
        <v>1</v>
      </c>
      <c r="E148" s="289" t="s">
        <v>11</v>
      </c>
      <c r="F148" s="289" t="s">
        <v>772</v>
      </c>
      <c r="G148" s="289" t="s">
        <v>584</v>
      </c>
      <c r="H148" s="280"/>
      <c r="I148" s="280" t="str">
        <f t="shared" si="2"/>
        <v>YY</v>
      </c>
      <c r="J148" s="280"/>
      <c r="K148" s="283"/>
      <c r="L148" s="283"/>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c r="BA148" s="280"/>
      <c r="BB148" s="280"/>
      <c r="BC148" s="280"/>
    </row>
    <row r="149" spans="1:55">
      <c r="A149" s="280" t="s">
        <v>732</v>
      </c>
      <c r="B149" s="288" t="s">
        <v>17</v>
      </c>
      <c r="C149" s="282" t="s">
        <v>1</v>
      </c>
      <c r="D149" s="282" t="s">
        <v>1</v>
      </c>
      <c r="E149" s="289" t="s">
        <v>11</v>
      </c>
      <c r="F149" s="289" t="s">
        <v>733</v>
      </c>
      <c r="G149" s="289" t="s">
        <v>584</v>
      </c>
      <c r="H149" s="286" t="s">
        <v>814</v>
      </c>
      <c r="I149" s="280" t="str">
        <f t="shared" si="2"/>
        <v>YY</v>
      </c>
      <c r="J149" s="280"/>
      <c r="K149" s="283"/>
      <c r="L149" s="283"/>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c r="BA149" s="280"/>
      <c r="BB149" s="280"/>
      <c r="BC149" s="280"/>
    </row>
    <row r="150" spans="1:55">
      <c r="A150" s="280" t="s">
        <v>580</v>
      </c>
      <c r="B150" s="288" t="s">
        <v>17</v>
      </c>
      <c r="C150" s="282" t="s">
        <v>1</v>
      </c>
      <c r="D150" s="282" t="s">
        <v>1</v>
      </c>
      <c r="E150" s="289" t="s">
        <v>11</v>
      </c>
      <c r="F150" s="289" t="s">
        <v>581</v>
      </c>
      <c r="G150" s="289" t="s">
        <v>584</v>
      </c>
      <c r="H150" s="280"/>
      <c r="I150" s="280" t="str">
        <f t="shared" si="2"/>
        <v>YY</v>
      </c>
      <c r="J150" s="280"/>
      <c r="K150" s="283"/>
      <c r="L150" s="283"/>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c r="BA150" s="280"/>
      <c r="BB150" s="280"/>
      <c r="BC150" s="280"/>
    </row>
    <row r="151" spans="1:55">
      <c r="A151" s="280" t="s">
        <v>251</v>
      </c>
      <c r="B151" s="288" t="s">
        <v>17</v>
      </c>
      <c r="C151" s="290"/>
      <c r="D151" s="282" t="s">
        <v>1</v>
      </c>
      <c r="E151" s="289" t="s">
        <v>11</v>
      </c>
      <c r="F151" s="289" t="s">
        <v>252</v>
      </c>
      <c r="G151" s="289" t="s">
        <v>255</v>
      </c>
      <c r="H151" s="280"/>
      <c r="I151" s="280" t="str">
        <f t="shared" si="2"/>
        <v>Y</v>
      </c>
      <c r="J151" s="280"/>
      <c r="K151" s="283"/>
      <c r="L151" s="283"/>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c r="BA151" s="280"/>
      <c r="BB151" s="280"/>
      <c r="BC151" s="280"/>
    </row>
    <row r="152" spans="1:55">
      <c r="A152" s="280" t="s">
        <v>500</v>
      </c>
      <c r="B152" s="288" t="s">
        <v>17</v>
      </c>
      <c r="C152" s="282" t="s">
        <v>1</v>
      </c>
      <c r="D152" s="282" t="s">
        <v>1</v>
      </c>
      <c r="E152" s="289" t="s">
        <v>6</v>
      </c>
      <c r="F152" s="289" t="s">
        <v>501</v>
      </c>
      <c r="G152" s="289" t="s">
        <v>447</v>
      </c>
      <c r="H152" s="280"/>
      <c r="I152" s="280" t="str">
        <f t="shared" si="2"/>
        <v>YY</v>
      </c>
      <c r="J152" s="280"/>
      <c r="K152" s="283"/>
      <c r="L152" s="283"/>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c r="BA152" s="280"/>
      <c r="BB152" s="280"/>
      <c r="BC152" s="280"/>
    </row>
    <row r="153" spans="1:55">
      <c r="A153" s="280" t="s">
        <v>505</v>
      </c>
      <c r="B153" s="288" t="s">
        <v>17</v>
      </c>
      <c r="C153" s="282" t="s">
        <v>1</v>
      </c>
      <c r="D153" s="282" t="s">
        <v>1</v>
      </c>
      <c r="E153" s="289" t="s">
        <v>6</v>
      </c>
      <c r="F153" s="289" t="s">
        <v>506</v>
      </c>
      <c r="G153" s="289" t="s">
        <v>447</v>
      </c>
      <c r="H153" s="280"/>
      <c r="I153" s="280" t="str">
        <f t="shared" si="2"/>
        <v>YY</v>
      </c>
      <c r="J153" s="280"/>
      <c r="K153" s="283"/>
      <c r="L153" s="283"/>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c r="BA153" s="280"/>
      <c r="BB153" s="280"/>
      <c r="BC153" s="280"/>
    </row>
    <row r="154" spans="1:55">
      <c r="A154" s="280" t="s">
        <v>509</v>
      </c>
      <c r="B154" s="288" t="s">
        <v>17</v>
      </c>
      <c r="C154" s="282" t="s">
        <v>1</v>
      </c>
      <c r="D154" s="282" t="s">
        <v>1</v>
      </c>
      <c r="E154" s="289" t="s">
        <v>6</v>
      </c>
      <c r="F154" s="289" t="s">
        <v>510</v>
      </c>
      <c r="G154" s="289" t="s">
        <v>512</v>
      </c>
      <c r="H154" s="280"/>
      <c r="I154" s="280" t="str">
        <f t="shared" si="2"/>
        <v>YY</v>
      </c>
      <c r="J154" s="280"/>
      <c r="K154" s="283"/>
      <c r="L154" s="283"/>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c r="BA154" s="280"/>
      <c r="BB154" s="280"/>
      <c r="BC154" s="280"/>
    </row>
    <row r="155" spans="1:55">
      <c r="A155" s="280" t="s">
        <v>515</v>
      </c>
      <c r="B155" s="288" t="s">
        <v>17</v>
      </c>
      <c r="C155" s="282" t="s">
        <v>1</v>
      </c>
      <c r="D155" s="282" t="s">
        <v>1</v>
      </c>
      <c r="E155" s="289" t="s">
        <v>6</v>
      </c>
      <c r="F155" s="289" t="s">
        <v>516</v>
      </c>
      <c r="G155" s="289" t="s">
        <v>512</v>
      </c>
      <c r="H155" s="280"/>
      <c r="I155" s="280" t="str">
        <f t="shared" si="2"/>
        <v>YY</v>
      </c>
      <c r="J155" s="280"/>
      <c r="K155" s="283"/>
      <c r="L155" s="283"/>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c r="BA155" s="280"/>
      <c r="BB155" s="280"/>
      <c r="BC155" s="280"/>
    </row>
    <row r="156" spans="1:55">
      <c r="A156" s="280" t="s">
        <v>518</v>
      </c>
      <c r="B156" s="288" t="s">
        <v>17</v>
      </c>
      <c r="C156" s="282" t="s">
        <v>1</v>
      </c>
      <c r="D156" s="282" t="s">
        <v>1</v>
      </c>
      <c r="E156" s="289" t="s">
        <v>6</v>
      </c>
      <c r="F156" s="289" t="s">
        <v>519</v>
      </c>
      <c r="G156" s="289" t="s">
        <v>512</v>
      </c>
      <c r="H156" s="280"/>
      <c r="I156" s="280" t="str">
        <f t="shared" si="2"/>
        <v>YY</v>
      </c>
      <c r="J156" s="280"/>
      <c r="K156" s="283"/>
      <c r="L156" s="283"/>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c r="BA156" s="280"/>
      <c r="BB156" s="280"/>
      <c r="BC156" s="280"/>
    </row>
    <row r="157" spans="1:55">
      <c r="A157" s="280" t="s">
        <v>521</v>
      </c>
      <c r="B157" s="288" t="s">
        <v>17</v>
      </c>
      <c r="C157" s="282" t="s">
        <v>1</v>
      </c>
      <c r="D157" s="282" t="s">
        <v>1</v>
      </c>
      <c r="E157" s="289" t="s">
        <v>6</v>
      </c>
      <c r="F157" s="289" t="s">
        <v>522</v>
      </c>
      <c r="G157" s="289" t="s">
        <v>512</v>
      </c>
      <c r="H157" s="280"/>
      <c r="I157" s="280" t="str">
        <f t="shared" si="2"/>
        <v>YY</v>
      </c>
      <c r="J157" s="280"/>
      <c r="K157" s="283"/>
      <c r="L157" s="283"/>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row>
    <row r="158" spans="1:55">
      <c r="A158" s="280" t="s">
        <v>524</v>
      </c>
      <c r="B158" s="288" t="s">
        <v>17</v>
      </c>
      <c r="C158" s="282" t="s">
        <v>1</v>
      </c>
      <c r="D158" s="282" t="s">
        <v>1</v>
      </c>
      <c r="E158" s="289" t="s">
        <v>6</v>
      </c>
      <c r="F158" s="289" t="s">
        <v>525</v>
      </c>
      <c r="G158" s="289" t="s">
        <v>512</v>
      </c>
      <c r="H158" s="280"/>
      <c r="I158" s="280" t="str">
        <f t="shared" si="2"/>
        <v>YY</v>
      </c>
      <c r="J158" s="280"/>
      <c r="K158" s="283"/>
      <c r="L158" s="283"/>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c r="BA158" s="280"/>
      <c r="BB158" s="280"/>
      <c r="BC158" s="280"/>
    </row>
    <row r="159" spans="1:55">
      <c r="A159" s="280" t="s">
        <v>527</v>
      </c>
      <c r="B159" s="288" t="s">
        <v>17</v>
      </c>
      <c r="C159" s="282" t="s">
        <v>1</v>
      </c>
      <c r="D159" s="282" t="s">
        <v>1</v>
      </c>
      <c r="E159" s="289" t="s">
        <v>6</v>
      </c>
      <c r="F159" s="289" t="s">
        <v>528</v>
      </c>
      <c r="G159" s="289" t="s">
        <v>512</v>
      </c>
      <c r="H159" s="280"/>
      <c r="I159" s="280" t="str">
        <f t="shared" si="2"/>
        <v>YY</v>
      </c>
      <c r="J159" s="280"/>
      <c r="K159" s="283"/>
      <c r="L159" s="283"/>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c r="BA159" s="280"/>
      <c r="BB159" s="280"/>
      <c r="BC159" s="280"/>
    </row>
    <row r="160" spans="1:55">
      <c r="A160" s="280" t="s">
        <v>530</v>
      </c>
      <c r="B160" s="288" t="s">
        <v>17</v>
      </c>
      <c r="C160" s="282" t="s">
        <v>1</v>
      </c>
      <c r="D160" s="282" t="s">
        <v>1</v>
      </c>
      <c r="E160" s="289" t="s">
        <v>6</v>
      </c>
      <c r="F160" s="289" t="s">
        <v>531</v>
      </c>
      <c r="G160" s="289" t="s">
        <v>512</v>
      </c>
      <c r="H160" s="280"/>
      <c r="I160" s="280" t="str">
        <f t="shared" si="2"/>
        <v>YY</v>
      </c>
      <c r="J160" s="280"/>
      <c r="K160" s="283"/>
      <c r="L160" s="283"/>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c r="BA160" s="280"/>
      <c r="BB160" s="280"/>
      <c r="BC160" s="280"/>
    </row>
    <row r="161" spans="1:55">
      <c r="A161" s="280" t="s">
        <v>533</v>
      </c>
      <c r="B161" s="288" t="s">
        <v>17</v>
      </c>
      <c r="C161" s="282" t="s">
        <v>1</v>
      </c>
      <c r="D161" s="282" t="s">
        <v>1</v>
      </c>
      <c r="E161" s="289" t="s">
        <v>6</v>
      </c>
      <c r="F161" s="289" t="s">
        <v>534</v>
      </c>
      <c r="G161" s="289" t="s">
        <v>512</v>
      </c>
      <c r="H161" s="280"/>
      <c r="I161" s="280" t="str">
        <f t="shared" si="2"/>
        <v>YY</v>
      </c>
      <c r="J161" s="280"/>
      <c r="K161" s="283"/>
      <c r="L161" s="283"/>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c r="BA161" s="280"/>
      <c r="BB161" s="280"/>
      <c r="BC161" s="280"/>
    </row>
    <row r="162" spans="1:55">
      <c r="A162" s="280" t="s">
        <v>536</v>
      </c>
      <c r="B162" s="288" t="s">
        <v>17</v>
      </c>
      <c r="C162" s="282" t="s">
        <v>1</v>
      </c>
      <c r="D162" s="282" t="s">
        <v>1</v>
      </c>
      <c r="E162" s="289" t="s">
        <v>6</v>
      </c>
      <c r="F162" s="289" t="s">
        <v>537</v>
      </c>
      <c r="G162" s="289" t="s">
        <v>512</v>
      </c>
      <c r="H162" s="280"/>
      <c r="I162" s="280" t="str">
        <f t="shared" si="2"/>
        <v>YY</v>
      </c>
      <c r="J162" s="280"/>
      <c r="K162" s="283"/>
      <c r="L162" s="283"/>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c r="BA162" s="280"/>
      <c r="BB162" s="280"/>
      <c r="BC162" s="280"/>
    </row>
    <row r="163" spans="1:55">
      <c r="A163" s="280" t="s">
        <v>539</v>
      </c>
      <c r="B163" s="288" t="s">
        <v>17</v>
      </c>
      <c r="C163" s="282" t="s">
        <v>1</v>
      </c>
      <c r="D163" s="282" t="s">
        <v>1</v>
      </c>
      <c r="E163" s="289" t="s">
        <v>6</v>
      </c>
      <c r="F163" s="289" t="s">
        <v>540</v>
      </c>
      <c r="G163" s="289" t="s">
        <v>512</v>
      </c>
      <c r="H163" s="280"/>
      <c r="I163" s="280" t="str">
        <f t="shared" si="2"/>
        <v>YY</v>
      </c>
      <c r="J163" s="280"/>
      <c r="K163" s="283"/>
      <c r="L163" s="283"/>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c r="BA163" s="280"/>
      <c r="BB163" s="280"/>
      <c r="BC163" s="280"/>
    </row>
    <row r="164" spans="1:55">
      <c r="A164" s="280" t="s">
        <v>542</v>
      </c>
      <c r="B164" s="288" t="s">
        <v>17</v>
      </c>
      <c r="C164" s="282" t="s">
        <v>1</v>
      </c>
      <c r="D164" s="282" t="s">
        <v>1</v>
      </c>
      <c r="E164" s="289" t="s">
        <v>6</v>
      </c>
      <c r="F164" s="289" t="s">
        <v>543</v>
      </c>
      <c r="G164" s="289" t="s">
        <v>512</v>
      </c>
      <c r="H164" s="280"/>
      <c r="I164" s="280" t="str">
        <f t="shared" si="2"/>
        <v>YY</v>
      </c>
      <c r="J164" s="280"/>
      <c r="K164" s="283"/>
      <c r="L164" s="283"/>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c r="BA164" s="280"/>
      <c r="BB164" s="280"/>
      <c r="BC164" s="280"/>
    </row>
    <row r="165" spans="1:55">
      <c r="A165" s="280" t="s">
        <v>545</v>
      </c>
      <c r="B165" s="288" t="s">
        <v>17</v>
      </c>
      <c r="C165" s="282" t="s">
        <v>1</v>
      </c>
      <c r="D165" s="282" t="s">
        <v>1</v>
      </c>
      <c r="E165" s="289" t="s">
        <v>6</v>
      </c>
      <c r="F165" s="289" t="s">
        <v>546</v>
      </c>
      <c r="G165" s="289" t="s">
        <v>512</v>
      </c>
      <c r="H165" s="280"/>
      <c r="I165" s="280" t="str">
        <f t="shared" si="2"/>
        <v>YY</v>
      </c>
      <c r="J165" s="280"/>
      <c r="K165" s="283"/>
      <c r="L165" s="283"/>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c r="BA165" s="280"/>
      <c r="BB165" s="280"/>
      <c r="BC165" s="280"/>
    </row>
    <row r="166" spans="1:55">
      <c r="A166" s="280" t="s">
        <v>548</v>
      </c>
      <c r="B166" s="288" t="s">
        <v>17</v>
      </c>
      <c r="C166" s="282" t="s">
        <v>1</v>
      </c>
      <c r="D166" s="282" t="s">
        <v>1</v>
      </c>
      <c r="E166" s="289" t="s">
        <v>6</v>
      </c>
      <c r="F166" s="289" t="s">
        <v>549</v>
      </c>
      <c r="G166" s="289" t="s">
        <v>442</v>
      </c>
      <c r="H166" s="280"/>
      <c r="I166" s="280" t="str">
        <f t="shared" si="2"/>
        <v>YY</v>
      </c>
      <c r="J166" s="280"/>
      <c r="K166" s="283"/>
      <c r="L166" s="283"/>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c r="BA166" s="280"/>
      <c r="BB166" s="280"/>
      <c r="BC166" s="280"/>
    </row>
    <row r="167" spans="1:55">
      <c r="A167" s="280" t="s">
        <v>552</v>
      </c>
      <c r="B167" s="288" t="s">
        <v>17</v>
      </c>
      <c r="C167" s="282" t="s">
        <v>1</v>
      </c>
      <c r="D167" s="282" t="s">
        <v>1</v>
      </c>
      <c r="E167" s="289" t="s">
        <v>6</v>
      </c>
      <c r="F167" s="289" t="s">
        <v>553</v>
      </c>
      <c r="G167" s="289" t="s">
        <v>442</v>
      </c>
      <c r="H167" s="280"/>
      <c r="I167" s="280" t="str">
        <f t="shared" si="2"/>
        <v>YY</v>
      </c>
      <c r="J167" s="280"/>
      <c r="K167" s="283"/>
      <c r="L167" s="283"/>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c r="BA167" s="280"/>
      <c r="BB167" s="280"/>
      <c r="BC167" s="280"/>
    </row>
    <row r="168" spans="1:55" s="321" customFormat="1">
      <c r="A168" s="316" t="s">
        <v>2464</v>
      </c>
      <c r="B168" s="317" t="s">
        <v>17</v>
      </c>
      <c r="C168" s="318" t="s">
        <v>1</v>
      </c>
      <c r="D168" s="318" t="s">
        <v>1</v>
      </c>
      <c r="E168" s="319" t="s">
        <v>6</v>
      </c>
      <c r="F168" s="319" t="s">
        <v>537</v>
      </c>
      <c r="G168" s="319" t="s">
        <v>512</v>
      </c>
      <c r="H168" s="316"/>
      <c r="I168" s="316" t="str">
        <f t="shared" si="2"/>
        <v>YY</v>
      </c>
      <c r="J168" s="316"/>
      <c r="K168" s="320"/>
      <c r="L168" s="320"/>
      <c r="M168" s="316"/>
      <c r="N168" s="316"/>
      <c r="O168" s="316"/>
      <c r="P168" s="316"/>
      <c r="Q168" s="316"/>
      <c r="R168" s="316"/>
      <c r="S168" s="316"/>
      <c r="T168" s="316"/>
      <c r="U168" s="316"/>
      <c r="V168" s="316"/>
      <c r="W168" s="316"/>
      <c r="X168" s="316"/>
      <c r="Y168" s="316"/>
      <c r="Z168" s="316"/>
      <c r="AA168" s="316"/>
      <c r="AB168" s="316"/>
      <c r="AC168" s="316"/>
      <c r="AD168" s="316"/>
      <c r="AE168" s="316"/>
      <c r="AF168" s="316"/>
      <c r="AG168" s="316"/>
      <c r="AH168" s="316"/>
      <c r="AI168" s="316"/>
      <c r="AJ168" s="316"/>
      <c r="AK168" s="316"/>
      <c r="AL168" s="316"/>
      <c r="AM168" s="316"/>
      <c r="AN168" s="316"/>
      <c r="AO168" s="316"/>
      <c r="AP168" s="316"/>
      <c r="AQ168" s="316"/>
      <c r="AR168" s="316"/>
      <c r="AS168" s="316"/>
      <c r="AT168" s="316"/>
      <c r="AU168" s="316"/>
      <c r="AV168" s="316"/>
      <c r="AW168" s="316"/>
      <c r="AX168" s="316"/>
      <c r="AY168" s="316"/>
      <c r="AZ168" s="316"/>
      <c r="BA168" s="316"/>
      <c r="BB168" s="316"/>
      <c r="BC168" s="316"/>
    </row>
    <row r="169" spans="1:55" s="321" customFormat="1">
      <c r="A169" s="316" t="s">
        <v>2465</v>
      </c>
      <c r="B169" s="317" t="s">
        <v>17</v>
      </c>
      <c r="C169" s="318" t="s">
        <v>1</v>
      </c>
      <c r="D169" s="318" t="s">
        <v>1</v>
      </c>
      <c r="E169" s="319" t="s">
        <v>6</v>
      </c>
      <c r="F169" s="319" t="s">
        <v>540</v>
      </c>
      <c r="G169" s="319" t="s">
        <v>512</v>
      </c>
      <c r="H169" s="316"/>
      <c r="I169" s="316" t="str">
        <f t="shared" si="2"/>
        <v>YY</v>
      </c>
      <c r="J169" s="316"/>
      <c r="K169" s="320"/>
      <c r="L169" s="320"/>
      <c r="M169" s="316"/>
      <c r="N169" s="316"/>
      <c r="O169" s="316"/>
      <c r="P169" s="316"/>
      <c r="Q169" s="316"/>
      <c r="R169" s="316"/>
      <c r="S169" s="316"/>
      <c r="T169" s="316"/>
      <c r="U169" s="316"/>
      <c r="V169" s="316"/>
      <c r="W169" s="316"/>
      <c r="X169" s="316"/>
      <c r="Y169" s="316"/>
      <c r="Z169" s="316"/>
      <c r="AA169" s="316"/>
      <c r="AB169" s="316"/>
      <c r="AC169" s="316"/>
      <c r="AD169" s="316"/>
      <c r="AE169" s="316"/>
      <c r="AF169" s="316"/>
      <c r="AG169" s="316"/>
      <c r="AH169" s="316"/>
      <c r="AI169" s="316"/>
      <c r="AJ169" s="316"/>
      <c r="AK169" s="316"/>
      <c r="AL169" s="316"/>
      <c r="AM169" s="316"/>
      <c r="AN169" s="316"/>
      <c r="AO169" s="316"/>
      <c r="AP169" s="316"/>
      <c r="AQ169" s="316"/>
      <c r="AR169" s="316"/>
      <c r="AS169" s="316"/>
      <c r="AT169" s="316"/>
      <c r="AU169" s="316"/>
      <c r="AV169" s="316"/>
      <c r="AW169" s="316"/>
      <c r="AX169" s="316"/>
      <c r="AY169" s="316"/>
      <c r="AZ169" s="316"/>
      <c r="BA169" s="316"/>
      <c r="BB169" s="316"/>
      <c r="BC169" s="316"/>
    </row>
    <row r="170" spans="1:55">
      <c r="A170" s="280" t="s">
        <v>555</v>
      </c>
      <c r="B170" s="288" t="s">
        <v>17</v>
      </c>
      <c r="C170" s="282" t="s">
        <v>1</v>
      </c>
      <c r="D170" s="282" t="s">
        <v>1</v>
      </c>
      <c r="E170" s="289" t="s">
        <v>6</v>
      </c>
      <c r="F170" s="289" t="s">
        <v>556</v>
      </c>
      <c r="G170" s="289" t="s">
        <v>558</v>
      </c>
      <c r="H170" s="280"/>
      <c r="I170" s="280" t="str">
        <f t="shared" si="2"/>
        <v>YY</v>
      </c>
      <c r="J170" s="280"/>
      <c r="K170" s="283"/>
      <c r="L170" s="283"/>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c r="BA170" s="280"/>
      <c r="BB170" s="280"/>
      <c r="BC170" s="280"/>
    </row>
    <row r="171" spans="1:55">
      <c r="A171" s="280" t="s">
        <v>560</v>
      </c>
      <c r="B171" s="288" t="s">
        <v>17</v>
      </c>
      <c r="C171" s="282" t="s">
        <v>1</v>
      </c>
      <c r="D171" s="282" t="s">
        <v>1</v>
      </c>
      <c r="E171" s="289" t="s">
        <v>6</v>
      </c>
      <c r="F171" s="289" t="s">
        <v>561</v>
      </c>
      <c r="G171" s="289" t="s">
        <v>563</v>
      </c>
      <c r="H171" s="280"/>
      <c r="I171" s="280" t="str">
        <f t="shared" si="2"/>
        <v>YY</v>
      </c>
      <c r="J171" s="280"/>
      <c r="K171" s="283"/>
      <c r="L171" s="283"/>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row>
    <row r="172" spans="1:55" s="321" customFormat="1">
      <c r="A172" s="316" t="s">
        <v>2466</v>
      </c>
      <c r="B172" s="317" t="s">
        <v>17</v>
      </c>
      <c r="C172" s="318" t="s">
        <v>1</v>
      </c>
      <c r="D172" s="318" t="s">
        <v>1</v>
      </c>
      <c r="E172" s="319" t="s">
        <v>6</v>
      </c>
      <c r="F172" s="319" t="s">
        <v>537</v>
      </c>
      <c r="G172" s="319"/>
      <c r="H172" s="316"/>
      <c r="I172" s="316" t="str">
        <f t="shared" si="2"/>
        <v>YY</v>
      </c>
      <c r="J172" s="316"/>
      <c r="K172" s="320"/>
      <c r="L172" s="320"/>
      <c r="M172" s="316"/>
      <c r="N172" s="316"/>
      <c r="O172" s="316"/>
      <c r="P172" s="316"/>
      <c r="Q172" s="316"/>
      <c r="R172" s="316"/>
      <c r="S172" s="316"/>
      <c r="T172" s="316"/>
      <c r="U172" s="316"/>
      <c r="V172" s="316"/>
      <c r="W172" s="316"/>
      <c r="X172" s="316"/>
      <c r="Y172" s="316"/>
      <c r="Z172" s="316"/>
      <c r="AA172" s="316"/>
      <c r="AB172" s="316"/>
      <c r="AC172" s="316"/>
      <c r="AD172" s="316"/>
      <c r="AE172" s="316"/>
      <c r="AF172" s="316"/>
      <c r="AG172" s="316"/>
      <c r="AH172" s="316"/>
      <c r="AI172" s="316"/>
      <c r="AJ172" s="316"/>
      <c r="AK172" s="316"/>
      <c r="AL172" s="316"/>
      <c r="AM172" s="316"/>
      <c r="AN172" s="316"/>
      <c r="AO172" s="316"/>
      <c r="AP172" s="316"/>
      <c r="AQ172" s="316"/>
      <c r="AR172" s="316"/>
      <c r="AS172" s="316"/>
      <c r="AT172" s="316"/>
      <c r="AU172" s="316"/>
      <c r="AV172" s="316"/>
      <c r="AW172" s="316"/>
      <c r="AX172" s="316"/>
      <c r="AY172" s="316"/>
      <c r="AZ172" s="316"/>
      <c r="BA172" s="316"/>
      <c r="BB172" s="316"/>
      <c r="BC172" s="316"/>
    </row>
    <row r="173" spans="1:55" s="321" customFormat="1">
      <c r="A173" s="316" t="s">
        <v>2467</v>
      </c>
      <c r="B173" s="317" t="s">
        <v>17</v>
      </c>
      <c r="C173" s="318" t="s">
        <v>1</v>
      </c>
      <c r="D173" s="318" t="s">
        <v>1</v>
      </c>
      <c r="E173" s="319" t="s">
        <v>6</v>
      </c>
      <c r="F173" s="319" t="s">
        <v>540</v>
      </c>
      <c r="G173" s="319"/>
      <c r="H173" s="316"/>
      <c r="I173" s="316" t="str">
        <f t="shared" si="2"/>
        <v>YY</v>
      </c>
      <c r="J173" s="316"/>
      <c r="K173" s="320"/>
      <c r="L173" s="320"/>
      <c r="M173" s="316"/>
      <c r="N173" s="316"/>
      <c r="O173" s="316"/>
      <c r="P173" s="316"/>
      <c r="Q173" s="316"/>
      <c r="R173" s="316"/>
      <c r="S173" s="316"/>
      <c r="T173" s="316"/>
      <c r="U173" s="316"/>
      <c r="V173" s="316"/>
      <c r="W173" s="316"/>
      <c r="X173" s="316"/>
      <c r="Y173" s="316"/>
      <c r="Z173" s="316"/>
      <c r="AA173" s="316"/>
      <c r="AB173" s="316"/>
      <c r="AC173" s="316"/>
      <c r="AD173" s="316"/>
      <c r="AE173" s="316"/>
      <c r="AF173" s="316"/>
      <c r="AG173" s="316"/>
      <c r="AH173" s="316"/>
      <c r="AI173" s="316"/>
      <c r="AJ173" s="316"/>
      <c r="AK173" s="316"/>
      <c r="AL173" s="316"/>
      <c r="AM173" s="316"/>
      <c r="AN173" s="316"/>
      <c r="AO173" s="316"/>
      <c r="AP173" s="316"/>
      <c r="AQ173" s="316"/>
      <c r="AR173" s="316"/>
      <c r="AS173" s="316"/>
      <c r="AT173" s="316"/>
      <c r="AU173" s="316"/>
      <c r="AV173" s="316"/>
      <c r="AW173" s="316"/>
      <c r="AX173" s="316"/>
      <c r="AY173" s="316"/>
      <c r="AZ173" s="316"/>
      <c r="BA173" s="316"/>
      <c r="BB173" s="316"/>
      <c r="BC173" s="316"/>
    </row>
    <row r="174" spans="1:55">
      <c r="A174" s="280" t="s">
        <v>304</v>
      </c>
      <c r="B174" s="288" t="s">
        <v>17</v>
      </c>
      <c r="C174" s="290"/>
      <c r="D174" s="282" t="s">
        <v>1</v>
      </c>
      <c r="E174" s="289" t="s">
        <v>12</v>
      </c>
      <c r="F174" s="289" t="s">
        <v>305</v>
      </c>
      <c r="G174" s="289"/>
      <c r="H174" s="280"/>
      <c r="I174" s="280" t="str">
        <f t="shared" si="2"/>
        <v>Y</v>
      </c>
      <c r="J174" s="280"/>
      <c r="K174" s="283"/>
      <c r="L174" s="283"/>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c r="BA174" s="280"/>
      <c r="BB174" s="280"/>
      <c r="BC174" s="280"/>
    </row>
    <row r="175" spans="1:55">
      <c r="A175" s="280" t="s">
        <v>308</v>
      </c>
      <c r="B175" s="288" t="s">
        <v>17</v>
      </c>
      <c r="C175" s="290"/>
      <c r="D175" s="282" t="s">
        <v>1</v>
      </c>
      <c r="E175" s="289" t="s">
        <v>12</v>
      </c>
      <c r="F175" s="289" t="s">
        <v>309</v>
      </c>
      <c r="G175" s="289"/>
      <c r="H175" s="280"/>
      <c r="I175" s="280" t="str">
        <f t="shared" si="2"/>
        <v>Y</v>
      </c>
      <c r="J175" s="280"/>
      <c r="K175" s="283"/>
      <c r="L175" s="283"/>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c r="BA175" s="280"/>
      <c r="BB175" s="280"/>
      <c r="BC175" s="280"/>
    </row>
    <row r="176" spans="1:55">
      <c r="A176" s="280" t="s">
        <v>363</v>
      </c>
      <c r="B176" s="288" t="s">
        <v>17</v>
      </c>
      <c r="C176" s="290"/>
      <c r="D176" s="282" t="s">
        <v>1</v>
      </c>
      <c r="E176" s="289" t="s">
        <v>12</v>
      </c>
      <c r="F176" s="289" t="s">
        <v>364</v>
      </c>
      <c r="G176" s="289" t="s">
        <v>367</v>
      </c>
      <c r="H176" s="286" t="s">
        <v>2468</v>
      </c>
      <c r="I176" s="280" t="str">
        <f t="shared" si="2"/>
        <v>Y</v>
      </c>
      <c r="J176" s="280"/>
      <c r="K176" s="283"/>
      <c r="L176" s="283"/>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c r="BA176" s="280"/>
      <c r="BB176" s="280"/>
      <c r="BC176" s="280"/>
    </row>
    <row r="177" spans="1:55">
      <c r="A177" s="280" t="s">
        <v>585</v>
      </c>
      <c r="B177" s="288" t="s">
        <v>17</v>
      </c>
      <c r="C177" s="290"/>
      <c r="D177" s="282" t="s">
        <v>1</v>
      </c>
      <c r="E177" s="289" t="s">
        <v>5</v>
      </c>
      <c r="F177" s="289" t="s">
        <v>586</v>
      </c>
      <c r="G177" s="289"/>
      <c r="H177" s="280"/>
      <c r="I177" s="280" t="str">
        <f t="shared" si="2"/>
        <v>Y</v>
      </c>
      <c r="J177" s="280"/>
      <c r="K177" s="283"/>
      <c r="L177" s="283"/>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c r="BA177" s="280"/>
      <c r="BB177" s="280"/>
      <c r="BC177" s="280"/>
    </row>
    <row r="178" spans="1:55">
      <c r="A178" s="280" t="s">
        <v>267</v>
      </c>
      <c r="B178" s="288" t="s">
        <v>17</v>
      </c>
      <c r="C178" s="290"/>
      <c r="D178" s="282" t="s">
        <v>1</v>
      </c>
      <c r="E178" s="289" t="s">
        <v>5</v>
      </c>
      <c r="F178" s="289" t="s">
        <v>268</v>
      </c>
      <c r="G178" s="289"/>
      <c r="H178" s="280"/>
      <c r="I178" s="280" t="str">
        <f t="shared" si="2"/>
        <v>Y</v>
      </c>
      <c r="J178" s="280"/>
      <c r="K178" s="283"/>
      <c r="L178" s="283"/>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c r="BA178" s="280"/>
      <c r="BB178" s="280"/>
      <c r="BC178" s="280"/>
    </row>
    <row r="179" spans="1:55">
      <c r="A179" s="280" t="s">
        <v>589</v>
      </c>
      <c r="B179" s="288" t="s">
        <v>17</v>
      </c>
      <c r="C179" s="290"/>
      <c r="D179" s="282" t="s">
        <v>1</v>
      </c>
      <c r="E179" s="289" t="s">
        <v>5</v>
      </c>
      <c r="F179" s="289" t="s">
        <v>590</v>
      </c>
      <c r="G179" s="289"/>
      <c r="H179" s="280"/>
      <c r="I179" s="280" t="str">
        <f t="shared" si="2"/>
        <v>Y</v>
      </c>
      <c r="J179" s="280"/>
      <c r="K179" s="283"/>
      <c r="L179" s="283"/>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c r="BA179" s="280"/>
      <c r="BB179" s="280"/>
      <c r="BC179" s="280"/>
    </row>
    <row r="180" spans="1:55">
      <c r="A180" s="280" t="s">
        <v>592</v>
      </c>
      <c r="B180" s="288" t="s">
        <v>17</v>
      </c>
      <c r="C180" s="290"/>
      <c r="D180" s="282" t="s">
        <v>1</v>
      </c>
      <c r="E180" s="289" t="s">
        <v>5</v>
      </c>
      <c r="F180" s="289" t="s">
        <v>593</v>
      </c>
      <c r="G180" s="289"/>
      <c r="H180" s="280"/>
      <c r="I180" s="280" t="str">
        <f t="shared" si="2"/>
        <v>Y</v>
      </c>
      <c r="J180" s="280"/>
      <c r="K180" s="283"/>
      <c r="L180" s="283"/>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c r="BA180" s="280"/>
      <c r="BB180" s="280"/>
      <c r="BC180" s="280"/>
    </row>
    <row r="181" spans="1:55">
      <c r="A181" s="280" t="s">
        <v>596</v>
      </c>
      <c r="B181" s="288" t="s">
        <v>17</v>
      </c>
      <c r="C181" s="290"/>
      <c r="D181" s="282" t="s">
        <v>1</v>
      </c>
      <c r="E181" s="289" t="s">
        <v>5</v>
      </c>
      <c r="F181" s="289" t="s">
        <v>597</v>
      </c>
      <c r="G181" s="289" t="s">
        <v>599</v>
      </c>
      <c r="H181" s="280"/>
      <c r="I181" s="280" t="str">
        <f t="shared" si="2"/>
        <v>Y</v>
      </c>
      <c r="J181" s="280"/>
      <c r="K181" s="283"/>
      <c r="L181" s="283"/>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c r="BA181" s="280"/>
      <c r="BB181" s="280"/>
      <c r="BC181" s="280"/>
    </row>
    <row r="182" spans="1:55">
      <c r="A182" s="280" t="s">
        <v>600</v>
      </c>
      <c r="B182" s="288" t="s">
        <v>17</v>
      </c>
      <c r="C182" s="290"/>
      <c r="D182" s="282" t="s">
        <v>1</v>
      </c>
      <c r="E182" s="289" t="s">
        <v>5</v>
      </c>
      <c r="F182" s="289" t="s">
        <v>601</v>
      </c>
      <c r="G182" s="289" t="s">
        <v>2469</v>
      </c>
      <c r="H182" s="280"/>
      <c r="I182" s="280" t="str">
        <f t="shared" si="2"/>
        <v>Y</v>
      </c>
      <c r="J182" s="280"/>
      <c r="K182" s="283"/>
      <c r="L182" s="283"/>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c r="BA182" s="280"/>
      <c r="BB182" s="280"/>
      <c r="BC182" s="280"/>
    </row>
    <row r="183" spans="1:55">
      <c r="A183" s="280" t="s">
        <v>281</v>
      </c>
      <c r="B183" s="288" t="s">
        <v>17</v>
      </c>
      <c r="C183" s="290"/>
      <c r="D183" s="282" t="s">
        <v>1</v>
      </c>
      <c r="E183" s="289" t="s">
        <v>5</v>
      </c>
      <c r="F183" s="289" t="s">
        <v>282</v>
      </c>
      <c r="G183" s="289"/>
      <c r="H183" s="280"/>
      <c r="I183" s="280" t="str">
        <f t="shared" si="2"/>
        <v>Y</v>
      </c>
      <c r="J183" s="280"/>
      <c r="K183" s="283"/>
      <c r="L183" s="283"/>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c r="BA183" s="280"/>
      <c r="BB183" s="280"/>
      <c r="BC183" s="280"/>
    </row>
    <row r="184" spans="1:55">
      <c r="A184" s="280" t="s">
        <v>277</v>
      </c>
      <c r="B184" s="288" t="s">
        <v>17</v>
      </c>
      <c r="C184" s="290"/>
      <c r="D184" s="282" t="s">
        <v>1</v>
      </c>
      <c r="E184" s="289" t="s">
        <v>5</v>
      </c>
      <c r="F184" s="289" t="s">
        <v>278</v>
      </c>
      <c r="G184" s="289"/>
      <c r="H184" s="280"/>
      <c r="I184" s="280" t="str">
        <f t="shared" si="2"/>
        <v>Y</v>
      </c>
      <c r="J184" s="280"/>
      <c r="K184" s="283"/>
      <c r="L184" s="283"/>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c r="BA184" s="280"/>
      <c r="BB184" s="280"/>
      <c r="BC184" s="280"/>
    </row>
    <row r="185" spans="1:55">
      <c r="A185" s="280" t="s">
        <v>2470</v>
      </c>
      <c r="B185" s="288" t="s">
        <v>17</v>
      </c>
      <c r="C185" s="290"/>
      <c r="D185" s="282" t="s">
        <v>1</v>
      </c>
      <c r="E185" s="289" t="s">
        <v>5</v>
      </c>
      <c r="F185" s="289" t="s">
        <v>273</v>
      </c>
      <c r="G185" s="289">
        <v>667123456</v>
      </c>
      <c r="H185" s="280"/>
      <c r="I185" s="280" t="str">
        <f t="shared" si="2"/>
        <v>Y</v>
      </c>
      <c r="J185" s="280"/>
      <c r="K185" s="283"/>
      <c r="L185" s="283"/>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c r="BA185" s="280"/>
      <c r="BB185" s="280"/>
      <c r="BC185" s="280"/>
    </row>
    <row r="186" spans="1:55">
      <c r="A186" s="280" t="s">
        <v>272</v>
      </c>
      <c r="B186" s="288" t="s">
        <v>17</v>
      </c>
      <c r="C186" s="290"/>
      <c r="D186" s="282" t="s">
        <v>1</v>
      </c>
      <c r="E186" s="289" t="s">
        <v>5</v>
      </c>
      <c r="F186" s="289" t="s">
        <v>346</v>
      </c>
      <c r="G186" s="289" t="s">
        <v>348</v>
      </c>
      <c r="H186" s="280"/>
      <c r="I186" s="280" t="str">
        <f t="shared" si="2"/>
        <v>Y</v>
      </c>
      <c r="J186" s="280"/>
      <c r="K186" s="283"/>
      <c r="L186" s="283"/>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c r="BA186" s="280"/>
      <c r="BB186" s="280"/>
      <c r="BC186" s="280"/>
    </row>
    <row r="187" spans="1:55">
      <c r="A187" s="280" t="s">
        <v>345</v>
      </c>
      <c r="B187" s="288" t="s">
        <v>17</v>
      </c>
      <c r="C187" s="290"/>
      <c r="D187" s="282" t="s">
        <v>1</v>
      </c>
      <c r="E187" s="289" t="s">
        <v>5</v>
      </c>
      <c r="F187" s="289" t="s">
        <v>351</v>
      </c>
      <c r="G187" s="289" t="s">
        <v>353</v>
      </c>
      <c r="H187" s="280"/>
      <c r="I187" s="280" t="str">
        <f t="shared" si="2"/>
        <v>Y</v>
      </c>
      <c r="J187" s="280"/>
      <c r="K187" s="283"/>
      <c r="L187" s="283"/>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c r="BA187" s="280"/>
      <c r="BB187" s="280"/>
      <c r="BC187" s="280"/>
    </row>
    <row r="188" spans="1:55">
      <c r="A188" s="280" t="s">
        <v>350</v>
      </c>
      <c r="B188" s="288" t="s">
        <v>17</v>
      </c>
      <c r="C188" s="290"/>
      <c r="D188" s="282" t="s">
        <v>1</v>
      </c>
      <c r="E188" s="289" t="s">
        <v>5</v>
      </c>
      <c r="F188" s="289" t="s">
        <v>370</v>
      </c>
      <c r="G188" s="289" t="s">
        <v>372</v>
      </c>
      <c r="H188" s="280"/>
      <c r="I188" s="280" t="str">
        <f t="shared" si="2"/>
        <v>Y</v>
      </c>
      <c r="J188" s="280"/>
      <c r="K188" s="283"/>
      <c r="L188" s="283"/>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c r="BA188" s="280"/>
      <c r="BB188" s="280"/>
      <c r="BC188" s="280"/>
    </row>
    <row r="189" spans="1:55">
      <c r="A189" s="280" t="s">
        <v>369</v>
      </c>
      <c r="B189" s="288" t="s">
        <v>17</v>
      </c>
      <c r="C189" s="290"/>
      <c r="D189" s="282" t="s">
        <v>1</v>
      </c>
      <c r="E189" s="289" t="s">
        <v>5</v>
      </c>
      <c r="F189" s="289" t="s">
        <v>604</v>
      </c>
      <c r="G189" s="289"/>
      <c r="H189" s="280"/>
      <c r="I189" s="280" t="str">
        <f t="shared" si="2"/>
        <v>Y</v>
      </c>
      <c r="J189" s="280"/>
      <c r="K189" s="283"/>
      <c r="L189" s="283"/>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c r="BA189" s="280"/>
      <c r="BB189" s="280"/>
      <c r="BC189" s="280"/>
    </row>
    <row r="190" spans="1:55">
      <c r="A190" s="280" t="s">
        <v>374</v>
      </c>
      <c r="B190" s="288" t="s">
        <v>17</v>
      </c>
      <c r="C190" s="290"/>
      <c r="D190" s="282" t="s">
        <v>1</v>
      </c>
      <c r="E190" s="289" t="s">
        <v>5</v>
      </c>
      <c r="F190" s="289" t="s">
        <v>607</v>
      </c>
      <c r="G190" s="289"/>
      <c r="H190" s="280"/>
      <c r="I190" s="280" t="str">
        <f t="shared" si="2"/>
        <v>Y</v>
      </c>
      <c r="J190" s="280"/>
      <c r="K190" s="283"/>
      <c r="L190" s="283"/>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c r="BA190" s="280"/>
      <c r="BB190" s="280"/>
      <c r="BC190" s="280"/>
    </row>
    <row r="191" spans="1:55">
      <c r="A191" s="280" t="s">
        <v>377</v>
      </c>
      <c r="B191" s="288" t="s">
        <v>17</v>
      </c>
      <c r="C191" s="290"/>
      <c r="D191" s="282" t="s">
        <v>1</v>
      </c>
      <c r="E191" s="289" t="s">
        <v>12</v>
      </c>
      <c r="F191" s="289" t="s">
        <v>375</v>
      </c>
      <c r="G191" s="289"/>
      <c r="H191" s="280"/>
      <c r="I191" s="280" t="str">
        <f t="shared" si="2"/>
        <v>Y</v>
      </c>
      <c r="J191" s="280"/>
      <c r="K191" s="283"/>
      <c r="L191" s="283"/>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c r="BA191" s="280"/>
      <c r="BB191" s="280"/>
      <c r="BC191" s="280"/>
    </row>
    <row r="192" spans="1:55">
      <c r="A192" s="280" t="s">
        <v>2471</v>
      </c>
      <c r="B192" s="288" t="s">
        <v>17</v>
      </c>
      <c r="C192" s="290"/>
      <c r="D192" s="282" t="s">
        <v>1</v>
      </c>
      <c r="E192" s="289" t="s">
        <v>12</v>
      </c>
      <c r="F192" s="289" t="s">
        <v>378</v>
      </c>
      <c r="G192" s="289"/>
      <c r="H192" s="280"/>
      <c r="I192" s="280" t="str">
        <f t="shared" si="2"/>
        <v>Y</v>
      </c>
      <c r="J192" s="280"/>
      <c r="K192" s="283"/>
      <c r="L192" s="283"/>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c r="BA192" s="280"/>
      <c r="BB192" s="280"/>
      <c r="BC192" s="280"/>
    </row>
    <row r="193" spans="1:55">
      <c r="A193" s="280" t="s">
        <v>2472</v>
      </c>
      <c r="B193" s="288" t="s">
        <v>17</v>
      </c>
      <c r="C193" s="290"/>
      <c r="D193" s="282" t="s">
        <v>1</v>
      </c>
      <c r="E193" s="289" t="s">
        <v>11</v>
      </c>
      <c r="F193" s="289" t="s">
        <v>776</v>
      </c>
      <c r="G193" s="289"/>
      <c r="H193" s="280"/>
      <c r="I193" s="280" t="str">
        <f t="shared" si="2"/>
        <v>Y</v>
      </c>
      <c r="J193" s="280"/>
      <c r="K193" s="283"/>
      <c r="L193" s="283"/>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c r="BA193" s="280"/>
      <c r="BB193" s="280"/>
      <c r="BC193" s="280"/>
    </row>
    <row r="194" spans="1:55">
      <c r="A194" s="280" t="s">
        <v>775</v>
      </c>
      <c r="B194" s="288" t="s">
        <v>17</v>
      </c>
      <c r="C194" s="290"/>
      <c r="D194" s="282" t="s">
        <v>1</v>
      </c>
      <c r="E194" s="289" t="s">
        <v>5</v>
      </c>
      <c r="F194" s="289" t="s">
        <v>610</v>
      </c>
      <c r="G194" s="289"/>
      <c r="H194" s="280"/>
      <c r="I194" s="280" t="str">
        <f t="shared" si="2"/>
        <v>Y</v>
      </c>
      <c r="J194" s="280"/>
      <c r="K194" s="283"/>
      <c r="L194" s="283"/>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c r="BA194" s="280"/>
      <c r="BB194" s="280"/>
      <c r="BC194" s="280"/>
    </row>
    <row r="195" spans="1:55">
      <c r="A195" s="280" t="s">
        <v>609</v>
      </c>
      <c r="B195" s="288" t="s">
        <v>17</v>
      </c>
      <c r="C195" s="290"/>
      <c r="D195" s="282" t="s">
        <v>1</v>
      </c>
      <c r="E195" s="289" t="s">
        <v>5</v>
      </c>
      <c r="F195" s="289" t="s">
        <v>613</v>
      </c>
      <c r="G195" s="289" t="s">
        <v>2473</v>
      </c>
      <c r="H195" s="280"/>
      <c r="I195" s="280" t="str">
        <f t="shared" ref="I195:I204" si="3">C195&amp;D195</f>
        <v>Y</v>
      </c>
      <c r="J195" s="280"/>
      <c r="K195" s="283"/>
      <c r="L195" s="283"/>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c r="BA195" s="280"/>
      <c r="BB195" s="280"/>
      <c r="BC195" s="280"/>
    </row>
    <row r="196" spans="1:55">
      <c r="A196" s="280" t="s">
        <v>612</v>
      </c>
      <c r="B196" s="288" t="s">
        <v>17</v>
      </c>
      <c r="C196" s="290"/>
      <c r="D196" s="282" t="s">
        <v>1</v>
      </c>
      <c r="E196" s="289" t="s">
        <v>5</v>
      </c>
      <c r="F196" s="289" t="s">
        <v>2474</v>
      </c>
      <c r="G196" s="289" t="s">
        <v>2475</v>
      </c>
      <c r="H196" s="286" t="s">
        <v>2476</v>
      </c>
      <c r="I196" s="280" t="str">
        <f t="shared" si="3"/>
        <v>Y</v>
      </c>
      <c r="J196" s="280"/>
      <c r="K196" s="283"/>
      <c r="L196" s="283"/>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c r="BA196" s="280"/>
      <c r="BB196" s="280"/>
      <c r="BC196" s="280"/>
    </row>
    <row r="197" spans="1:55">
      <c r="A197" s="280" t="s">
        <v>617</v>
      </c>
      <c r="B197" s="288" t="s">
        <v>17</v>
      </c>
      <c r="C197" s="282" t="s">
        <v>1</v>
      </c>
      <c r="D197" s="282" t="s">
        <v>1</v>
      </c>
      <c r="E197" s="289" t="s">
        <v>5</v>
      </c>
      <c r="F197" s="280" t="s">
        <v>1642</v>
      </c>
      <c r="G197" s="280" t="s">
        <v>781</v>
      </c>
      <c r="H197" s="280" t="s">
        <v>2477</v>
      </c>
      <c r="I197" s="280" t="str">
        <f t="shared" si="3"/>
        <v>YY</v>
      </c>
      <c r="J197" s="280"/>
      <c r="K197" s="283"/>
      <c r="L197" s="283"/>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c r="BA197" s="280"/>
      <c r="BB197" s="280"/>
      <c r="BC197" s="280"/>
    </row>
    <row r="198" spans="1:55">
      <c r="A198" s="280" t="s">
        <v>853</v>
      </c>
      <c r="B198" s="281" t="s">
        <v>19</v>
      </c>
      <c r="C198" s="282" t="s">
        <v>1</v>
      </c>
      <c r="D198" s="290"/>
      <c r="E198" s="289" t="s">
        <v>5</v>
      </c>
      <c r="F198" s="280" t="s">
        <v>854</v>
      </c>
      <c r="G198" s="280">
        <v>3</v>
      </c>
      <c r="H198" s="280" t="s">
        <v>856</v>
      </c>
      <c r="I198" s="280" t="str">
        <f t="shared" si="3"/>
        <v>Y</v>
      </c>
      <c r="J198" s="280"/>
      <c r="K198" s="283"/>
      <c r="L198" s="283"/>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c r="BA198" s="280"/>
      <c r="BB198" s="280"/>
      <c r="BC198" s="280"/>
    </row>
    <row r="199" spans="1:55">
      <c r="A199" s="280" t="s">
        <v>857</v>
      </c>
      <c r="B199" s="281" t="s">
        <v>19</v>
      </c>
      <c r="C199" s="282" t="s">
        <v>1</v>
      </c>
      <c r="D199" s="290"/>
      <c r="E199" s="289" t="s">
        <v>5</v>
      </c>
      <c r="F199" s="280" t="s">
        <v>858</v>
      </c>
      <c r="G199" s="280">
        <v>2</v>
      </c>
      <c r="H199" s="280" t="s">
        <v>856</v>
      </c>
      <c r="I199" s="280" t="str">
        <f t="shared" si="3"/>
        <v>Y</v>
      </c>
      <c r="J199" s="280"/>
      <c r="K199" s="283"/>
      <c r="L199" s="283"/>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c r="BA199" s="280"/>
      <c r="BB199" s="280"/>
      <c r="BC199" s="280"/>
    </row>
    <row r="200" spans="1:55">
      <c r="A200" s="280" t="s">
        <v>860</v>
      </c>
      <c r="B200" s="288" t="s">
        <v>17</v>
      </c>
      <c r="C200" s="282" t="s">
        <v>1</v>
      </c>
      <c r="D200" s="290"/>
      <c r="E200" s="289" t="s">
        <v>5</v>
      </c>
      <c r="F200" s="280" t="s">
        <v>861</v>
      </c>
      <c r="G200" s="280">
        <v>1</v>
      </c>
      <c r="H200" s="280" t="s">
        <v>863</v>
      </c>
      <c r="I200" s="280" t="str">
        <f t="shared" si="3"/>
        <v>Y</v>
      </c>
      <c r="J200" s="280"/>
      <c r="K200" s="283"/>
      <c r="L200" s="283"/>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c r="BA200" s="280"/>
      <c r="BB200" s="280"/>
      <c r="BC200" s="280"/>
    </row>
    <row r="201" spans="1:55">
      <c r="A201" s="280" t="s">
        <v>864</v>
      </c>
      <c r="B201" s="281" t="s">
        <v>19</v>
      </c>
      <c r="C201" s="282" t="s">
        <v>1</v>
      </c>
      <c r="D201" s="290"/>
      <c r="E201" s="289" t="s">
        <v>5</v>
      </c>
      <c r="F201" s="280" t="s">
        <v>820</v>
      </c>
      <c r="G201" s="280">
        <v>100</v>
      </c>
      <c r="H201" s="280" t="s">
        <v>856</v>
      </c>
      <c r="I201" s="280" t="str">
        <f t="shared" si="3"/>
        <v>Y</v>
      </c>
      <c r="J201" s="280"/>
      <c r="K201" s="283"/>
      <c r="L201" s="283"/>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c r="BA201" s="280"/>
      <c r="BB201" s="280"/>
      <c r="BC201" s="280"/>
    </row>
    <row r="202" spans="1:55">
      <c r="A202" s="280" t="s">
        <v>866</v>
      </c>
      <c r="B202" s="281" t="s">
        <v>19</v>
      </c>
      <c r="C202" s="282" t="s">
        <v>1</v>
      </c>
      <c r="D202" s="290"/>
      <c r="E202" s="289" t="s">
        <v>5</v>
      </c>
      <c r="F202" s="280" t="s">
        <v>824</v>
      </c>
      <c r="G202" s="280">
        <v>60</v>
      </c>
      <c r="H202" s="280" t="s">
        <v>856</v>
      </c>
      <c r="I202" s="280" t="str">
        <f t="shared" si="3"/>
        <v>Y</v>
      </c>
      <c r="J202" s="280"/>
      <c r="K202" s="283"/>
      <c r="L202" s="283"/>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c r="BA202" s="280"/>
      <c r="BB202" s="280"/>
      <c r="BC202" s="280"/>
    </row>
    <row r="203" spans="1:55">
      <c r="A203" s="280" t="s">
        <v>867</v>
      </c>
      <c r="B203" s="288" t="s">
        <v>17</v>
      </c>
      <c r="C203" s="282" t="s">
        <v>1</v>
      </c>
      <c r="D203" s="290"/>
      <c r="E203" s="289" t="s">
        <v>5</v>
      </c>
      <c r="F203" s="280" t="s">
        <v>868</v>
      </c>
      <c r="G203" s="280">
        <v>40</v>
      </c>
      <c r="H203" s="280" t="s">
        <v>870</v>
      </c>
      <c r="I203" s="280" t="str">
        <f t="shared" si="3"/>
        <v>Y</v>
      </c>
      <c r="J203" s="280"/>
      <c r="K203" s="283"/>
      <c r="L203" s="283"/>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c r="BA203" s="280"/>
      <c r="BB203" s="280"/>
      <c r="BC203" s="280"/>
    </row>
    <row r="204" spans="1:55">
      <c r="A204" s="280" t="s">
        <v>777</v>
      </c>
      <c r="B204" s="288" t="s">
        <v>17</v>
      </c>
      <c r="C204" s="290"/>
      <c r="D204" s="282" t="s">
        <v>1</v>
      </c>
      <c r="E204" s="280"/>
      <c r="F204" s="280" t="s">
        <v>778</v>
      </c>
      <c r="G204" s="280" t="s">
        <v>782</v>
      </c>
      <c r="H204" s="280"/>
      <c r="I204" s="280" t="str">
        <f t="shared" si="3"/>
        <v>Y</v>
      </c>
      <c r="J204" s="280"/>
      <c r="K204" s="283"/>
      <c r="L204" s="283"/>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c r="BA204" s="280"/>
      <c r="BB204" s="280"/>
      <c r="BC204" s="280"/>
    </row>
    <row r="205" spans="1:55">
      <c r="A205" s="280" t="s">
        <v>785</v>
      </c>
      <c r="B205" s="288" t="s">
        <v>17</v>
      </c>
      <c r="C205" s="290"/>
      <c r="D205" s="282" t="s">
        <v>1</v>
      </c>
      <c r="E205" s="280"/>
      <c r="F205" s="280" t="s">
        <v>778</v>
      </c>
      <c r="G205" s="280" t="s">
        <v>786</v>
      </c>
      <c r="H205" s="280"/>
      <c r="I205" s="283"/>
      <c r="J205" s="280"/>
      <c r="K205" s="283"/>
      <c r="L205" s="283"/>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c r="BA205" s="280"/>
      <c r="BB205" s="280"/>
      <c r="BC205" s="280"/>
    </row>
    <row r="206" spans="1:55">
      <c r="A206" s="280" t="s">
        <v>788</v>
      </c>
      <c r="B206" s="288" t="s">
        <v>17</v>
      </c>
      <c r="D206" s="282" t="s">
        <v>1</v>
      </c>
      <c r="F206" s="280" t="s">
        <v>778</v>
      </c>
      <c r="G206" s="280" t="s">
        <v>789</v>
      </c>
      <c r="K206" s="283"/>
      <c r="L206" s="283"/>
      <c r="M206" s="280"/>
    </row>
    <row r="207" spans="1:55">
      <c r="A207" s="280" t="s">
        <v>791</v>
      </c>
      <c r="B207" s="288" t="s">
        <v>17</v>
      </c>
      <c r="C207" s="282"/>
      <c r="D207" s="282" t="s">
        <v>1</v>
      </c>
      <c r="F207" s="280" t="s">
        <v>778</v>
      </c>
      <c r="G207" s="280" t="s">
        <v>792</v>
      </c>
      <c r="K207" s="283"/>
      <c r="L207" s="283"/>
      <c r="M207" s="280"/>
    </row>
    <row r="208" spans="1:55">
      <c r="A208" s="280" t="s">
        <v>794</v>
      </c>
      <c r="B208" s="288" t="s">
        <v>17</v>
      </c>
      <c r="C208" s="282" t="s">
        <v>1</v>
      </c>
      <c r="D208" s="282" t="s">
        <v>1</v>
      </c>
      <c r="F208" s="280" t="s">
        <v>778</v>
      </c>
      <c r="G208" s="280" t="s">
        <v>795</v>
      </c>
      <c r="K208" s="283"/>
      <c r="L208" s="283"/>
      <c r="M208" s="280"/>
    </row>
    <row r="209" spans="11:13">
      <c r="K209" s="283"/>
      <c r="L209" s="283"/>
      <c r="M209" s="280"/>
    </row>
    <row r="210" spans="11:13">
      <c r="K210" s="283"/>
      <c r="L210" s="283"/>
      <c r="M210" s="280"/>
    </row>
    <row r="211" spans="11:13">
      <c r="K211" s="283"/>
      <c r="L211" s="283"/>
      <c r="M211" s="280"/>
    </row>
    <row r="212" spans="11:13">
      <c r="K212" s="283"/>
      <c r="L212" s="283"/>
      <c r="M212" s="280"/>
    </row>
    <row r="213" spans="11:13">
      <c r="K213" s="283"/>
      <c r="L213" s="283"/>
      <c r="M213" s="280"/>
    </row>
    <row r="214" spans="11:13">
      <c r="K214" s="283"/>
      <c r="L214" s="283"/>
      <c r="M214" s="280"/>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A01DE-045B-4AA2-98F5-B891B38CA974}">
  <dimension ref="A2:V81"/>
  <sheetViews>
    <sheetView topLeftCell="A54" workbookViewId="0">
      <selection activeCell="D65" sqref="D65"/>
    </sheetView>
  </sheetViews>
  <sheetFormatPr defaultRowHeight="14.45"/>
  <cols>
    <col min="4" max="4" width="12.7109375" customWidth="1"/>
  </cols>
  <sheetData>
    <row r="2" spans="3:22" ht="15.95">
      <c r="C2" s="261" t="s">
        <v>2478</v>
      </c>
      <c r="D2" t="s">
        <v>2479</v>
      </c>
    </row>
    <row r="3" spans="3:22">
      <c r="C3" s="262" t="s">
        <v>2480</v>
      </c>
      <c r="D3" s="263" t="s">
        <v>2481</v>
      </c>
      <c r="E3" s="264" t="s">
        <v>2482</v>
      </c>
      <c r="F3" s="264" t="s">
        <v>2483</v>
      </c>
      <c r="G3" s="264"/>
      <c r="H3" s="264"/>
      <c r="I3" s="264"/>
      <c r="J3" s="264"/>
      <c r="K3" s="264"/>
      <c r="L3" s="265"/>
    </row>
    <row r="4" spans="3:22">
      <c r="C4" s="262" t="s">
        <v>2484</v>
      </c>
      <c r="D4" s="266" t="s">
        <v>2485</v>
      </c>
      <c r="E4" t="s">
        <v>2482</v>
      </c>
      <c r="L4" s="267"/>
    </row>
    <row r="5" spans="3:22">
      <c r="C5" s="262" t="s">
        <v>2486</v>
      </c>
      <c r="D5" s="266" t="s">
        <v>2487</v>
      </c>
      <c r="F5" t="s">
        <v>2488</v>
      </c>
      <c r="L5" s="267"/>
      <c r="N5">
        <v>100</v>
      </c>
      <c r="O5">
        <v>100</v>
      </c>
      <c r="P5">
        <v>100</v>
      </c>
      <c r="Q5">
        <f>70*98</f>
        <v>6860</v>
      </c>
    </row>
    <row r="6" spans="3:22" ht="15.95">
      <c r="D6" s="268" t="s">
        <v>2489</v>
      </c>
      <c r="L6" s="267"/>
    </row>
    <row r="7" spans="3:22" ht="15.95">
      <c r="D7" s="268" t="s">
        <v>2490</v>
      </c>
      <c r="L7" s="267"/>
      <c r="N7" t="s">
        <v>2491</v>
      </c>
    </row>
    <row r="8" spans="3:22" ht="15.95">
      <c r="D8" s="268" t="s">
        <v>2478</v>
      </c>
      <c r="L8" s="267"/>
      <c r="N8" t="s">
        <v>2492</v>
      </c>
      <c r="V8" t="s">
        <v>2493</v>
      </c>
    </row>
    <row r="9" spans="3:22" ht="15.95">
      <c r="D9" s="269"/>
      <c r="L9" s="267"/>
      <c r="N9">
        <v>1</v>
      </c>
      <c r="O9">
        <v>2</v>
      </c>
      <c r="P9">
        <v>3</v>
      </c>
      <c r="Q9">
        <v>4</v>
      </c>
      <c r="R9">
        <v>5</v>
      </c>
      <c r="S9">
        <v>98</v>
      </c>
      <c r="T9">
        <v>99</v>
      </c>
      <c r="U9">
        <v>100</v>
      </c>
      <c r="V9">
        <v>101</v>
      </c>
    </row>
    <row r="10" spans="3:22">
      <c r="D10" s="266"/>
      <c r="L10" s="267"/>
      <c r="N10" s="228" t="s">
        <v>2494</v>
      </c>
      <c r="O10" s="228" t="s">
        <v>2495</v>
      </c>
      <c r="P10" s="228" t="s">
        <v>2495</v>
      </c>
      <c r="Q10" s="270"/>
      <c r="R10" s="270"/>
      <c r="S10" s="270"/>
      <c r="T10" s="270"/>
      <c r="U10" s="270"/>
      <c r="V10" s="270"/>
    </row>
    <row r="11" spans="3:22">
      <c r="D11" s="266"/>
      <c r="L11" s="267"/>
      <c r="N11" t="s">
        <v>2496</v>
      </c>
      <c r="O11" t="s">
        <v>2497</v>
      </c>
      <c r="P11" t="s">
        <v>2498</v>
      </c>
      <c r="Q11" t="s">
        <v>2499</v>
      </c>
      <c r="R11" t="s">
        <v>2500</v>
      </c>
      <c r="V11" t="s">
        <v>2501</v>
      </c>
    </row>
    <row r="12" spans="3:22">
      <c r="D12" s="266"/>
      <c r="L12" s="267"/>
    </row>
    <row r="13" spans="3:22">
      <c r="D13" s="266"/>
      <c r="L13" s="267"/>
      <c r="N13" t="s">
        <v>2502</v>
      </c>
    </row>
    <row r="14" spans="3:22">
      <c r="D14" s="266"/>
      <c r="L14" s="267"/>
      <c r="N14" t="s">
        <v>2503</v>
      </c>
      <c r="O14" t="s">
        <v>2504</v>
      </c>
      <c r="V14" t="s">
        <v>2493</v>
      </c>
    </row>
    <row r="15" spans="3:22">
      <c r="D15" s="266"/>
      <c r="L15" s="267"/>
      <c r="N15">
        <v>1</v>
      </c>
      <c r="O15">
        <v>2</v>
      </c>
      <c r="P15">
        <v>3</v>
      </c>
      <c r="Q15">
        <v>4</v>
      </c>
      <c r="R15">
        <v>50</v>
      </c>
      <c r="S15">
        <v>98</v>
      </c>
      <c r="T15">
        <v>99</v>
      </c>
      <c r="U15">
        <v>100</v>
      </c>
      <c r="V15">
        <v>101</v>
      </c>
    </row>
    <row r="16" spans="3:22">
      <c r="D16" s="266"/>
      <c r="L16" s="267"/>
      <c r="N16" s="228" t="s">
        <v>2494</v>
      </c>
      <c r="O16" s="270"/>
      <c r="P16" s="270"/>
      <c r="Q16" s="270"/>
      <c r="R16" s="228" t="s">
        <v>2495</v>
      </c>
      <c r="S16" s="270"/>
      <c r="T16" s="270"/>
      <c r="U16" s="270"/>
      <c r="V16" s="270"/>
    </row>
    <row r="17" spans="3:22">
      <c r="D17" s="266"/>
      <c r="L17" s="267"/>
    </row>
    <row r="18" spans="3:22">
      <c r="D18" s="266"/>
      <c r="L18" s="267"/>
      <c r="N18" t="s">
        <v>2502</v>
      </c>
    </row>
    <row r="19" spans="3:22">
      <c r="D19" s="266"/>
      <c r="L19" s="267"/>
      <c r="N19" t="s">
        <v>2503</v>
      </c>
      <c r="O19" t="s">
        <v>2505</v>
      </c>
      <c r="V19" t="s">
        <v>2493</v>
      </c>
    </row>
    <row r="20" spans="3:22">
      <c r="D20" s="266"/>
      <c r="L20" s="267" t="s">
        <v>2506</v>
      </c>
      <c r="N20">
        <v>1</v>
      </c>
      <c r="O20">
        <v>2</v>
      </c>
      <c r="P20">
        <v>3</v>
      </c>
      <c r="Q20">
        <v>4</v>
      </c>
      <c r="R20">
        <v>50</v>
      </c>
      <c r="S20">
        <v>98</v>
      </c>
      <c r="T20">
        <v>99</v>
      </c>
      <c r="U20">
        <v>100</v>
      </c>
      <c r="V20">
        <v>101</v>
      </c>
    </row>
    <row r="21" spans="3:22">
      <c r="D21" s="266"/>
      <c r="L21" s="267" t="s">
        <v>2507</v>
      </c>
      <c r="N21" s="228" t="s">
        <v>2494</v>
      </c>
      <c r="O21" s="270"/>
      <c r="P21" s="270"/>
      <c r="Q21" s="270"/>
      <c r="R21" s="270"/>
      <c r="S21" s="270"/>
      <c r="T21" s="270"/>
      <c r="U21" s="270"/>
      <c r="V21" s="228" t="s">
        <v>2495</v>
      </c>
    </row>
    <row r="22" spans="3:22">
      <c r="D22" s="271"/>
      <c r="E22" s="272"/>
      <c r="F22" s="272"/>
      <c r="G22" s="272"/>
      <c r="H22" s="272"/>
      <c r="I22" s="272"/>
      <c r="J22" s="272"/>
      <c r="K22" s="272"/>
      <c r="L22" s="273" t="s">
        <v>117</v>
      </c>
      <c r="M22" t="s">
        <v>2508</v>
      </c>
      <c r="O22" t="s">
        <v>2509</v>
      </c>
      <c r="R22" t="s">
        <v>2510</v>
      </c>
      <c r="U22" t="s">
        <v>2511</v>
      </c>
    </row>
    <row r="23" spans="3:22">
      <c r="C23">
        <v>0</v>
      </c>
      <c r="L23" s="262" t="s">
        <v>2512</v>
      </c>
      <c r="M23" s="262"/>
      <c r="N23" s="262"/>
    </row>
    <row r="24" spans="3:22">
      <c r="L24" t="s">
        <v>2513</v>
      </c>
      <c r="N24" t="s">
        <v>2514</v>
      </c>
    </row>
    <row r="25" spans="3:22">
      <c r="L25" t="s">
        <v>2515</v>
      </c>
    </row>
    <row r="26" spans="3:22">
      <c r="L26" t="s">
        <v>2516</v>
      </c>
    </row>
    <row r="27" spans="3:22">
      <c r="L27" t="s">
        <v>2517</v>
      </c>
    </row>
    <row r="28" spans="3:22">
      <c r="L28" t="s">
        <v>2518</v>
      </c>
    </row>
    <row r="29" spans="3:22">
      <c r="L29" t="s">
        <v>2519</v>
      </c>
    </row>
    <row r="30" spans="3:22">
      <c r="L30" t="s">
        <v>2520</v>
      </c>
    </row>
    <row r="31" spans="3:22">
      <c r="C31" t="s">
        <v>2521</v>
      </c>
      <c r="D31" t="s">
        <v>2522</v>
      </c>
      <c r="E31" t="s">
        <v>2523</v>
      </c>
      <c r="F31" t="s">
        <v>2524</v>
      </c>
      <c r="G31" t="s">
        <v>2525</v>
      </c>
      <c r="H31" t="s">
        <v>887</v>
      </c>
    </row>
    <row r="32" spans="3:22">
      <c r="C32" t="s">
        <v>2496</v>
      </c>
      <c r="D32" s="274">
        <v>45951.34375</v>
      </c>
      <c r="G32" t="s">
        <v>2526</v>
      </c>
      <c r="H32" t="s">
        <v>881</v>
      </c>
    </row>
    <row r="34" spans="2:21">
      <c r="D34" t="s">
        <v>2527</v>
      </c>
      <c r="J34" t="s">
        <v>2528</v>
      </c>
      <c r="L34" t="s">
        <v>2528</v>
      </c>
      <c r="O34" t="s">
        <v>2527</v>
      </c>
    </row>
    <row r="35" spans="2:21">
      <c r="D35" t="s">
        <v>2529</v>
      </c>
      <c r="F35" t="s">
        <v>2530</v>
      </c>
      <c r="H35" t="s">
        <v>1888</v>
      </c>
      <c r="J35" t="s">
        <v>2531</v>
      </c>
      <c r="L35" t="s">
        <v>2531</v>
      </c>
      <c r="O35" t="s">
        <v>2532</v>
      </c>
    </row>
    <row r="36" spans="2:21">
      <c r="D36" t="s">
        <v>2533</v>
      </c>
      <c r="E36" t="s">
        <v>2534</v>
      </c>
      <c r="F36" t="s">
        <v>2534</v>
      </c>
      <c r="G36" t="s">
        <v>2534</v>
      </c>
      <c r="H36" t="s">
        <v>2534</v>
      </c>
      <c r="J36" t="s">
        <v>2535</v>
      </c>
      <c r="L36" t="s">
        <v>2533</v>
      </c>
      <c r="O36" t="s">
        <v>1822</v>
      </c>
      <c r="S36" t="s">
        <v>2536</v>
      </c>
      <c r="T36" t="s">
        <v>2537</v>
      </c>
      <c r="U36" t="s">
        <v>2538</v>
      </c>
    </row>
    <row r="37" spans="2:21">
      <c r="D37" s="228" t="s">
        <v>2539</v>
      </c>
      <c r="F37" t="s">
        <v>2540</v>
      </c>
      <c r="H37" t="s">
        <v>2541</v>
      </c>
      <c r="J37" s="228" t="s">
        <v>2542</v>
      </c>
      <c r="L37" s="228" t="s">
        <v>2542</v>
      </c>
      <c r="O37" s="228" t="s">
        <v>2543</v>
      </c>
      <c r="S37" t="s">
        <v>881</v>
      </c>
      <c r="T37" t="s">
        <v>887</v>
      </c>
      <c r="U37" s="275">
        <v>45660</v>
      </c>
    </row>
    <row r="38" spans="2:21">
      <c r="B38" t="s">
        <v>2544</v>
      </c>
      <c r="C38" t="s">
        <v>2545</v>
      </c>
      <c r="D38" t="s">
        <v>2546</v>
      </c>
      <c r="F38" s="276"/>
      <c r="G38" t="s">
        <v>2547</v>
      </c>
      <c r="H38" s="276"/>
      <c r="J38" t="s">
        <v>2546</v>
      </c>
      <c r="L38" t="s">
        <v>2548</v>
      </c>
      <c r="S38" t="s">
        <v>2549</v>
      </c>
      <c r="T38" t="s">
        <v>887</v>
      </c>
      <c r="U38" s="275">
        <v>45660</v>
      </c>
    </row>
    <row r="39" spans="2:21">
      <c r="B39" t="s">
        <v>887</v>
      </c>
      <c r="C39" t="s">
        <v>2550</v>
      </c>
      <c r="D39" t="s">
        <v>2551</v>
      </c>
      <c r="F39" t="s">
        <v>2551</v>
      </c>
      <c r="H39" t="s">
        <v>2551</v>
      </c>
      <c r="J39" t="s">
        <v>2551</v>
      </c>
      <c r="L39" t="s">
        <v>2551</v>
      </c>
      <c r="S39" t="s">
        <v>2552</v>
      </c>
      <c r="T39" t="s">
        <v>887</v>
      </c>
      <c r="U39" s="275">
        <v>45660</v>
      </c>
    </row>
    <row r="40" spans="2:21">
      <c r="C40" t="s">
        <v>2553</v>
      </c>
      <c r="D40" s="275">
        <v>45658</v>
      </c>
      <c r="F40" s="275">
        <v>45660</v>
      </c>
      <c r="H40" s="275">
        <v>45661</v>
      </c>
      <c r="J40" s="275">
        <v>45662</v>
      </c>
      <c r="L40" s="275">
        <v>45663</v>
      </c>
      <c r="S40" t="s">
        <v>2554</v>
      </c>
      <c r="T40" t="s">
        <v>117</v>
      </c>
      <c r="U40" s="275">
        <v>45658</v>
      </c>
    </row>
    <row r="41" spans="2:21">
      <c r="C41" t="s">
        <v>2555</v>
      </c>
      <c r="D41">
        <v>1234</v>
      </c>
      <c r="F41">
        <v>1235</v>
      </c>
      <c r="H41">
        <v>1250</v>
      </c>
      <c r="J41">
        <v>1271</v>
      </c>
      <c r="L41">
        <v>1271</v>
      </c>
      <c r="O41">
        <v>1500</v>
      </c>
      <c r="S41" t="s">
        <v>2556</v>
      </c>
      <c r="T41" t="s">
        <v>117</v>
      </c>
      <c r="U41" s="275">
        <v>45658</v>
      </c>
    </row>
    <row r="42" spans="2:21">
      <c r="S42" t="s">
        <v>2557</v>
      </c>
      <c r="T42" t="s">
        <v>117</v>
      </c>
      <c r="U42" s="275">
        <v>45658</v>
      </c>
    </row>
    <row r="43" spans="2:21">
      <c r="D43" t="s">
        <v>2558</v>
      </c>
      <c r="F43" t="s">
        <v>2559</v>
      </c>
      <c r="H43">
        <v>103</v>
      </c>
      <c r="K43" t="s">
        <v>2560</v>
      </c>
      <c r="S43" t="s">
        <v>2561</v>
      </c>
      <c r="T43" t="s">
        <v>117</v>
      </c>
      <c r="U43" s="275">
        <v>45658</v>
      </c>
    </row>
    <row r="44" spans="2:21">
      <c r="J44" t="s">
        <v>2562</v>
      </c>
      <c r="K44" t="s">
        <v>2563</v>
      </c>
      <c r="L44" t="s">
        <v>2564</v>
      </c>
    </row>
    <row r="45" spans="2:21">
      <c r="F45" s="275">
        <v>45660</v>
      </c>
      <c r="I45">
        <v>1</v>
      </c>
      <c r="K45">
        <v>1</v>
      </c>
    </row>
    <row r="46" spans="2:21">
      <c r="E46" t="s">
        <v>2337</v>
      </c>
      <c r="F46" t="s">
        <v>2565</v>
      </c>
      <c r="I46">
        <v>99</v>
      </c>
      <c r="K46">
        <v>120</v>
      </c>
    </row>
    <row r="47" spans="2:21">
      <c r="E47" t="s">
        <v>887</v>
      </c>
      <c r="F47" t="s">
        <v>2566</v>
      </c>
    </row>
    <row r="51" spans="3:8">
      <c r="F51" t="s">
        <v>2567</v>
      </c>
    </row>
    <row r="56" spans="3:8">
      <c r="D56" s="275">
        <v>45658</v>
      </c>
      <c r="F56" s="275">
        <v>45659</v>
      </c>
      <c r="H56" s="275">
        <v>45660</v>
      </c>
    </row>
    <row r="57" spans="3:8">
      <c r="D57" t="s">
        <v>2568</v>
      </c>
      <c r="F57" t="s">
        <v>2569</v>
      </c>
      <c r="H57" t="s">
        <v>2570</v>
      </c>
    </row>
    <row r="58" spans="3:8">
      <c r="C58">
        <v>1</v>
      </c>
      <c r="D58" s="262" t="s">
        <v>2496</v>
      </c>
      <c r="F58" s="294" t="s">
        <v>2496</v>
      </c>
      <c r="H58" s="262" t="s">
        <v>2496</v>
      </c>
    </row>
    <row r="59" spans="3:8">
      <c r="C59">
        <v>2</v>
      </c>
      <c r="D59" s="262" t="s">
        <v>2571</v>
      </c>
      <c r="F59" s="294" t="s">
        <v>2572</v>
      </c>
      <c r="H59" s="262" t="s">
        <v>2571</v>
      </c>
    </row>
    <row r="60" spans="3:8">
      <c r="C60">
        <v>3</v>
      </c>
      <c r="D60" s="262" t="s">
        <v>2572</v>
      </c>
      <c r="H60" s="262" t="s">
        <v>2572</v>
      </c>
    </row>
    <row r="67" spans="1:12">
      <c r="A67" t="s">
        <v>2573</v>
      </c>
      <c r="D67">
        <v>1</v>
      </c>
      <c r="E67">
        <v>2</v>
      </c>
      <c r="F67">
        <v>3</v>
      </c>
      <c r="G67">
        <v>4</v>
      </c>
      <c r="H67">
        <v>5</v>
      </c>
      <c r="I67">
        <v>98</v>
      </c>
      <c r="J67">
        <v>99</v>
      </c>
      <c r="K67">
        <v>100</v>
      </c>
      <c r="L67">
        <v>101</v>
      </c>
    </row>
    <row r="68" spans="1:12">
      <c r="A68" t="s">
        <v>2574</v>
      </c>
      <c r="D68" s="228" t="s">
        <v>2494</v>
      </c>
      <c r="E68" s="228" t="s">
        <v>2495</v>
      </c>
      <c r="F68" s="228" t="s">
        <v>2495</v>
      </c>
      <c r="G68" s="270"/>
      <c r="H68" s="270"/>
      <c r="I68" s="270"/>
      <c r="J68" s="270"/>
      <c r="K68" s="270"/>
      <c r="L68" s="270"/>
    </row>
    <row r="69" spans="1:12">
      <c r="D69" t="s">
        <v>2496</v>
      </c>
      <c r="E69" t="s">
        <v>2497</v>
      </c>
      <c r="F69" t="s">
        <v>2498</v>
      </c>
      <c r="G69" t="s">
        <v>2499</v>
      </c>
      <c r="H69" t="s">
        <v>2500</v>
      </c>
      <c r="L69" t="s">
        <v>2501</v>
      </c>
    </row>
    <row r="70" spans="1:12">
      <c r="F70" t="s">
        <v>2575</v>
      </c>
      <c r="G70" t="s">
        <v>2576</v>
      </c>
      <c r="H70" t="s">
        <v>2577</v>
      </c>
    </row>
    <row r="71" spans="1:12">
      <c r="D71" t="s">
        <v>2578</v>
      </c>
      <c r="E71" s="274">
        <v>45658.458333333336</v>
      </c>
      <c r="F71" t="s">
        <v>2579</v>
      </c>
      <c r="G71">
        <v>3</v>
      </c>
      <c r="H71">
        <v>98</v>
      </c>
    </row>
    <row r="72" spans="1:12">
      <c r="D72" t="s">
        <v>2580</v>
      </c>
      <c r="E72" s="274">
        <f>E71+0.05</f>
        <v>45658.508333333339</v>
      </c>
      <c r="F72" t="s">
        <v>2579</v>
      </c>
      <c r="G72">
        <v>3</v>
      </c>
      <c r="H72">
        <v>98</v>
      </c>
    </row>
    <row r="73" spans="1:12">
      <c r="D73" t="s">
        <v>2581</v>
      </c>
      <c r="E73" s="274">
        <f>E72+0.05</f>
        <v>45658.558333333342</v>
      </c>
      <c r="F73" t="s">
        <v>2579</v>
      </c>
      <c r="G73">
        <v>3</v>
      </c>
      <c r="H73">
        <v>98</v>
      </c>
    </row>
    <row r="74" spans="1:12">
      <c r="D74" t="s">
        <v>2582</v>
      </c>
      <c r="E74" s="274">
        <f>E73+0.05</f>
        <v>45658.608333333344</v>
      </c>
      <c r="F74" t="s">
        <v>2579</v>
      </c>
      <c r="G74">
        <v>3</v>
      </c>
      <c r="H74">
        <v>98</v>
      </c>
    </row>
    <row r="77" spans="1:12">
      <c r="H77" t="s">
        <v>2583</v>
      </c>
      <c r="I77" t="s">
        <v>2584</v>
      </c>
    </row>
    <row r="79" spans="1:12">
      <c r="H79" t="s">
        <v>2585</v>
      </c>
    </row>
    <row r="81" spans="8:10">
      <c r="H81" t="s">
        <v>2586</v>
      </c>
      <c r="I81" t="s">
        <v>2587</v>
      </c>
      <c r="J81" t="s">
        <v>2588</v>
      </c>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E1EC-1031-4E3A-B270-A5D08FB5C04A}">
  <dimension ref="A1:I19"/>
  <sheetViews>
    <sheetView topLeftCell="A2" workbookViewId="0">
      <selection activeCell="H5" sqref="H5"/>
    </sheetView>
  </sheetViews>
  <sheetFormatPr defaultRowHeight="14.45"/>
  <cols>
    <col min="1" max="1" width="13.85546875" bestFit="1" customWidth="1"/>
    <col min="2" max="2" width="11.7109375" bestFit="1" customWidth="1"/>
    <col min="3" max="3" width="15" bestFit="1" customWidth="1"/>
    <col min="4" max="5" width="11.42578125" bestFit="1" customWidth="1"/>
    <col min="6" max="6" width="13.85546875" bestFit="1" customWidth="1"/>
    <col min="7" max="7" width="13.140625" bestFit="1" customWidth="1"/>
    <col min="8" max="8" width="15" bestFit="1" customWidth="1"/>
    <col min="9" max="9" width="11.42578125" bestFit="1" customWidth="1"/>
  </cols>
  <sheetData>
    <row r="1" spans="1:9">
      <c r="A1" s="255" t="s">
        <v>37</v>
      </c>
      <c r="B1" t="s">
        <v>2589</v>
      </c>
      <c r="F1" s="255" t="s">
        <v>3</v>
      </c>
      <c r="G1" t="s">
        <v>17</v>
      </c>
    </row>
    <row r="2" spans="1:9">
      <c r="A2" t="s">
        <v>2590</v>
      </c>
      <c r="F2" t="s">
        <v>2591</v>
      </c>
    </row>
    <row r="3" spans="1:9">
      <c r="A3" s="255" t="s">
        <v>2592</v>
      </c>
      <c r="B3" s="255" t="s">
        <v>14</v>
      </c>
      <c r="F3" s="255" t="s">
        <v>2592</v>
      </c>
      <c r="G3" s="255" t="s">
        <v>14</v>
      </c>
    </row>
    <row r="4" spans="1:9">
      <c r="A4" s="255" t="s">
        <v>15</v>
      </c>
      <c r="B4" t="s">
        <v>22</v>
      </c>
      <c r="C4" t="s">
        <v>32</v>
      </c>
      <c r="D4" t="s">
        <v>20</v>
      </c>
      <c r="F4" s="255" t="s">
        <v>15</v>
      </c>
      <c r="G4" t="s">
        <v>22</v>
      </c>
      <c r="H4" t="s">
        <v>32</v>
      </c>
      <c r="I4" t="s">
        <v>20</v>
      </c>
    </row>
    <row r="5" spans="1:9">
      <c r="A5" t="s">
        <v>6</v>
      </c>
      <c r="B5">
        <v>48</v>
      </c>
      <c r="C5">
        <v>34</v>
      </c>
      <c r="D5">
        <v>82</v>
      </c>
      <c r="F5" t="s">
        <v>6</v>
      </c>
      <c r="G5">
        <v>22</v>
      </c>
      <c r="H5">
        <v>22</v>
      </c>
      <c r="I5">
        <v>44</v>
      </c>
    </row>
    <row r="6" spans="1:9">
      <c r="A6" t="s">
        <v>5</v>
      </c>
      <c r="B6">
        <v>20</v>
      </c>
      <c r="C6">
        <v>13</v>
      </c>
      <c r="D6">
        <v>33</v>
      </c>
      <c r="F6" t="s">
        <v>5</v>
      </c>
      <c r="G6">
        <v>13</v>
      </c>
      <c r="H6">
        <v>9</v>
      </c>
      <c r="I6">
        <v>22</v>
      </c>
    </row>
    <row r="7" spans="1:9">
      <c r="A7" t="s">
        <v>8</v>
      </c>
      <c r="B7">
        <v>12</v>
      </c>
      <c r="C7">
        <v>20</v>
      </c>
      <c r="D7">
        <v>32</v>
      </c>
      <c r="F7" t="s">
        <v>12</v>
      </c>
      <c r="G7">
        <v>11</v>
      </c>
      <c r="I7">
        <v>11</v>
      </c>
    </row>
    <row r="8" spans="1:9">
      <c r="A8" t="s">
        <v>11</v>
      </c>
      <c r="B8">
        <v>15</v>
      </c>
      <c r="C8">
        <v>13</v>
      </c>
      <c r="D8">
        <v>28</v>
      </c>
      <c r="F8" t="s">
        <v>9</v>
      </c>
      <c r="G8">
        <v>5</v>
      </c>
      <c r="H8">
        <v>5</v>
      </c>
      <c r="I8">
        <v>10</v>
      </c>
    </row>
    <row r="9" spans="1:9">
      <c r="A9" t="s">
        <v>12</v>
      </c>
      <c r="B9">
        <v>26</v>
      </c>
      <c r="D9">
        <v>26</v>
      </c>
      <c r="F9" t="s">
        <v>11</v>
      </c>
      <c r="G9">
        <v>3</v>
      </c>
      <c r="H9">
        <v>3</v>
      </c>
      <c r="I9">
        <v>6</v>
      </c>
    </row>
    <row r="10" spans="1:9">
      <c r="A10" t="s">
        <v>4</v>
      </c>
      <c r="B10">
        <v>17</v>
      </c>
      <c r="C10">
        <v>5</v>
      </c>
      <c r="D10">
        <v>22</v>
      </c>
      <c r="F10" t="s">
        <v>4</v>
      </c>
      <c r="G10">
        <v>1</v>
      </c>
      <c r="I10">
        <v>1</v>
      </c>
    </row>
    <row r="11" spans="1:9">
      <c r="A11" t="s">
        <v>9</v>
      </c>
      <c r="B11">
        <v>9</v>
      </c>
      <c r="C11">
        <v>7</v>
      </c>
      <c r="D11">
        <v>16</v>
      </c>
      <c r="F11" t="s">
        <v>20</v>
      </c>
      <c r="G11">
        <v>55</v>
      </c>
      <c r="H11">
        <v>39</v>
      </c>
      <c r="I11">
        <v>94</v>
      </c>
    </row>
    <row r="12" spans="1:9">
      <c r="A12" t="s">
        <v>680</v>
      </c>
      <c r="B12">
        <v>10</v>
      </c>
      <c r="C12">
        <v>3</v>
      </c>
      <c r="D12">
        <v>13</v>
      </c>
    </row>
    <row r="13" spans="1:9">
      <c r="A13" t="s">
        <v>1380</v>
      </c>
      <c r="B13">
        <v>7</v>
      </c>
      <c r="C13">
        <v>3</v>
      </c>
      <c r="D13">
        <v>10</v>
      </c>
    </row>
    <row r="14" spans="1:9">
      <c r="A14" t="s">
        <v>10</v>
      </c>
      <c r="B14">
        <v>4</v>
      </c>
      <c r="C14">
        <v>3</v>
      </c>
      <c r="D14">
        <v>7</v>
      </c>
    </row>
    <row r="15" spans="1:9">
      <c r="A15" t="s">
        <v>232</v>
      </c>
      <c r="B15">
        <v>4</v>
      </c>
      <c r="C15">
        <v>1</v>
      </c>
      <c r="D15">
        <v>5</v>
      </c>
    </row>
    <row r="16" spans="1:9">
      <c r="A16" t="s">
        <v>13</v>
      </c>
      <c r="B16">
        <v>2</v>
      </c>
      <c r="C16">
        <v>3</v>
      </c>
      <c r="D16">
        <v>5</v>
      </c>
    </row>
    <row r="17" spans="1:4">
      <c r="A17" t="s">
        <v>7</v>
      </c>
      <c r="B17">
        <v>4</v>
      </c>
      <c r="C17">
        <v>1</v>
      </c>
      <c r="D17">
        <v>5</v>
      </c>
    </row>
    <row r="18" spans="1:4">
      <c r="A18" t="s">
        <v>76</v>
      </c>
      <c r="B18">
        <v>1</v>
      </c>
      <c r="C18">
        <v>1</v>
      </c>
      <c r="D18">
        <v>2</v>
      </c>
    </row>
    <row r="19" spans="1:4">
      <c r="A19" t="s">
        <v>20</v>
      </c>
      <c r="B19">
        <v>179</v>
      </c>
      <c r="C19">
        <v>107</v>
      </c>
      <c r="D19">
        <v>286</v>
      </c>
    </row>
  </sheetData>
  <pageMargins left="0.7" right="0.7" top="0.75" bottom="0.75" header="0.3" footer="0.3"/>
  <headerFooter>
    <oddFooter>&amp;L_x000D_&amp;1#&amp;"Aptos"&amp;8&amp;K000000 Classified as CPKC Confidential</oddFooter>
  </headerFooter>
  <customProperties>
    <customPr name="EpmWorksheetKeyString_GUID" r:id="rId3"/>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9E9D7-EAEF-4AD3-9847-9E2BC2BA694F}">
  <dimension ref="A1:C21"/>
  <sheetViews>
    <sheetView topLeftCell="A22" workbookViewId="0">
      <selection activeCell="C4" sqref="C4"/>
    </sheetView>
  </sheetViews>
  <sheetFormatPr defaultRowHeight="14.45"/>
  <cols>
    <col min="1" max="1" width="19.42578125" customWidth="1"/>
    <col min="2" max="2" width="12" bestFit="1" customWidth="1"/>
    <col min="3" max="3" width="95.5703125" customWidth="1"/>
  </cols>
  <sheetData>
    <row r="1" spans="1:3">
      <c r="A1" s="218" t="s">
        <v>2593</v>
      </c>
      <c r="B1" s="218" t="s">
        <v>2594</v>
      </c>
      <c r="C1" s="218" t="s">
        <v>2595</v>
      </c>
    </row>
    <row r="2" spans="1:3" ht="75.75" customHeight="1">
      <c r="A2" s="1" t="s">
        <v>2596</v>
      </c>
      <c r="B2" s="1" t="s">
        <v>2597</v>
      </c>
      <c r="C2" s="254" t="s">
        <v>2598</v>
      </c>
    </row>
    <row r="3" spans="1:3" ht="107.25" customHeight="1">
      <c r="A3" s="1" t="s">
        <v>2599</v>
      </c>
      <c r="B3" s="1" t="s">
        <v>2600</v>
      </c>
      <c r="C3" s="254" t="s">
        <v>2601</v>
      </c>
    </row>
    <row r="4" spans="1:3" ht="116.1">
      <c r="A4" s="1" t="s">
        <v>2352</v>
      </c>
      <c r="B4" s="1"/>
      <c r="C4" s="254" t="s">
        <v>2602</v>
      </c>
    </row>
    <row r="5" spans="1:3">
      <c r="A5" s="1"/>
      <c r="B5" s="1"/>
      <c r="C5" s="1"/>
    </row>
    <row r="6" spans="1:3">
      <c r="A6" s="1"/>
      <c r="B6" s="1"/>
      <c r="C6" s="1"/>
    </row>
    <row r="7" spans="1:3">
      <c r="A7" s="1"/>
      <c r="B7" s="1"/>
      <c r="C7" s="1"/>
    </row>
    <row r="8" spans="1:3">
      <c r="A8" s="1"/>
      <c r="B8" s="1"/>
      <c r="C8" s="1"/>
    </row>
    <row r="9" spans="1:3">
      <c r="A9" s="1"/>
      <c r="B9" s="1"/>
      <c r="C9" s="1"/>
    </row>
    <row r="10" spans="1:3">
      <c r="A10" s="1"/>
      <c r="B10" s="1"/>
      <c r="C10" s="1"/>
    </row>
    <row r="11" spans="1:3">
      <c r="A11" s="1"/>
      <c r="B11" s="1"/>
      <c r="C11" s="1"/>
    </row>
    <row r="12" spans="1:3">
      <c r="A12" s="1"/>
      <c r="B12" s="1"/>
      <c r="C12" s="1"/>
    </row>
    <row r="13" spans="1:3">
      <c r="A13" s="1"/>
      <c r="B13" s="1"/>
      <c r="C13" s="1"/>
    </row>
    <row r="14" spans="1:3">
      <c r="A14" s="1"/>
      <c r="B14" s="1"/>
      <c r="C14" s="1"/>
    </row>
    <row r="15" spans="1:3">
      <c r="A15" s="1"/>
      <c r="B15" s="1"/>
      <c r="C15" s="1"/>
    </row>
    <row r="16" spans="1:3">
      <c r="A16" s="1"/>
      <c r="B16" s="1"/>
      <c r="C16" s="1"/>
    </row>
    <row r="17" spans="1:3">
      <c r="A17" s="1"/>
      <c r="B17" s="1"/>
      <c r="C17" s="1"/>
    </row>
    <row r="18" spans="1:3">
      <c r="A18" s="1"/>
      <c r="B18" s="1"/>
      <c r="C18" s="1"/>
    </row>
    <row r="19" spans="1:3">
      <c r="A19" s="1"/>
      <c r="B19" s="1"/>
      <c r="C19" s="1"/>
    </row>
    <row r="20" spans="1:3">
      <c r="A20" s="1"/>
      <c r="B20" s="1"/>
      <c r="C20" s="1"/>
    </row>
    <row r="21" spans="1:3">
      <c r="A21" s="1"/>
      <c r="B21" s="1"/>
      <c r="C21" s="1"/>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zoomScale="115" zoomScaleNormal="115" workbookViewId="0">
      <pane xSplit="3" ySplit="3" topLeftCell="D4" activePane="bottomRight" state="frozen"/>
      <selection pane="bottomRight" activeCell="X3" sqref="X3"/>
      <selection pane="bottomLeft" activeCell="A2" sqref="A2"/>
      <selection pane="topRight" activeCell="D1" sqref="D1"/>
    </sheetView>
  </sheetViews>
  <sheetFormatPr defaultColWidth="9.140625" defaultRowHeight="14.45"/>
  <cols>
    <col min="1" max="1" width="12.85546875" style="165" customWidth="1"/>
    <col min="2" max="2" width="15.28515625" style="165" customWidth="1"/>
    <col min="3" max="3" width="16.42578125" style="165" customWidth="1"/>
    <col min="4" max="4" width="30.85546875" style="165" customWidth="1"/>
    <col min="5" max="5" width="116.5703125" style="165" customWidth="1"/>
    <col min="6" max="6" width="13" style="210" customWidth="1"/>
    <col min="7" max="7" width="14.5703125" style="169" bestFit="1" customWidth="1"/>
    <col min="8" max="16384" width="9.140625" style="165"/>
  </cols>
  <sheetData>
    <row r="1" spans="1:7">
      <c r="A1" s="165" t="s">
        <v>2603</v>
      </c>
      <c r="B1" s="234"/>
    </row>
    <row r="3" spans="1:7" ht="69" customHeight="1">
      <c r="A3" s="167" t="s">
        <v>2604</v>
      </c>
      <c r="B3" s="167" t="s">
        <v>2605</v>
      </c>
      <c r="C3" s="167" t="s">
        <v>2382</v>
      </c>
      <c r="D3" s="167" t="s">
        <v>2606</v>
      </c>
      <c r="E3" s="167" t="s">
        <v>2607</v>
      </c>
      <c r="F3" s="171" t="s">
        <v>2608</v>
      </c>
      <c r="G3" s="166" t="s">
        <v>2609</v>
      </c>
    </row>
    <row r="4" spans="1:7" ht="75" customHeight="1">
      <c r="A4" s="165" t="s">
        <v>2610</v>
      </c>
      <c r="B4" s="165" t="s">
        <v>2349</v>
      </c>
      <c r="C4" s="165" t="s">
        <v>2611</v>
      </c>
      <c r="D4" s="165" t="s">
        <v>2612</v>
      </c>
      <c r="E4" s="168" t="s">
        <v>2613</v>
      </c>
      <c r="F4" s="170">
        <v>45716</v>
      </c>
      <c r="G4" s="169" t="s">
        <v>514</v>
      </c>
    </row>
    <row r="5" spans="1:7" ht="44.25" customHeight="1">
      <c r="A5" s="165" t="s">
        <v>2614</v>
      </c>
      <c r="B5" s="165" t="s">
        <v>2349</v>
      </c>
      <c r="C5" s="165" t="s">
        <v>2611</v>
      </c>
      <c r="D5" s="165" t="s">
        <v>2615</v>
      </c>
      <c r="E5" s="168" t="s">
        <v>2616</v>
      </c>
      <c r="F5" s="170">
        <v>45716</v>
      </c>
      <c r="G5" s="169" t="s">
        <v>514</v>
      </c>
    </row>
    <row r="6" spans="1:7" ht="24.95" customHeight="1">
      <c r="A6" s="165" t="s">
        <v>2617</v>
      </c>
      <c r="B6" s="165" t="s">
        <v>2349</v>
      </c>
      <c r="C6" s="165" t="s">
        <v>2618</v>
      </c>
      <c r="D6" s="165" t="s">
        <v>2619</v>
      </c>
    </row>
    <row r="7" spans="1:7" ht="24.95" customHeight="1">
      <c r="A7" s="165" t="s">
        <v>2620</v>
      </c>
      <c r="B7" s="165" t="s">
        <v>2349</v>
      </c>
      <c r="C7" s="165" t="s">
        <v>2618</v>
      </c>
      <c r="D7" s="165" t="s">
        <v>2621</v>
      </c>
    </row>
    <row r="8" spans="1:7" ht="24.95" customHeight="1">
      <c r="A8" s="165" t="s">
        <v>2622</v>
      </c>
      <c r="B8" s="165" t="s">
        <v>2349</v>
      </c>
      <c r="C8" s="165" t="s">
        <v>2618</v>
      </c>
      <c r="D8" s="165" t="s">
        <v>2623</v>
      </c>
    </row>
    <row r="9" spans="1:7" ht="24.95" customHeight="1">
      <c r="A9" s="165" t="s">
        <v>2624</v>
      </c>
      <c r="B9" s="165" t="s">
        <v>2349</v>
      </c>
      <c r="C9" s="165" t="s">
        <v>2618</v>
      </c>
      <c r="D9" s="165" t="s">
        <v>2625</v>
      </c>
    </row>
    <row r="10" spans="1:7" ht="24.95" customHeight="1">
      <c r="A10" s="165" t="s">
        <v>2626</v>
      </c>
      <c r="B10" s="165" t="s">
        <v>2349</v>
      </c>
      <c r="C10" s="165" t="s">
        <v>2618</v>
      </c>
      <c r="D10" s="165" t="s">
        <v>2627</v>
      </c>
    </row>
    <row r="11" spans="1:7" ht="24.95" customHeight="1">
      <c r="A11" s="165" t="s">
        <v>2628</v>
      </c>
      <c r="B11" s="165" t="s">
        <v>2349</v>
      </c>
      <c r="C11" s="165" t="s">
        <v>2618</v>
      </c>
      <c r="D11" s="165" t="s">
        <v>2629</v>
      </c>
    </row>
    <row r="12" spans="1:7" ht="24.95" customHeight="1">
      <c r="A12" s="165" t="s">
        <v>2630</v>
      </c>
      <c r="B12" s="165" t="s">
        <v>2349</v>
      </c>
      <c r="C12" s="165" t="s">
        <v>2618</v>
      </c>
      <c r="D12" s="165" t="s">
        <v>2631</v>
      </c>
    </row>
    <row r="13" spans="1:7" ht="63.75" customHeight="1">
      <c r="A13" s="165" t="s">
        <v>2632</v>
      </c>
      <c r="B13" s="165" t="s">
        <v>2348</v>
      </c>
      <c r="C13" s="165" t="s">
        <v>2633</v>
      </c>
      <c r="D13" s="165" t="s">
        <v>2634</v>
      </c>
      <c r="E13" s="168" t="s">
        <v>2635</v>
      </c>
      <c r="F13" s="170">
        <v>45740</v>
      </c>
      <c r="G13" s="169" t="s">
        <v>2636</v>
      </c>
    </row>
    <row r="14" spans="1:7" ht="63.75" customHeight="1">
      <c r="A14" s="165" t="s">
        <v>2637</v>
      </c>
      <c r="B14" s="165" t="s">
        <v>2348</v>
      </c>
      <c r="C14" s="165" t="s">
        <v>2633</v>
      </c>
      <c r="D14" s="165" t="s">
        <v>2638</v>
      </c>
      <c r="E14" s="168" t="s">
        <v>2639</v>
      </c>
      <c r="F14" s="170">
        <v>45716</v>
      </c>
      <c r="G14" s="169" t="s">
        <v>2640</v>
      </c>
    </row>
    <row r="15" spans="1:7" ht="51.75" customHeight="1">
      <c r="A15" s="165" t="s">
        <v>2641</v>
      </c>
      <c r="B15" s="165" t="s">
        <v>2348</v>
      </c>
      <c r="C15" s="165" t="s">
        <v>2642</v>
      </c>
      <c r="D15" s="165" t="s">
        <v>2643</v>
      </c>
      <c r="E15" s="168" t="s">
        <v>2644</v>
      </c>
      <c r="F15" s="170">
        <v>45661</v>
      </c>
      <c r="G15" s="169" t="s">
        <v>2636</v>
      </c>
    </row>
    <row r="16" spans="1:7" ht="79.5" customHeight="1">
      <c r="A16" s="165" t="s">
        <v>2645</v>
      </c>
      <c r="B16" s="165" t="s">
        <v>2348</v>
      </c>
      <c r="C16" s="165" t="s">
        <v>2642</v>
      </c>
      <c r="D16" s="165" t="s">
        <v>2646</v>
      </c>
      <c r="E16" s="168" t="s">
        <v>2647</v>
      </c>
      <c r="F16" s="170">
        <v>45661</v>
      </c>
      <c r="G16" s="169" t="s">
        <v>2636</v>
      </c>
    </row>
    <row r="17" spans="1:7" ht="28.5" customHeight="1">
      <c r="A17" s="165" t="s">
        <v>2648</v>
      </c>
      <c r="B17" s="165" t="s">
        <v>2348</v>
      </c>
      <c r="C17" s="165" t="s">
        <v>2642</v>
      </c>
      <c r="D17" s="165" t="s">
        <v>2649</v>
      </c>
      <c r="E17" s="168" t="s">
        <v>2650</v>
      </c>
      <c r="F17" s="170">
        <v>45661</v>
      </c>
      <c r="G17" s="169" t="s">
        <v>2636</v>
      </c>
    </row>
    <row r="18" spans="1:7" ht="24.95" customHeight="1">
      <c r="A18" s="165" t="s">
        <v>2651</v>
      </c>
      <c r="B18" s="165" t="s">
        <v>2348</v>
      </c>
      <c r="C18" s="165" t="s">
        <v>2642</v>
      </c>
      <c r="D18" s="165" t="s">
        <v>2652</v>
      </c>
    </row>
    <row r="19" spans="1:7" ht="24.95" customHeight="1">
      <c r="A19" s="165" t="s">
        <v>2653</v>
      </c>
      <c r="B19" s="165" t="s">
        <v>2348</v>
      </c>
      <c r="C19" s="165" t="s">
        <v>2642</v>
      </c>
      <c r="D19" s="165" t="s">
        <v>2654</v>
      </c>
    </row>
    <row r="20" spans="1:7" ht="24.95" customHeight="1">
      <c r="A20" s="165" t="s">
        <v>2655</v>
      </c>
      <c r="B20" s="165" t="s">
        <v>2348</v>
      </c>
      <c r="C20" s="165" t="s">
        <v>2642</v>
      </c>
      <c r="D20" s="165" t="s">
        <v>2656</v>
      </c>
    </row>
    <row r="21" spans="1:7" ht="24.95" customHeight="1">
      <c r="A21" s="165" t="s">
        <v>2657</v>
      </c>
      <c r="B21" s="165" t="s">
        <v>2353</v>
      </c>
    </row>
    <row r="22" spans="1:7" ht="24.95" customHeight="1">
      <c r="A22" s="165" t="s">
        <v>2658</v>
      </c>
      <c r="B22" s="165" t="s">
        <v>2353</v>
      </c>
    </row>
    <row r="23" spans="1:7" ht="24.95" customHeight="1">
      <c r="A23" s="165" t="s">
        <v>2659</v>
      </c>
    </row>
    <row r="24" spans="1:7" ht="24.95" customHeight="1">
      <c r="A24" s="165" t="s">
        <v>2660</v>
      </c>
    </row>
    <row r="25" spans="1:7" ht="24.95" customHeight="1"/>
    <row r="26" spans="1:7" ht="24.95" customHeight="1"/>
    <row r="27" spans="1:7" ht="24.95" customHeight="1"/>
    <row r="28" spans="1:7" ht="24.95" customHeight="1"/>
    <row r="29" spans="1:7" ht="24.95" customHeight="1"/>
    <row r="30" spans="1:7" ht="24.95" customHeight="1"/>
    <row r="31" spans="1:7" ht="24.95" customHeight="1"/>
    <row r="32" spans="1:7" ht="24.95" customHeight="1"/>
    <row r="33" ht="24.95" customHeight="1"/>
    <row r="34" ht="24.95" customHeight="1"/>
    <row r="35" ht="24.95" customHeight="1"/>
    <row r="36" ht="24.95" customHeight="1"/>
    <row r="37" ht="24.95" customHeight="1"/>
    <row r="38" ht="24.95" customHeight="1"/>
    <row r="39" ht="24.95" customHeight="1"/>
    <row r="40" ht="24.95" customHeight="1"/>
    <row r="41" ht="24.95" customHeight="1"/>
    <row r="42" ht="24.95" customHeight="1"/>
    <row r="43" ht="24.95" customHeight="1"/>
    <row r="44" ht="24.95" customHeight="1"/>
    <row r="45" ht="24.95" customHeight="1"/>
  </sheetData>
  <phoneticPr fontId="12" type="noConversion"/>
  <dataValidations count="1">
    <dataValidation type="list" allowBlank="1" showInputMessage="1" showErrorMessage="1" sqref="B1" xr:uid="{E9A9B076-382F-4C6F-8F39-C463AAB20C49}">
      <formula1>"Map, Maps, Dastasets, Reports, Charts, Calendars, Stories, Measures"</formula1>
    </dataValidation>
  </dataValidations>
  <hyperlinks>
    <hyperlink ref="D13" location="'R001'!A1" display="Density by Subdivision - GTM's" xr:uid="{0F0F7F15-7758-40E3-976B-1F830A3F0646}"/>
    <hyperlink ref="D14" location="'R002'!A1" display="Density by Subdivision - GT's" xr:uid="{1D510DC3-8D0A-4A50-9730-112227A64C91}"/>
    <hyperlink ref="D15" location="'RG003'!A1" display="US Metrics 1" xr:uid="{606B730E-00BB-4302-A0E6-4CCF53C9834E}"/>
    <hyperlink ref="D16" location="'RG004'!A1" display="US Metrics 2" xr:uid="{87A499CB-D8E8-4679-9F78-2BC6E04CBBC4}"/>
    <hyperlink ref="D17" location="'RG005'!A1" display="US Metrics 3" xr:uid="{04C049A6-D7E6-49C7-A037-1D27E5331725}"/>
  </hyperlink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C721-A683-4C8C-A43F-0449E5C7878C}">
  <dimension ref="A1:A7"/>
  <sheetViews>
    <sheetView workbookViewId="0">
      <selection activeCell="A9" sqref="A9"/>
    </sheetView>
  </sheetViews>
  <sheetFormatPr defaultRowHeight="14.45"/>
  <cols>
    <col min="1" max="1" width="92.28515625" bestFit="1" customWidth="1"/>
  </cols>
  <sheetData>
    <row r="1" spans="1:1">
      <c r="A1" t="s">
        <v>2661</v>
      </c>
    </row>
    <row r="3" spans="1:1">
      <c r="A3" t="s">
        <v>2662</v>
      </c>
    </row>
    <row r="5" spans="1:1">
      <c r="A5" t="s">
        <v>2663</v>
      </c>
    </row>
    <row r="7" spans="1:1">
      <c r="A7" t="s">
        <v>2664</v>
      </c>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B9BDB-54AE-4411-8888-B8441273F97D}">
  <dimension ref="B1:M43"/>
  <sheetViews>
    <sheetView topLeftCell="A24" workbookViewId="0">
      <selection activeCell="F18" sqref="F18"/>
    </sheetView>
  </sheetViews>
  <sheetFormatPr defaultRowHeight="14.45"/>
  <cols>
    <col min="2" max="2" width="24.28515625" customWidth="1"/>
    <col min="3" max="3" width="12.5703125" bestFit="1" customWidth="1"/>
    <col min="4" max="4" width="11.7109375" customWidth="1"/>
    <col min="5" max="5" width="17.140625" bestFit="1" customWidth="1"/>
    <col min="6" max="6" width="17" customWidth="1"/>
  </cols>
  <sheetData>
    <row r="1" spans="2:13" ht="18.600000000000001">
      <c r="B1" s="235" t="s">
        <v>2337</v>
      </c>
      <c r="C1" s="228"/>
      <c r="D1" s="228"/>
      <c r="E1" s="228"/>
      <c r="F1" s="228"/>
      <c r="G1" s="228"/>
    </row>
    <row r="2" spans="2:13" ht="36.950000000000003">
      <c r="B2" s="235"/>
      <c r="C2" s="242" t="s">
        <v>2665</v>
      </c>
      <c r="D2" s="243" t="s">
        <v>2666</v>
      </c>
      <c r="E2" s="244" t="s">
        <v>2667</v>
      </c>
      <c r="F2" s="245" t="s">
        <v>2668</v>
      </c>
      <c r="G2" s="228"/>
      <c r="M2" t="s">
        <v>2370</v>
      </c>
    </row>
    <row r="3" spans="2:13" ht="18.600000000000001">
      <c r="B3" s="235"/>
      <c r="C3" s="229"/>
      <c r="D3" s="228"/>
      <c r="E3" s="228"/>
      <c r="F3" s="228"/>
      <c r="G3" s="228"/>
      <c r="M3" t="s">
        <v>2669</v>
      </c>
    </row>
    <row r="4" spans="2:13">
      <c r="B4" s="228"/>
      <c r="C4" s="228"/>
      <c r="D4" s="228"/>
      <c r="E4" s="228"/>
      <c r="F4" s="228"/>
      <c r="G4" s="228"/>
      <c r="M4" t="s">
        <v>2670</v>
      </c>
    </row>
    <row r="5" spans="2:13" ht="17.100000000000001">
      <c r="B5" s="237" t="s">
        <v>2671</v>
      </c>
      <c r="C5" s="236" t="s">
        <v>2672</v>
      </c>
      <c r="D5" s="236" t="s">
        <v>1332</v>
      </c>
      <c r="E5" s="236" t="s">
        <v>916</v>
      </c>
      <c r="F5" s="228"/>
      <c r="G5" s="228"/>
      <c r="M5" t="s">
        <v>2673</v>
      </c>
    </row>
    <row r="6" spans="2:13" ht="17.100000000000001">
      <c r="B6" s="237" t="s">
        <v>2674</v>
      </c>
      <c r="C6" s="237">
        <v>100</v>
      </c>
      <c r="D6" s="237" t="s">
        <v>2675</v>
      </c>
      <c r="E6" s="239">
        <v>45905.500694444447</v>
      </c>
      <c r="F6" s="228"/>
      <c r="G6" s="228"/>
      <c r="M6" t="s">
        <v>2676</v>
      </c>
    </row>
    <row r="7" spans="2:13">
      <c r="B7" s="228"/>
      <c r="C7" s="228"/>
      <c r="D7" s="228"/>
      <c r="E7" s="228"/>
      <c r="F7" s="228"/>
      <c r="G7" s="228"/>
      <c r="M7" t="s">
        <v>2577</v>
      </c>
    </row>
    <row r="8" spans="2:13" ht="17.100000000000001">
      <c r="B8" s="238" t="s">
        <v>2677</v>
      </c>
      <c r="C8" s="238" t="s">
        <v>2678</v>
      </c>
      <c r="D8" s="238"/>
      <c r="E8" s="238" t="s">
        <v>2679</v>
      </c>
      <c r="F8" s="240">
        <v>45902.500694444447</v>
      </c>
      <c r="G8" s="228"/>
      <c r="M8" t="s">
        <v>2680</v>
      </c>
    </row>
    <row r="9" spans="2:13" ht="17.100000000000001">
      <c r="B9" s="228"/>
      <c r="C9" s="238"/>
      <c r="D9" s="238"/>
      <c r="E9" s="238"/>
      <c r="F9" s="228"/>
      <c r="G9" s="228"/>
      <c r="M9" t="s">
        <v>2681</v>
      </c>
    </row>
    <row r="10" spans="2:13" ht="17.100000000000001">
      <c r="B10" s="228"/>
      <c r="C10" s="238"/>
      <c r="D10" s="238"/>
      <c r="E10" s="238"/>
      <c r="F10" s="228"/>
      <c r="G10" s="228"/>
      <c r="M10" t="s">
        <v>2682</v>
      </c>
    </row>
    <row r="11" spans="2:13" ht="17.100000000000001">
      <c r="B11" s="228"/>
      <c r="C11" s="238" t="s">
        <v>2683</v>
      </c>
      <c r="D11" s="238"/>
      <c r="E11" s="238" t="s">
        <v>2684</v>
      </c>
      <c r="F11" s="228"/>
      <c r="G11" s="228"/>
      <c r="M11" t="s">
        <v>2685</v>
      </c>
    </row>
    <row r="12" spans="2:13" ht="17.100000000000001">
      <c r="B12" s="228"/>
      <c r="C12" s="238"/>
      <c r="D12" s="238"/>
      <c r="E12" s="238"/>
      <c r="F12" s="228"/>
      <c r="G12" s="228"/>
      <c r="M12" t="s">
        <v>2686</v>
      </c>
    </row>
    <row r="13" spans="2:13" ht="17.100000000000001">
      <c r="B13" s="228"/>
      <c r="C13" s="238" t="s">
        <v>2687</v>
      </c>
      <c r="D13" s="238"/>
      <c r="E13" s="238" t="s">
        <v>2688</v>
      </c>
      <c r="F13" s="228"/>
      <c r="G13" s="228"/>
      <c r="M13" t="s">
        <v>2689</v>
      </c>
    </row>
    <row r="14" spans="2:13" ht="17.100000000000001">
      <c r="B14" s="228"/>
      <c r="C14" s="238"/>
      <c r="D14" s="238"/>
      <c r="E14" s="238"/>
      <c r="F14" s="228"/>
      <c r="G14" s="228"/>
      <c r="M14" t="s">
        <v>2690</v>
      </c>
    </row>
    <row r="15" spans="2:13" ht="17.100000000000001">
      <c r="B15" s="228"/>
      <c r="C15" s="238"/>
      <c r="D15" s="238"/>
      <c r="E15" s="238"/>
      <c r="F15" s="228"/>
      <c r="G15" s="228"/>
      <c r="M15" t="s">
        <v>2691</v>
      </c>
    </row>
    <row r="16" spans="2:13" ht="17.100000000000001">
      <c r="B16" s="241" t="s">
        <v>11</v>
      </c>
      <c r="C16" s="241" t="s">
        <v>2692</v>
      </c>
      <c r="D16" s="238"/>
      <c r="E16" s="238" t="s">
        <v>2693</v>
      </c>
      <c r="F16" s="228"/>
      <c r="G16" s="228"/>
      <c r="M16" t="s">
        <v>2694</v>
      </c>
    </row>
    <row r="17" spans="2:13" ht="17.100000000000001">
      <c r="B17" s="241"/>
      <c r="C17" s="241" t="s">
        <v>2695</v>
      </c>
      <c r="D17" s="238"/>
      <c r="E17" s="238" t="s">
        <v>2696</v>
      </c>
      <c r="F17" s="228"/>
      <c r="G17" s="228"/>
      <c r="M17" t="s">
        <v>2697</v>
      </c>
    </row>
    <row r="18" spans="2:13" ht="17.100000000000001">
      <c r="B18" s="241"/>
      <c r="C18" s="241" t="s">
        <v>232</v>
      </c>
      <c r="D18" s="238"/>
      <c r="E18" s="238" t="s">
        <v>2698</v>
      </c>
      <c r="F18" s="228"/>
      <c r="G18" s="228"/>
      <c r="M18" t="s">
        <v>2699</v>
      </c>
    </row>
    <row r="19" spans="2:13" ht="17.100000000000001">
      <c r="B19" s="241"/>
      <c r="C19" s="241" t="s">
        <v>2700</v>
      </c>
      <c r="D19" s="238"/>
      <c r="E19" s="238" t="s">
        <v>2701</v>
      </c>
      <c r="F19" s="228"/>
      <c r="G19" s="228"/>
      <c r="M19" t="s">
        <v>2702</v>
      </c>
    </row>
    <row r="20" spans="2:13" ht="17.100000000000001">
      <c r="B20" s="241"/>
      <c r="C20" s="241"/>
      <c r="D20" s="238"/>
      <c r="E20" s="238"/>
      <c r="F20" s="228"/>
      <c r="G20" s="228"/>
      <c r="M20" t="s">
        <v>916</v>
      </c>
    </row>
    <row r="21" spans="2:13" ht="17.100000000000001">
      <c r="B21" s="241" t="s">
        <v>2357</v>
      </c>
      <c r="C21" s="241" t="s">
        <v>2703</v>
      </c>
      <c r="D21" s="238"/>
      <c r="E21" s="238" t="s">
        <v>2704</v>
      </c>
      <c r="F21" s="228"/>
      <c r="G21" s="228"/>
      <c r="M21" t="s">
        <v>2705</v>
      </c>
    </row>
    <row r="22" spans="2:13" ht="17.100000000000001">
      <c r="B22" s="241"/>
      <c r="C22" s="241" t="s">
        <v>2694</v>
      </c>
      <c r="D22" s="238"/>
      <c r="E22" s="238" t="s">
        <v>2706</v>
      </c>
      <c r="F22" s="228"/>
      <c r="G22" s="228"/>
    </row>
    <row r="23" spans="2:13" ht="17.100000000000001">
      <c r="B23" s="241"/>
      <c r="C23" s="228"/>
      <c r="D23" s="228"/>
      <c r="E23" s="228"/>
      <c r="F23" s="228"/>
      <c r="G23" s="228"/>
    </row>
    <row r="24" spans="2:13" ht="17.100000000000001">
      <c r="B24" s="241"/>
      <c r="C24" s="228"/>
      <c r="D24" s="228"/>
      <c r="E24" s="228"/>
      <c r="F24" s="228"/>
      <c r="G24" s="228"/>
    </row>
    <row r="25" spans="2:13" ht="17.100000000000001">
      <c r="B25" s="241" t="s">
        <v>5</v>
      </c>
      <c r="C25" s="241" t="s">
        <v>2707</v>
      </c>
      <c r="D25" s="238"/>
      <c r="E25" s="238">
        <v>90</v>
      </c>
      <c r="F25" s="228"/>
      <c r="G25" s="228"/>
    </row>
    <row r="26" spans="2:13" ht="17.100000000000001">
      <c r="B26" s="241"/>
      <c r="C26" s="241" t="s">
        <v>2708</v>
      </c>
      <c r="D26" s="238"/>
      <c r="E26" s="238">
        <v>65</v>
      </c>
      <c r="F26" s="228"/>
      <c r="G26" s="228"/>
    </row>
    <row r="27" spans="2:13" ht="17.100000000000001">
      <c r="B27" s="228"/>
      <c r="C27" s="241" t="s">
        <v>2709</v>
      </c>
      <c r="D27" s="238"/>
      <c r="E27" s="238">
        <v>25</v>
      </c>
      <c r="F27" s="228"/>
      <c r="G27" s="228"/>
    </row>
    <row r="28" spans="2:13" ht="17.100000000000001">
      <c r="B28" s="228"/>
      <c r="C28" s="241" t="s">
        <v>2710</v>
      </c>
      <c r="D28" s="238"/>
      <c r="E28" s="238">
        <v>126</v>
      </c>
      <c r="F28" s="228"/>
      <c r="G28" s="228"/>
    </row>
    <row r="29" spans="2:13">
      <c r="B29" s="228"/>
      <c r="C29" s="228"/>
      <c r="D29" s="228"/>
      <c r="E29" s="228"/>
      <c r="F29" s="228"/>
      <c r="G29" s="228"/>
    </row>
    <row r="30" spans="2:13">
      <c r="B30" s="228"/>
      <c r="C30" s="228"/>
      <c r="D30" s="228"/>
      <c r="E30" s="228"/>
      <c r="F30" s="228"/>
      <c r="G30" s="228"/>
    </row>
    <row r="31" spans="2:13" ht="17.100000000000001">
      <c r="B31" s="241" t="s">
        <v>2711</v>
      </c>
      <c r="C31" s="241" t="s">
        <v>2707</v>
      </c>
      <c r="D31" s="238"/>
      <c r="E31" s="238">
        <v>3</v>
      </c>
      <c r="F31" s="228"/>
      <c r="G31" s="228"/>
    </row>
    <row r="32" spans="2:13" ht="17.100000000000001">
      <c r="B32" s="241"/>
      <c r="C32" s="241" t="s">
        <v>2712</v>
      </c>
      <c r="D32" s="238"/>
      <c r="E32" s="238" t="s">
        <v>57</v>
      </c>
      <c r="F32" s="228"/>
      <c r="G32" s="228"/>
    </row>
    <row r="33" spans="2:7" ht="17.100000000000001">
      <c r="B33" s="228"/>
      <c r="C33" s="241" t="s">
        <v>2713</v>
      </c>
      <c r="D33" s="238"/>
      <c r="E33" s="238">
        <v>1.2</v>
      </c>
      <c r="F33" s="228"/>
      <c r="G33" s="228"/>
    </row>
    <row r="34" spans="2:7" ht="17.100000000000001">
      <c r="B34" s="228"/>
      <c r="C34" s="241" t="s">
        <v>2702</v>
      </c>
      <c r="D34" s="238"/>
      <c r="E34" s="238">
        <v>1.4</v>
      </c>
      <c r="F34" s="229" t="s">
        <v>2714</v>
      </c>
      <c r="G34" s="228"/>
    </row>
    <row r="35" spans="2:7">
      <c r="B35" s="228"/>
      <c r="C35" s="228"/>
      <c r="D35" s="228"/>
      <c r="E35" s="228"/>
      <c r="F35" s="228"/>
      <c r="G35" s="228"/>
    </row>
    <row r="36" spans="2:7">
      <c r="B36" s="228"/>
      <c r="C36" s="228"/>
      <c r="D36" s="228"/>
      <c r="E36" s="228"/>
      <c r="F36" s="228"/>
      <c r="G36" s="228"/>
    </row>
    <row r="37" spans="2:7">
      <c r="B37" s="228"/>
      <c r="C37" s="228"/>
      <c r="D37" s="228"/>
      <c r="E37" s="228"/>
      <c r="F37" s="228"/>
      <c r="G37" s="228"/>
    </row>
    <row r="38" spans="2:7">
      <c r="B38" s="228"/>
      <c r="C38" s="228"/>
      <c r="D38" s="228"/>
      <c r="E38" s="228"/>
      <c r="F38" s="228"/>
      <c r="G38" s="228"/>
    </row>
    <row r="39" spans="2:7">
      <c r="B39" s="228"/>
      <c r="C39" s="228"/>
      <c r="D39" s="228"/>
      <c r="E39" s="228"/>
      <c r="F39" s="228"/>
      <c r="G39" s="228"/>
    </row>
    <row r="40" spans="2:7">
      <c r="B40" s="228"/>
      <c r="C40" s="228"/>
      <c r="D40" s="228"/>
      <c r="E40" s="228"/>
      <c r="F40" s="228"/>
      <c r="G40" s="228"/>
    </row>
    <row r="41" spans="2:7">
      <c r="B41" s="228"/>
      <c r="C41" s="228"/>
      <c r="D41" s="228"/>
      <c r="E41" s="228"/>
      <c r="F41" s="228"/>
      <c r="G41" s="228"/>
    </row>
    <row r="42" spans="2:7">
      <c r="B42" s="228"/>
      <c r="C42" s="228"/>
      <c r="D42" s="228"/>
      <c r="E42" s="228"/>
      <c r="F42" s="228"/>
      <c r="G42" s="228"/>
    </row>
    <row r="43" spans="2:7">
      <c r="B43" s="228"/>
      <c r="C43" s="228"/>
      <c r="D43" s="228"/>
      <c r="E43" s="228"/>
      <c r="F43" s="228"/>
      <c r="G43" s="228"/>
    </row>
  </sheetData>
  <pageMargins left="0.7" right="0.7" top="0.75" bottom="0.75" header="0.3" footer="0.3"/>
  <headerFooter>
    <oddFooter>&amp;L_x000D_&amp;1#&amp;"Aptos"&amp;8&amp;K000000 Classified as CPKC Confidential</oddFooter>
  </headerFooter>
  <customProperties>
    <customPr name="EpmWorksheetKeyString_GUID" r:id="rId1"/>
  </customPropertie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6025F-6104-4888-94C2-14D70116CC0D}">
  <dimension ref="A1:M229"/>
  <sheetViews>
    <sheetView zoomScale="160" zoomScaleNormal="160" workbookViewId="0">
      <pane xSplit="3" ySplit="1" topLeftCell="G2" activePane="bottomRight" state="frozen"/>
      <selection pane="bottomRight" activeCell="G1" sqref="G1:J1"/>
      <selection pane="bottomLeft" activeCell="A2" sqref="A2"/>
      <selection pane="topRight" activeCell="D1" sqref="D1"/>
    </sheetView>
  </sheetViews>
  <sheetFormatPr defaultRowHeight="12.95" customHeight="1"/>
  <cols>
    <col min="2" max="2" width="14" customWidth="1"/>
    <col min="3" max="3" width="28.140625" customWidth="1"/>
    <col min="4" max="4" width="12" bestFit="1" customWidth="1"/>
    <col min="5" max="5" width="40.140625" customWidth="1"/>
    <col min="6" max="6" width="68.42578125" bestFit="1" customWidth="1"/>
    <col min="8" max="8" width="163.85546875" bestFit="1" customWidth="1"/>
  </cols>
  <sheetData>
    <row r="1" spans="1:13" ht="12.95" customHeight="1">
      <c r="A1" s="216" t="s">
        <v>2715</v>
      </c>
      <c r="B1" s="217" t="s">
        <v>35</v>
      </c>
      <c r="C1" s="217" t="s">
        <v>3</v>
      </c>
      <c r="D1" s="220" t="s">
        <v>15</v>
      </c>
      <c r="E1" s="220" t="s">
        <v>39</v>
      </c>
      <c r="F1" s="220" t="s">
        <v>42</v>
      </c>
      <c r="G1" s="220" t="s">
        <v>2716</v>
      </c>
      <c r="H1" s="220" t="s">
        <v>44</v>
      </c>
      <c r="I1" s="220" t="s">
        <v>46</v>
      </c>
      <c r="J1" s="217" t="s">
        <v>47</v>
      </c>
      <c r="K1" s="221" t="s">
        <v>48</v>
      </c>
      <c r="L1" s="221" t="s">
        <v>49</v>
      </c>
      <c r="M1" s="221" t="s">
        <v>50</v>
      </c>
    </row>
    <row r="2" spans="1:13" ht="12.95" customHeight="1">
      <c r="A2" s="216">
        <v>1</v>
      </c>
      <c r="B2" s="217" t="s">
        <v>51</v>
      </c>
      <c r="C2" s="217" t="s">
        <v>17</v>
      </c>
      <c r="D2" s="220" t="s">
        <v>9</v>
      </c>
      <c r="E2" s="220" t="s">
        <v>54</v>
      </c>
      <c r="F2" s="220" t="s">
        <v>1506</v>
      </c>
      <c r="G2" s="220" t="s">
        <v>1</v>
      </c>
      <c r="H2" s="220" t="s">
        <v>56</v>
      </c>
      <c r="I2" s="220" t="s">
        <v>1</v>
      </c>
      <c r="J2" s="217" t="s">
        <v>57</v>
      </c>
      <c r="K2" s="220"/>
      <c r="L2" s="220"/>
      <c r="M2" s="220"/>
    </row>
    <row r="3" spans="1:13" ht="12.95" customHeight="1">
      <c r="A3" s="216">
        <v>2</v>
      </c>
      <c r="B3" s="217" t="s">
        <v>58</v>
      </c>
      <c r="C3" s="217" t="s">
        <v>17</v>
      </c>
      <c r="D3" s="220" t="s">
        <v>9</v>
      </c>
      <c r="E3" s="220" t="s">
        <v>59</v>
      </c>
      <c r="F3" s="220" t="s">
        <v>1506</v>
      </c>
      <c r="G3" s="220" t="s">
        <v>1</v>
      </c>
      <c r="H3" s="220" t="s">
        <v>56</v>
      </c>
      <c r="I3" s="220" t="s">
        <v>1</v>
      </c>
      <c r="J3" s="217" t="s">
        <v>57</v>
      </c>
      <c r="K3" s="217"/>
      <c r="L3" s="220"/>
      <c r="M3" s="220"/>
    </row>
    <row r="4" spans="1:13" ht="12.95" customHeight="1">
      <c r="A4" s="216">
        <v>3</v>
      </c>
      <c r="B4" s="217" t="s">
        <v>61</v>
      </c>
      <c r="C4" s="217" t="s">
        <v>17</v>
      </c>
      <c r="D4" s="220" t="s">
        <v>9</v>
      </c>
      <c r="E4" s="220" t="s">
        <v>62</v>
      </c>
      <c r="F4" s="220" t="s">
        <v>1506</v>
      </c>
      <c r="G4" s="220" t="s">
        <v>1</v>
      </c>
      <c r="H4" s="220" t="s">
        <v>56</v>
      </c>
      <c r="I4" s="220" t="s">
        <v>1</v>
      </c>
      <c r="J4" s="217" t="s">
        <v>57</v>
      </c>
      <c r="K4" s="217"/>
      <c r="L4" s="220"/>
      <c r="M4" s="220"/>
    </row>
    <row r="5" spans="1:13" ht="12.95" customHeight="1">
      <c r="A5" s="216">
        <v>4</v>
      </c>
      <c r="B5" s="217" t="s">
        <v>64</v>
      </c>
      <c r="C5" s="217" t="s">
        <v>17</v>
      </c>
      <c r="D5" s="220" t="s">
        <v>9</v>
      </c>
      <c r="E5" s="220" t="s">
        <v>65</v>
      </c>
      <c r="F5" s="220" t="s">
        <v>1506</v>
      </c>
      <c r="G5" s="220" t="s">
        <v>1</v>
      </c>
      <c r="H5" s="220" t="s">
        <v>56</v>
      </c>
      <c r="I5" s="220" t="s">
        <v>1</v>
      </c>
      <c r="J5" s="217" t="s">
        <v>57</v>
      </c>
      <c r="K5" s="217"/>
      <c r="L5" s="220"/>
      <c r="M5" s="220"/>
    </row>
    <row r="6" spans="1:13" ht="12.95" customHeight="1">
      <c r="A6" s="409">
        <v>5</v>
      </c>
      <c r="B6" s="408" t="s">
        <v>67</v>
      </c>
      <c r="C6" s="408" t="s">
        <v>19</v>
      </c>
      <c r="D6" s="416" t="s">
        <v>1380</v>
      </c>
      <c r="E6" s="416" t="s">
        <v>69</v>
      </c>
      <c r="F6" s="417">
        <v>45871</v>
      </c>
      <c r="G6" s="416" t="s">
        <v>1</v>
      </c>
      <c r="H6" s="220" t="s">
        <v>2717</v>
      </c>
      <c r="I6" s="416" t="s">
        <v>53</v>
      </c>
      <c r="J6" s="410">
        <v>1</v>
      </c>
      <c r="K6" s="418"/>
      <c r="L6" s="418"/>
      <c r="M6" s="418"/>
    </row>
    <row r="7" spans="1:13" ht="12.95" customHeight="1">
      <c r="A7" s="409"/>
      <c r="B7" s="408"/>
      <c r="C7" s="408"/>
      <c r="D7" s="416"/>
      <c r="E7" s="416"/>
      <c r="F7" s="417"/>
      <c r="G7" s="416"/>
      <c r="H7" s="220" t="s">
        <v>2718</v>
      </c>
      <c r="I7" s="416"/>
      <c r="J7" s="410"/>
      <c r="K7" s="418"/>
      <c r="L7" s="418"/>
      <c r="M7" s="418"/>
    </row>
    <row r="8" spans="1:13" ht="12.95" customHeight="1">
      <c r="A8" s="216">
        <v>6</v>
      </c>
      <c r="B8" s="217" t="s">
        <v>74</v>
      </c>
      <c r="C8" s="217" t="s">
        <v>19</v>
      </c>
      <c r="D8" s="220" t="s">
        <v>76</v>
      </c>
      <c r="E8" s="220" t="s">
        <v>77</v>
      </c>
      <c r="F8" s="220" t="s">
        <v>79</v>
      </c>
      <c r="G8" s="220" t="s">
        <v>1</v>
      </c>
      <c r="H8" s="220" t="s">
        <v>80</v>
      </c>
      <c r="I8" s="220" t="s">
        <v>53</v>
      </c>
      <c r="J8" s="223">
        <v>1</v>
      </c>
      <c r="K8" s="221"/>
      <c r="L8" s="221"/>
      <c r="M8" s="221"/>
    </row>
    <row r="9" spans="1:13" ht="12.95" customHeight="1">
      <c r="A9" s="216">
        <v>7</v>
      </c>
      <c r="B9" s="217" t="s">
        <v>81</v>
      </c>
      <c r="C9" s="217" t="s">
        <v>19</v>
      </c>
      <c r="D9" s="220" t="s">
        <v>11</v>
      </c>
      <c r="E9" s="220" t="s">
        <v>82</v>
      </c>
      <c r="F9" s="220">
        <v>100</v>
      </c>
      <c r="G9" s="220" t="s">
        <v>1</v>
      </c>
      <c r="H9" s="220" t="s">
        <v>84</v>
      </c>
      <c r="I9" s="220" t="s">
        <v>1</v>
      </c>
      <c r="J9" s="217"/>
      <c r="K9" s="221"/>
      <c r="L9" s="221"/>
      <c r="M9" s="221"/>
    </row>
    <row r="10" spans="1:13" ht="12.95" customHeight="1">
      <c r="A10" s="216">
        <v>8</v>
      </c>
      <c r="B10" s="217" t="s">
        <v>85</v>
      </c>
      <c r="C10" s="217" t="s">
        <v>19</v>
      </c>
      <c r="D10" s="220" t="s">
        <v>11</v>
      </c>
      <c r="E10" s="220" t="s">
        <v>86</v>
      </c>
      <c r="F10" s="220">
        <v>181</v>
      </c>
      <c r="G10" s="220" t="s">
        <v>1</v>
      </c>
      <c r="H10" s="220" t="s">
        <v>84</v>
      </c>
      <c r="I10" s="220" t="s">
        <v>1</v>
      </c>
      <c r="J10" s="217"/>
      <c r="K10" s="221"/>
      <c r="L10" s="221"/>
      <c r="M10" s="221"/>
    </row>
    <row r="11" spans="1:13" ht="12.95" customHeight="1">
      <c r="A11" s="216">
        <v>9</v>
      </c>
      <c r="B11" s="217" t="s">
        <v>88</v>
      </c>
      <c r="C11" s="217" t="s">
        <v>19</v>
      </c>
      <c r="D11" s="220" t="s">
        <v>11</v>
      </c>
      <c r="E11" s="220" t="s">
        <v>89</v>
      </c>
      <c r="F11" s="220" t="s">
        <v>796</v>
      </c>
      <c r="G11" s="220" t="s">
        <v>1</v>
      </c>
      <c r="H11" s="220" t="s">
        <v>92</v>
      </c>
      <c r="I11" s="220" t="s">
        <v>53</v>
      </c>
      <c r="J11" s="223">
        <v>1</v>
      </c>
      <c r="K11" s="221"/>
      <c r="L11" s="221"/>
      <c r="M11" s="221"/>
    </row>
    <row r="12" spans="1:13" ht="12.95" customHeight="1">
      <c r="A12" s="409">
        <v>10</v>
      </c>
      <c r="B12" s="408" t="s">
        <v>93</v>
      </c>
      <c r="C12" s="408" t="s">
        <v>19</v>
      </c>
      <c r="D12" s="416" t="s">
        <v>11</v>
      </c>
      <c r="E12" s="416" t="s">
        <v>94</v>
      </c>
      <c r="F12" s="416" t="s">
        <v>96</v>
      </c>
      <c r="G12" s="416" t="s">
        <v>1</v>
      </c>
      <c r="H12" s="220" t="s">
        <v>2719</v>
      </c>
      <c r="I12" s="416" t="s">
        <v>1</v>
      </c>
      <c r="J12" s="408"/>
      <c r="K12" s="418"/>
      <c r="L12" s="418"/>
      <c r="M12" s="418"/>
    </row>
    <row r="13" spans="1:13" ht="12.95" customHeight="1">
      <c r="A13" s="409"/>
      <c r="B13" s="408"/>
      <c r="C13" s="408"/>
      <c r="D13" s="416"/>
      <c r="E13" s="416"/>
      <c r="F13" s="416"/>
      <c r="G13" s="416"/>
      <c r="H13" s="220" t="s">
        <v>2720</v>
      </c>
      <c r="I13" s="416"/>
      <c r="J13" s="408"/>
      <c r="K13" s="418"/>
      <c r="L13" s="418"/>
      <c r="M13" s="418"/>
    </row>
    <row r="14" spans="1:13" ht="12.95" customHeight="1">
      <c r="A14" s="409">
        <v>11</v>
      </c>
      <c r="B14" s="408" t="s">
        <v>98</v>
      </c>
      <c r="C14" s="408" t="s">
        <v>19</v>
      </c>
      <c r="D14" s="416" t="s">
        <v>11</v>
      </c>
      <c r="E14" s="416" t="s">
        <v>99</v>
      </c>
      <c r="F14" s="416" t="s">
        <v>101</v>
      </c>
      <c r="G14" s="416" t="s">
        <v>1</v>
      </c>
      <c r="H14" s="220" t="s">
        <v>2721</v>
      </c>
      <c r="I14" s="416" t="s">
        <v>1</v>
      </c>
      <c r="J14" s="408"/>
      <c r="K14" s="418"/>
      <c r="L14" s="418"/>
      <c r="M14" s="418"/>
    </row>
    <row r="15" spans="1:13" ht="12.95" customHeight="1">
      <c r="A15" s="409"/>
      <c r="B15" s="408"/>
      <c r="C15" s="408"/>
      <c r="D15" s="416"/>
      <c r="E15" s="416"/>
      <c r="F15" s="416"/>
      <c r="G15" s="416"/>
      <c r="H15" s="220" t="s">
        <v>2722</v>
      </c>
      <c r="I15" s="416"/>
      <c r="J15" s="408"/>
      <c r="K15" s="418"/>
      <c r="L15" s="418"/>
      <c r="M15" s="418"/>
    </row>
    <row r="16" spans="1:13" ht="12.95" customHeight="1">
      <c r="A16" s="216">
        <v>12</v>
      </c>
      <c r="B16" s="217" t="s">
        <v>103</v>
      </c>
      <c r="C16" s="217" t="s">
        <v>104</v>
      </c>
      <c r="D16" s="220" t="s">
        <v>11</v>
      </c>
      <c r="E16" s="220" t="s">
        <v>105</v>
      </c>
      <c r="F16" s="220" t="s">
        <v>107</v>
      </c>
      <c r="G16" s="220" t="s">
        <v>1</v>
      </c>
      <c r="H16" s="220" t="s">
        <v>92</v>
      </c>
      <c r="I16" s="220" t="s">
        <v>1</v>
      </c>
      <c r="J16" s="217"/>
      <c r="K16" s="220"/>
      <c r="L16" s="220"/>
      <c r="M16" s="220"/>
    </row>
    <row r="17" spans="1:13" ht="12.95" customHeight="1">
      <c r="A17" s="216">
        <v>13</v>
      </c>
      <c r="B17" s="217" t="s">
        <v>108</v>
      </c>
      <c r="C17" s="217" t="s">
        <v>19</v>
      </c>
      <c r="D17" s="220" t="s">
        <v>6</v>
      </c>
      <c r="E17" s="220" t="s">
        <v>109</v>
      </c>
      <c r="F17" s="220">
        <v>5770</v>
      </c>
      <c r="G17" s="220" t="s">
        <v>1</v>
      </c>
      <c r="H17" s="220" t="s">
        <v>551</v>
      </c>
      <c r="I17" s="220" t="s">
        <v>53</v>
      </c>
      <c r="J17" s="223">
        <v>1</v>
      </c>
      <c r="K17" s="221"/>
      <c r="L17" s="221"/>
      <c r="M17" s="221"/>
    </row>
    <row r="18" spans="1:13" ht="12.95" customHeight="1">
      <c r="A18" s="216">
        <v>14</v>
      </c>
      <c r="B18" s="217" t="s">
        <v>113</v>
      </c>
      <c r="C18" s="217" t="s">
        <v>19</v>
      </c>
      <c r="D18" s="220" t="s">
        <v>6</v>
      </c>
      <c r="E18" s="220" t="s">
        <v>114</v>
      </c>
      <c r="F18" s="220">
        <v>5772</v>
      </c>
      <c r="G18" s="220" t="s">
        <v>1</v>
      </c>
      <c r="H18" s="220" t="s">
        <v>551</v>
      </c>
      <c r="I18" s="220" t="s">
        <v>53</v>
      </c>
      <c r="J18" s="223">
        <v>1</v>
      </c>
      <c r="K18" s="221"/>
      <c r="L18" s="221"/>
      <c r="M18" s="221"/>
    </row>
    <row r="19" spans="1:13" ht="12.95" customHeight="1">
      <c r="A19" s="216">
        <v>17</v>
      </c>
      <c r="B19" s="217" t="s">
        <v>118</v>
      </c>
      <c r="C19" s="217" t="s">
        <v>19</v>
      </c>
      <c r="D19" s="220" t="s">
        <v>1380</v>
      </c>
      <c r="E19" s="220" t="s">
        <v>2452</v>
      </c>
      <c r="F19" s="222">
        <v>45870.988194444442</v>
      </c>
      <c r="G19" s="220" t="s">
        <v>1</v>
      </c>
      <c r="H19" s="220" t="s">
        <v>56</v>
      </c>
      <c r="I19" s="220" t="s">
        <v>53</v>
      </c>
      <c r="J19" s="223">
        <v>1</v>
      </c>
      <c r="K19" s="221"/>
      <c r="L19" s="221"/>
      <c r="M19" s="221"/>
    </row>
    <row r="20" spans="1:13" ht="12.95" customHeight="1">
      <c r="A20" s="216">
        <v>18</v>
      </c>
      <c r="B20" s="217" t="s">
        <v>122</v>
      </c>
      <c r="C20" s="217" t="s">
        <v>19</v>
      </c>
      <c r="D20" s="220" t="s">
        <v>1380</v>
      </c>
      <c r="E20" s="220" t="s">
        <v>2453</v>
      </c>
      <c r="F20" s="222">
        <v>45870.900694444441</v>
      </c>
      <c r="G20" s="220" t="s">
        <v>1</v>
      </c>
      <c r="H20" s="220" t="s">
        <v>56</v>
      </c>
      <c r="I20" s="220" t="s">
        <v>1</v>
      </c>
      <c r="J20" s="223">
        <v>1</v>
      </c>
      <c r="K20" s="221"/>
      <c r="L20" s="221"/>
      <c r="M20" s="221"/>
    </row>
    <row r="21" spans="1:13" ht="12.95" customHeight="1">
      <c r="A21" s="409">
        <v>19</v>
      </c>
      <c r="B21" s="408" t="s">
        <v>125</v>
      </c>
      <c r="C21" s="408" t="s">
        <v>19</v>
      </c>
      <c r="D21" s="416" t="s">
        <v>680</v>
      </c>
      <c r="E21" s="416" t="s">
        <v>126</v>
      </c>
      <c r="F21" s="416">
        <v>942442</v>
      </c>
      <c r="G21" s="416" t="s">
        <v>1</v>
      </c>
      <c r="H21" s="220" t="s">
        <v>2723</v>
      </c>
      <c r="I21" s="416" t="s">
        <v>53</v>
      </c>
      <c r="J21" s="410">
        <v>1</v>
      </c>
      <c r="K21" s="418"/>
      <c r="L21" s="418"/>
      <c r="M21" s="418"/>
    </row>
    <row r="22" spans="1:13" ht="12.95" customHeight="1">
      <c r="A22" s="409"/>
      <c r="B22" s="408"/>
      <c r="C22" s="408"/>
      <c r="D22" s="416"/>
      <c r="E22" s="416"/>
      <c r="F22" s="416"/>
      <c r="G22" s="416"/>
      <c r="H22" s="220" t="s">
        <v>2724</v>
      </c>
      <c r="I22" s="416"/>
      <c r="J22" s="410"/>
      <c r="K22" s="418"/>
      <c r="L22" s="418"/>
      <c r="M22" s="418"/>
    </row>
    <row r="23" spans="1:13" ht="12.95" customHeight="1">
      <c r="A23" s="216">
        <v>20</v>
      </c>
      <c r="B23" s="217" t="s">
        <v>129</v>
      </c>
      <c r="C23" s="217" t="s">
        <v>19</v>
      </c>
      <c r="D23" s="220" t="s">
        <v>8</v>
      </c>
      <c r="E23" s="220" t="s">
        <v>130</v>
      </c>
      <c r="F23" s="220">
        <v>7.9859999999999998</v>
      </c>
      <c r="G23" s="220" t="s">
        <v>1</v>
      </c>
      <c r="H23" s="220" t="s">
        <v>133</v>
      </c>
      <c r="I23" s="220" t="s">
        <v>1</v>
      </c>
      <c r="J23" s="223">
        <v>1</v>
      </c>
      <c r="K23" s="221"/>
      <c r="L23" s="221"/>
      <c r="M23" s="221"/>
    </row>
    <row r="24" spans="1:13" ht="12.95" customHeight="1">
      <c r="A24" s="216">
        <v>21</v>
      </c>
      <c r="B24" s="217" t="s">
        <v>134</v>
      </c>
      <c r="C24" s="217" t="s">
        <v>19</v>
      </c>
      <c r="D24" s="220" t="s">
        <v>8</v>
      </c>
      <c r="E24" s="220" t="s">
        <v>135</v>
      </c>
      <c r="F24" s="220">
        <v>16043.874</v>
      </c>
      <c r="G24" s="220" t="s">
        <v>1</v>
      </c>
      <c r="H24" s="220" t="s">
        <v>138</v>
      </c>
      <c r="I24" s="220"/>
      <c r="J24" s="217"/>
      <c r="K24" s="221"/>
      <c r="L24" s="221"/>
      <c r="M24" s="221"/>
    </row>
    <row r="25" spans="1:13" ht="12.95" customHeight="1">
      <c r="A25" s="216">
        <v>22</v>
      </c>
      <c r="B25" s="217" t="s">
        <v>139</v>
      </c>
      <c r="C25" s="217" t="s">
        <v>18</v>
      </c>
      <c r="D25" s="220" t="s">
        <v>5</v>
      </c>
      <c r="E25" s="220" t="s">
        <v>140</v>
      </c>
      <c r="F25" s="220">
        <v>66</v>
      </c>
      <c r="G25" s="220" t="s">
        <v>1</v>
      </c>
      <c r="H25" s="220" t="s">
        <v>144</v>
      </c>
      <c r="I25" s="220" t="s">
        <v>53</v>
      </c>
      <c r="J25" s="217"/>
      <c r="K25" s="221"/>
      <c r="L25" s="221"/>
      <c r="M25" s="221"/>
    </row>
    <row r="26" spans="1:13" ht="12.95" customHeight="1">
      <c r="A26" s="216">
        <v>23</v>
      </c>
      <c r="B26" s="217" t="s">
        <v>145</v>
      </c>
      <c r="C26" s="217" t="s">
        <v>18</v>
      </c>
      <c r="D26" s="220" t="s">
        <v>5</v>
      </c>
      <c r="E26" s="220" t="s">
        <v>146</v>
      </c>
      <c r="F26" s="220">
        <v>104</v>
      </c>
      <c r="G26" s="220" t="s">
        <v>1</v>
      </c>
      <c r="H26" s="220" t="s">
        <v>138</v>
      </c>
      <c r="I26" s="220" t="s">
        <v>53</v>
      </c>
      <c r="J26" s="217"/>
      <c r="K26" s="221"/>
      <c r="L26" s="221"/>
      <c r="M26" s="221"/>
    </row>
    <row r="27" spans="1:13" ht="12.95" customHeight="1">
      <c r="A27" s="216">
        <v>25</v>
      </c>
      <c r="B27" s="217" t="s">
        <v>150</v>
      </c>
      <c r="C27" s="217" t="s">
        <v>19</v>
      </c>
      <c r="D27" s="220" t="s">
        <v>13</v>
      </c>
      <c r="E27" s="220" t="s">
        <v>151</v>
      </c>
      <c r="F27" s="220">
        <v>424</v>
      </c>
      <c r="G27" s="220" t="s">
        <v>1</v>
      </c>
      <c r="H27" s="220" t="s">
        <v>154</v>
      </c>
      <c r="I27" s="220" t="s">
        <v>1</v>
      </c>
      <c r="J27" s="217"/>
      <c r="K27" s="221"/>
      <c r="L27" s="221"/>
      <c r="M27" s="221"/>
    </row>
    <row r="28" spans="1:13" ht="12.95" customHeight="1">
      <c r="A28" s="409">
        <v>25</v>
      </c>
      <c r="B28" s="408" t="s">
        <v>155</v>
      </c>
      <c r="C28" s="408" t="s">
        <v>19</v>
      </c>
      <c r="D28" s="416" t="s">
        <v>13</v>
      </c>
      <c r="E28" s="416" t="s">
        <v>156</v>
      </c>
      <c r="F28" s="416">
        <v>1598.45</v>
      </c>
      <c r="G28" s="416" t="s">
        <v>1</v>
      </c>
      <c r="H28" s="220" t="s">
        <v>154</v>
      </c>
      <c r="I28" s="416" t="s">
        <v>1</v>
      </c>
      <c r="J28" s="408"/>
      <c r="K28" s="418"/>
      <c r="L28" s="418"/>
      <c r="M28" s="418"/>
    </row>
    <row r="29" spans="1:13" ht="12.95" customHeight="1">
      <c r="A29" s="409"/>
      <c r="B29" s="408"/>
      <c r="C29" s="408"/>
      <c r="D29" s="416"/>
      <c r="E29" s="416"/>
      <c r="F29" s="416"/>
      <c r="G29" s="416"/>
      <c r="H29" s="220" t="s">
        <v>144</v>
      </c>
      <c r="I29" s="416"/>
      <c r="J29" s="408"/>
      <c r="K29" s="418"/>
      <c r="L29" s="418"/>
      <c r="M29" s="418"/>
    </row>
    <row r="30" spans="1:13" ht="12.95" customHeight="1">
      <c r="A30" s="409">
        <v>26</v>
      </c>
      <c r="B30" s="408" t="s">
        <v>160</v>
      </c>
      <c r="C30" s="408" t="s">
        <v>19</v>
      </c>
      <c r="D30" s="416" t="s">
        <v>9</v>
      </c>
      <c r="E30" s="416" t="s">
        <v>161</v>
      </c>
      <c r="F30" s="416">
        <v>2</v>
      </c>
      <c r="G30" s="416" t="s">
        <v>1</v>
      </c>
      <c r="H30" s="220" t="s">
        <v>133</v>
      </c>
      <c r="I30" s="416" t="s">
        <v>1</v>
      </c>
      <c r="J30" s="410">
        <v>1</v>
      </c>
      <c r="K30" s="418"/>
      <c r="L30" s="418"/>
      <c r="M30" s="418"/>
    </row>
    <row r="31" spans="1:13" ht="12.95" customHeight="1">
      <c r="A31" s="409"/>
      <c r="B31" s="408"/>
      <c r="C31" s="408"/>
      <c r="D31" s="416"/>
      <c r="E31" s="416"/>
      <c r="F31" s="416"/>
      <c r="G31" s="416"/>
      <c r="H31" s="220" t="s">
        <v>2725</v>
      </c>
      <c r="I31" s="416"/>
      <c r="J31" s="410"/>
      <c r="K31" s="418"/>
      <c r="L31" s="418"/>
      <c r="M31" s="418"/>
    </row>
    <row r="32" spans="1:13" ht="12.95" customHeight="1">
      <c r="A32" s="409"/>
      <c r="B32" s="408"/>
      <c r="C32" s="408"/>
      <c r="D32" s="416"/>
      <c r="E32" s="416"/>
      <c r="F32" s="416"/>
      <c r="G32" s="416"/>
      <c r="H32" s="220" t="s">
        <v>634</v>
      </c>
      <c r="I32" s="416"/>
      <c r="J32" s="410"/>
      <c r="K32" s="418"/>
      <c r="L32" s="418"/>
      <c r="M32" s="418"/>
    </row>
    <row r="33" spans="1:13" ht="12.95" customHeight="1">
      <c r="A33" s="409"/>
      <c r="B33" s="408"/>
      <c r="C33" s="408"/>
      <c r="D33" s="416"/>
      <c r="E33" s="416"/>
      <c r="F33" s="416"/>
      <c r="G33" s="416"/>
      <c r="H33" s="220" t="s">
        <v>638</v>
      </c>
      <c r="I33" s="416"/>
      <c r="J33" s="410"/>
      <c r="K33" s="418"/>
      <c r="L33" s="418"/>
      <c r="M33" s="418"/>
    </row>
    <row r="34" spans="1:13" ht="12.95" customHeight="1">
      <c r="A34" s="216">
        <v>27</v>
      </c>
      <c r="B34" s="217" t="s">
        <v>165</v>
      </c>
      <c r="C34" s="217" t="s">
        <v>19</v>
      </c>
      <c r="D34" s="220" t="s">
        <v>9</v>
      </c>
      <c r="E34" s="220" t="s">
        <v>166</v>
      </c>
      <c r="F34" s="220">
        <v>6.02</v>
      </c>
      <c r="G34" s="220" t="s">
        <v>1</v>
      </c>
      <c r="H34" s="220" t="s">
        <v>168</v>
      </c>
      <c r="I34" s="220" t="s">
        <v>1</v>
      </c>
      <c r="J34" s="223">
        <v>1</v>
      </c>
      <c r="K34" s="221"/>
      <c r="L34" s="221"/>
      <c r="M34" s="221"/>
    </row>
    <row r="35" spans="1:13" ht="12.95" customHeight="1">
      <c r="A35" s="216">
        <v>28</v>
      </c>
      <c r="B35" s="217" t="s">
        <v>169</v>
      </c>
      <c r="C35" s="217" t="s">
        <v>19</v>
      </c>
      <c r="D35" s="220" t="s">
        <v>8</v>
      </c>
      <c r="E35" s="220" t="s">
        <v>170</v>
      </c>
      <c r="F35" s="220">
        <v>167.70599999999999</v>
      </c>
      <c r="G35" s="220" t="s">
        <v>1</v>
      </c>
      <c r="H35" s="220" t="s">
        <v>133</v>
      </c>
      <c r="I35" s="220" t="s">
        <v>1</v>
      </c>
      <c r="J35" s="223">
        <v>1</v>
      </c>
      <c r="K35" s="221"/>
      <c r="L35" s="221"/>
      <c r="M35" s="221"/>
    </row>
    <row r="36" spans="1:13" ht="12.95" customHeight="1">
      <c r="A36" s="409">
        <v>29</v>
      </c>
      <c r="B36" s="408" t="s">
        <v>173</v>
      </c>
      <c r="C36" s="408" t="s">
        <v>19</v>
      </c>
      <c r="D36" s="416" t="s">
        <v>10</v>
      </c>
      <c r="E36" s="416" t="s">
        <v>174</v>
      </c>
      <c r="F36" s="416">
        <v>9379.1579999999994</v>
      </c>
      <c r="G36" s="416" t="s">
        <v>1</v>
      </c>
      <c r="H36" s="220" t="s">
        <v>154</v>
      </c>
      <c r="I36" s="416" t="s">
        <v>1</v>
      </c>
      <c r="J36" s="408"/>
      <c r="K36" s="418"/>
      <c r="L36" s="418"/>
      <c r="M36" s="418"/>
    </row>
    <row r="37" spans="1:13" ht="12.95" customHeight="1">
      <c r="A37" s="409"/>
      <c r="B37" s="408"/>
      <c r="C37" s="408"/>
      <c r="D37" s="416"/>
      <c r="E37" s="416"/>
      <c r="F37" s="416"/>
      <c r="G37" s="416"/>
      <c r="H37" s="220" t="s">
        <v>144</v>
      </c>
      <c r="I37" s="416"/>
      <c r="J37" s="408"/>
      <c r="K37" s="418"/>
      <c r="L37" s="418"/>
      <c r="M37" s="418"/>
    </row>
    <row r="38" spans="1:13" ht="12.95" customHeight="1">
      <c r="A38" s="409"/>
      <c r="B38" s="408"/>
      <c r="C38" s="408"/>
      <c r="D38" s="416"/>
      <c r="E38" s="416"/>
      <c r="F38" s="416"/>
      <c r="G38" s="416"/>
      <c r="H38" s="220" t="s">
        <v>2726</v>
      </c>
      <c r="I38" s="416"/>
      <c r="J38" s="408"/>
      <c r="K38" s="418"/>
      <c r="L38" s="418"/>
      <c r="M38" s="418"/>
    </row>
    <row r="39" spans="1:13" ht="12.95" customHeight="1">
      <c r="A39" s="216">
        <v>30</v>
      </c>
      <c r="B39" s="217" t="s">
        <v>178</v>
      </c>
      <c r="C39" s="217" t="s">
        <v>19</v>
      </c>
      <c r="D39" s="220" t="s">
        <v>10</v>
      </c>
      <c r="E39" s="220" t="s">
        <v>180</v>
      </c>
      <c r="F39" s="220">
        <v>25423.031999999999</v>
      </c>
      <c r="G39" s="220" t="s">
        <v>1</v>
      </c>
      <c r="H39" s="220" t="s">
        <v>183</v>
      </c>
      <c r="I39" s="220" t="s">
        <v>1</v>
      </c>
      <c r="J39" s="217"/>
      <c r="K39" s="221"/>
      <c r="L39" s="221"/>
      <c r="M39" s="221"/>
    </row>
    <row r="40" spans="1:13" ht="12.95" customHeight="1">
      <c r="A40" s="409">
        <v>31</v>
      </c>
      <c r="B40" s="408" t="s">
        <v>184</v>
      </c>
      <c r="C40" s="408" t="s">
        <v>19</v>
      </c>
      <c r="D40" s="416" t="s">
        <v>10</v>
      </c>
      <c r="E40" s="416" t="s">
        <v>185</v>
      </c>
      <c r="F40" s="416">
        <v>0</v>
      </c>
      <c r="G40" s="416" t="s">
        <v>1</v>
      </c>
      <c r="H40" s="220" t="s">
        <v>154</v>
      </c>
      <c r="I40" s="416" t="s">
        <v>1</v>
      </c>
      <c r="J40" s="408"/>
      <c r="K40" s="418"/>
      <c r="L40" s="418"/>
      <c r="M40" s="418"/>
    </row>
    <row r="41" spans="1:13" ht="12.95" customHeight="1">
      <c r="A41" s="409"/>
      <c r="B41" s="408"/>
      <c r="C41" s="408"/>
      <c r="D41" s="416"/>
      <c r="E41" s="416"/>
      <c r="F41" s="416"/>
      <c r="G41" s="416"/>
      <c r="H41" s="220" t="s">
        <v>144</v>
      </c>
      <c r="I41" s="416"/>
      <c r="J41" s="408"/>
      <c r="K41" s="418"/>
      <c r="L41" s="418"/>
      <c r="M41" s="418"/>
    </row>
    <row r="42" spans="1:13" ht="12.95" customHeight="1">
      <c r="A42" s="409"/>
      <c r="B42" s="408"/>
      <c r="C42" s="408"/>
      <c r="D42" s="416"/>
      <c r="E42" s="416"/>
      <c r="F42" s="416"/>
      <c r="G42" s="416"/>
      <c r="H42" s="220" t="s">
        <v>2726</v>
      </c>
      <c r="I42" s="416"/>
      <c r="J42" s="408"/>
      <c r="K42" s="418"/>
      <c r="L42" s="418"/>
      <c r="M42" s="418"/>
    </row>
    <row r="43" spans="1:13" ht="12.95" customHeight="1">
      <c r="A43" s="409">
        <v>32</v>
      </c>
      <c r="B43" s="408" t="s">
        <v>187</v>
      </c>
      <c r="C43" s="408" t="s">
        <v>19</v>
      </c>
      <c r="D43" s="416" t="s">
        <v>10</v>
      </c>
      <c r="E43" s="416" t="s">
        <v>188</v>
      </c>
      <c r="F43" s="416">
        <v>3386.0639999999999</v>
      </c>
      <c r="G43" s="416" t="s">
        <v>1</v>
      </c>
      <c r="H43" s="220" t="s">
        <v>154</v>
      </c>
      <c r="I43" s="416" t="s">
        <v>1</v>
      </c>
      <c r="J43" s="408"/>
      <c r="K43" s="418"/>
      <c r="L43" s="418"/>
      <c r="M43" s="418"/>
    </row>
    <row r="44" spans="1:13" ht="12.95" customHeight="1">
      <c r="A44" s="409"/>
      <c r="B44" s="408"/>
      <c r="C44" s="408"/>
      <c r="D44" s="416"/>
      <c r="E44" s="416"/>
      <c r="F44" s="416"/>
      <c r="G44" s="416"/>
      <c r="H44" s="220" t="s">
        <v>144</v>
      </c>
      <c r="I44" s="416"/>
      <c r="J44" s="408"/>
      <c r="K44" s="418"/>
      <c r="L44" s="418"/>
      <c r="M44" s="418"/>
    </row>
    <row r="45" spans="1:13" ht="12.95" customHeight="1">
      <c r="A45" s="409"/>
      <c r="B45" s="408"/>
      <c r="C45" s="408"/>
      <c r="D45" s="416"/>
      <c r="E45" s="416"/>
      <c r="F45" s="416"/>
      <c r="G45" s="416"/>
      <c r="H45" s="220" t="s">
        <v>2726</v>
      </c>
      <c r="I45" s="416"/>
      <c r="J45" s="408"/>
      <c r="K45" s="418"/>
      <c r="L45" s="418"/>
      <c r="M45" s="418"/>
    </row>
    <row r="46" spans="1:13" ht="12.95" customHeight="1">
      <c r="A46" s="409">
        <v>33</v>
      </c>
      <c r="B46" s="408" t="s">
        <v>191</v>
      </c>
      <c r="C46" s="408" t="s">
        <v>19</v>
      </c>
      <c r="D46" s="416" t="s">
        <v>8</v>
      </c>
      <c r="E46" s="416" t="s">
        <v>192</v>
      </c>
      <c r="F46" s="416">
        <v>167.70599999999999</v>
      </c>
      <c r="G46" s="416" t="s">
        <v>1</v>
      </c>
      <c r="H46" s="220" t="s">
        <v>2727</v>
      </c>
      <c r="I46" s="416" t="s">
        <v>1</v>
      </c>
      <c r="J46" s="408"/>
      <c r="K46" s="418"/>
      <c r="L46" s="418"/>
      <c r="M46" s="418"/>
    </row>
    <row r="47" spans="1:13" ht="12.95" customHeight="1">
      <c r="A47" s="409"/>
      <c r="B47" s="408"/>
      <c r="C47" s="408"/>
      <c r="D47" s="416"/>
      <c r="E47" s="416"/>
      <c r="F47" s="416"/>
      <c r="G47" s="416"/>
      <c r="H47" s="220" t="s">
        <v>138</v>
      </c>
      <c r="I47" s="416"/>
      <c r="J47" s="408"/>
      <c r="K47" s="418"/>
      <c r="L47" s="418"/>
      <c r="M47" s="418"/>
    </row>
    <row r="48" spans="1:13" ht="12.95" customHeight="1">
      <c r="A48" s="409"/>
      <c r="B48" s="408"/>
      <c r="C48" s="408"/>
      <c r="D48" s="416"/>
      <c r="E48" s="416"/>
      <c r="F48" s="416"/>
      <c r="G48" s="416"/>
      <c r="H48" s="220" t="s">
        <v>2726</v>
      </c>
      <c r="I48" s="416"/>
      <c r="J48" s="408"/>
      <c r="K48" s="418"/>
      <c r="L48" s="418"/>
      <c r="M48" s="418"/>
    </row>
    <row r="49" spans="1:13" ht="12.95" customHeight="1">
      <c r="A49" s="409">
        <v>34</v>
      </c>
      <c r="B49" s="408" t="s">
        <v>196</v>
      </c>
      <c r="C49" s="408" t="s">
        <v>19</v>
      </c>
      <c r="D49" s="416" t="s">
        <v>8</v>
      </c>
      <c r="E49" s="416" t="s">
        <v>197</v>
      </c>
      <c r="F49" s="416">
        <v>0</v>
      </c>
      <c r="G49" s="416" t="s">
        <v>1</v>
      </c>
      <c r="H49" s="220" t="s">
        <v>2727</v>
      </c>
      <c r="I49" s="416" t="s">
        <v>1</v>
      </c>
      <c r="J49" s="408"/>
      <c r="K49" s="418"/>
      <c r="L49" s="418"/>
      <c r="M49" s="418"/>
    </row>
    <row r="50" spans="1:13" ht="12.95" customHeight="1">
      <c r="A50" s="409"/>
      <c r="B50" s="408"/>
      <c r="C50" s="408"/>
      <c r="D50" s="416"/>
      <c r="E50" s="416"/>
      <c r="F50" s="416"/>
      <c r="G50" s="416"/>
      <c r="H50" s="220" t="s">
        <v>138</v>
      </c>
      <c r="I50" s="416"/>
      <c r="J50" s="408"/>
      <c r="K50" s="418"/>
      <c r="L50" s="418"/>
      <c r="M50" s="418"/>
    </row>
    <row r="51" spans="1:13" ht="12.95" customHeight="1">
      <c r="A51" s="409"/>
      <c r="B51" s="408"/>
      <c r="C51" s="408"/>
      <c r="D51" s="416"/>
      <c r="E51" s="416"/>
      <c r="F51" s="416"/>
      <c r="G51" s="416"/>
      <c r="H51" s="220" t="s">
        <v>2726</v>
      </c>
      <c r="I51" s="416"/>
      <c r="J51" s="408"/>
      <c r="K51" s="418"/>
      <c r="L51" s="418"/>
      <c r="M51" s="418"/>
    </row>
    <row r="52" spans="1:13" ht="12.95" customHeight="1">
      <c r="A52" s="409">
        <v>35</v>
      </c>
      <c r="B52" s="408" t="s">
        <v>200</v>
      </c>
      <c r="C52" s="408" t="s">
        <v>19</v>
      </c>
      <c r="D52" s="416" t="s">
        <v>8</v>
      </c>
      <c r="E52" s="416" t="s">
        <v>201</v>
      </c>
      <c r="F52" s="416">
        <v>15.972</v>
      </c>
      <c r="G52" s="416" t="s">
        <v>1</v>
      </c>
      <c r="H52" s="220" t="s">
        <v>133</v>
      </c>
      <c r="I52" s="416" t="s">
        <v>1</v>
      </c>
      <c r="J52" s="408"/>
      <c r="K52" s="418"/>
      <c r="L52" s="418"/>
      <c r="M52" s="418"/>
    </row>
    <row r="53" spans="1:13" ht="12.95" customHeight="1">
      <c r="A53" s="409"/>
      <c r="B53" s="408"/>
      <c r="C53" s="408"/>
      <c r="D53" s="416"/>
      <c r="E53" s="416"/>
      <c r="F53" s="416"/>
      <c r="G53" s="416"/>
      <c r="H53" s="220" t="s">
        <v>2728</v>
      </c>
      <c r="I53" s="416"/>
      <c r="J53" s="408"/>
      <c r="K53" s="418"/>
      <c r="L53" s="418"/>
      <c r="M53" s="418"/>
    </row>
    <row r="54" spans="1:13" ht="12.95" customHeight="1">
      <c r="A54" s="409">
        <v>36</v>
      </c>
      <c r="B54" s="408" t="s">
        <v>205</v>
      </c>
      <c r="C54" s="408" t="s">
        <v>19</v>
      </c>
      <c r="D54" s="416" t="s">
        <v>8</v>
      </c>
      <c r="E54" s="416" t="s">
        <v>206</v>
      </c>
      <c r="F54" s="416">
        <v>0</v>
      </c>
      <c r="G54" s="416" t="s">
        <v>1</v>
      </c>
      <c r="H54" s="220" t="s">
        <v>133</v>
      </c>
      <c r="I54" s="416" t="s">
        <v>1</v>
      </c>
      <c r="J54" s="408" t="s">
        <v>208</v>
      </c>
      <c r="K54" s="418"/>
      <c r="L54" s="418"/>
      <c r="M54" s="418"/>
    </row>
    <row r="55" spans="1:13" ht="12.95" customHeight="1">
      <c r="A55" s="409"/>
      <c r="B55" s="408"/>
      <c r="C55" s="408"/>
      <c r="D55" s="416"/>
      <c r="E55" s="416"/>
      <c r="F55" s="416"/>
      <c r="G55" s="416"/>
      <c r="H55" s="220" t="s">
        <v>2728</v>
      </c>
      <c r="I55" s="416"/>
      <c r="J55" s="408"/>
      <c r="K55" s="418"/>
      <c r="L55" s="418"/>
      <c r="M55" s="418"/>
    </row>
    <row r="56" spans="1:13" ht="12.95" customHeight="1">
      <c r="A56" s="409">
        <v>37</v>
      </c>
      <c r="B56" s="408" t="s">
        <v>209</v>
      </c>
      <c r="C56" s="408" t="s">
        <v>19</v>
      </c>
      <c r="D56" s="416" t="s">
        <v>8</v>
      </c>
      <c r="E56" s="416" t="s">
        <v>210</v>
      </c>
      <c r="F56" s="416">
        <v>0</v>
      </c>
      <c r="G56" s="416" t="s">
        <v>1</v>
      </c>
      <c r="H56" s="220" t="s">
        <v>133</v>
      </c>
      <c r="I56" s="416" t="s">
        <v>1</v>
      </c>
      <c r="J56" s="408" t="s">
        <v>208</v>
      </c>
      <c r="K56" s="418"/>
      <c r="L56" s="418"/>
      <c r="M56" s="418"/>
    </row>
    <row r="57" spans="1:13" ht="12.95" customHeight="1">
      <c r="A57" s="409"/>
      <c r="B57" s="408"/>
      <c r="C57" s="408"/>
      <c r="D57" s="416"/>
      <c r="E57" s="416"/>
      <c r="F57" s="416"/>
      <c r="G57" s="416"/>
      <c r="H57" s="220" t="s">
        <v>2728</v>
      </c>
      <c r="I57" s="416"/>
      <c r="J57" s="408"/>
      <c r="K57" s="418"/>
      <c r="L57" s="418"/>
      <c r="M57" s="418"/>
    </row>
    <row r="58" spans="1:13" ht="12.95" customHeight="1">
      <c r="A58" s="409">
        <v>38</v>
      </c>
      <c r="B58" s="408" t="s">
        <v>213</v>
      </c>
      <c r="C58" s="408" t="s">
        <v>19</v>
      </c>
      <c r="D58" s="416" t="s">
        <v>8</v>
      </c>
      <c r="E58" s="416" t="s">
        <v>214</v>
      </c>
      <c r="F58" s="416">
        <v>0</v>
      </c>
      <c r="G58" s="416" t="s">
        <v>1</v>
      </c>
      <c r="H58" s="220" t="s">
        <v>2727</v>
      </c>
      <c r="I58" s="416" t="s">
        <v>1</v>
      </c>
      <c r="J58" s="408"/>
      <c r="K58" s="418"/>
      <c r="L58" s="418"/>
      <c r="M58" s="418"/>
    </row>
    <row r="59" spans="1:13" ht="12.95" customHeight="1">
      <c r="A59" s="409"/>
      <c r="B59" s="408"/>
      <c r="C59" s="408"/>
      <c r="D59" s="416"/>
      <c r="E59" s="416"/>
      <c r="F59" s="416"/>
      <c r="G59" s="416"/>
      <c r="H59" s="220" t="s">
        <v>133</v>
      </c>
      <c r="I59" s="416"/>
      <c r="J59" s="408"/>
      <c r="K59" s="418"/>
      <c r="L59" s="418"/>
      <c r="M59" s="418"/>
    </row>
    <row r="60" spans="1:13" ht="12.95" customHeight="1">
      <c r="A60" s="409"/>
      <c r="B60" s="408"/>
      <c r="C60" s="408"/>
      <c r="D60" s="416"/>
      <c r="E60" s="416"/>
      <c r="F60" s="416"/>
      <c r="G60" s="416"/>
      <c r="H60" s="220" t="s">
        <v>2729</v>
      </c>
      <c r="I60" s="416"/>
      <c r="J60" s="408"/>
      <c r="K60" s="418"/>
      <c r="L60" s="418"/>
      <c r="M60" s="418"/>
    </row>
    <row r="61" spans="1:13" ht="12.95" customHeight="1">
      <c r="A61" s="409"/>
      <c r="B61" s="408"/>
      <c r="C61" s="408"/>
      <c r="D61" s="416"/>
      <c r="E61" s="416"/>
      <c r="F61" s="416"/>
      <c r="G61" s="416"/>
      <c r="H61" s="220" t="s">
        <v>2730</v>
      </c>
      <c r="I61" s="416"/>
      <c r="J61" s="408"/>
      <c r="K61" s="418"/>
      <c r="L61" s="418"/>
      <c r="M61" s="418"/>
    </row>
    <row r="62" spans="1:13" ht="12.95" customHeight="1">
      <c r="A62" s="409"/>
      <c r="B62" s="408"/>
      <c r="C62" s="408"/>
      <c r="D62" s="416"/>
      <c r="E62" s="416"/>
      <c r="F62" s="416"/>
      <c r="G62" s="416"/>
      <c r="H62" s="220" t="s">
        <v>2728</v>
      </c>
      <c r="I62" s="416"/>
      <c r="J62" s="408"/>
      <c r="K62" s="418"/>
      <c r="L62" s="418"/>
      <c r="M62" s="418"/>
    </row>
    <row r="63" spans="1:13" ht="12.95" customHeight="1">
      <c r="A63" s="409"/>
      <c r="B63" s="408"/>
      <c r="C63" s="408"/>
      <c r="D63" s="416"/>
      <c r="E63" s="416"/>
      <c r="F63" s="416"/>
      <c r="G63" s="416"/>
      <c r="H63" s="220" t="s">
        <v>2731</v>
      </c>
      <c r="I63" s="416"/>
      <c r="J63" s="408"/>
      <c r="K63" s="418"/>
      <c r="L63" s="418"/>
      <c r="M63" s="418"/>
    </row>
    <row r="64" spans="1:13" ht="12.95" customHeight="1">
      <c r="A64" s="409"/>
      <c r="B64" s="408"/>
      <c r="C64" s="408"/>
      <c r="D64" s="416"/>
      <c r="E64" s="416"/>
      <c r="F64" s="416"/>
      <c r="G64" s="416"/>
      <c r="H64" s="220" t="s">
        <v>2732</v>
      </c>
      <c r="I64" s="416"/>
      <c r="J64" s="408"/>
      <c r="K64" s="418"/>
      <c r="L64" s="418"/>
      <c r="M64" s="418"/>
    </row>
    <row r="65" spans="1:13" ht="12.95" customHeight="1">
      <c r="A65" s="409">
        <v>39</v>
      </c>
      <c r="B65" s="408" t="s">
        <v>218</v>
      </c>
      <c r="C65" s="408" t="s">
        <v>19</v>
      </c>
      <c r="D65" s="416" t="s">
        <v>8</v>
      </c>
      <c r="E65" s="416" t="s">
        <v>220</v>
      </c>
      <c r="F65" s="416">
        <v>0</v>
      </c>
      <c r="G65" s="416" t="s">
        <v>1</v>
      </c>
      <c r="H65" s="220" t="s">
        <v>2727</v>
      </c>
      <c r="I65" s="416" t="s">
        <v>1</v>
      </c>
      <c r="J65" s="408"/>
      <c r="K65" s="418"/>
      <c r="L65" s="418"/>
      <c r="M65" s="418"/>
    </row>
    <row r="66" spans="1:13" ht="12.95" customHeight="1">
      <c r="A66" s="409"/>
      <c r="B66" s="408"/>
      <c r="C66" s="408"/>
      <c r="D66" s="416"/>
      <c r="E66" s="416"/>
      <c r="F66" s="416"/>
      <c r="G66" s="416"/>
      <c r="H66" s="220" t="s">
        <v>133</v>
      </c>
      <c r="I66" s="416"/>
      <c r="J66" s="408"/>
      <c r="K66" s="418"/>
      <c r="L66" s="418"/>
      <c r="M66" s="418"/>
    </row>
    <row r="67" spans="1:13" ht="12.95" customHeight="1">
      <c r="A67" s="409"/>
      <c r="B67" s="408"/>
      <c r="C67" s="408"/>
      <c r="D67" s="416"/>
      <c r="E67" s="416"/>
      <c r="F67" s="416"/>
      <c r="G67" s="416"/>
      <c r="H67" s="220" t="s">
        <v>2728</v>
      </c>
      <c r="I67" s="416"/>
      <c r="J67" s="408"/>
      <c r="K67" s="418"/>
      <c r="L67" s="418"/>
      <c r="M67" s="418"/>
    </row>
    <row r="68" spans="1:13" ht="12.95" customHeight="1">
      <c r="A68" s="409">
        <v>40</v>
      </c>
      <c r="B68" s="408" t="s">
        <v>223</v>
      </c>
      <c r="C68" s="408" t="s">
        <v>19</v>
      </c>
      <c r="D68" s="416" t="s">
        <v>8</v>
      </c>
      <c r="E68" s="416" t="s">
        <v>224</v>
      </c>
      <c r="F68" s="416">
        <v>69478.2</v>
      </c>
      <c r="G68" s="416" t="s">
        <v>1</v>
      </c>
      <c r="H68" s="220" t="s">
        <v>739</v>
      </c>
      <c r="I68" s="416" t="s">
        <v>1</v>
      </c>
      <c r="J68" s="408"/>
      <c r="K68" s="418"/>
      <c r="L68" s="418"/>
      <c r="M68" s="418"/>
    </row>
    <row r="69" spans="1:13" ht="12.95" customHeight="1">
      <c r="A69" s="409"/>
      <c r="B69" s="408"/>
      <c r="C69" s="408"/>
      <c r="D69" s="416"/>
      <c r="E69" s="416"/>
      <c r="F69" s="416"/>
      <c r="G69" s="416"/>
      <c r="H69" s="220" t="s">
        <v>133</v>
      </c>
      <c r="I69" s="416"/>
      <c r="J69" s="408"/>
      <c r="K69" s="418"/>
      <c r="L69" s="418"/>
      <c r="M69" s="418"/>
    </row>
    <row r="70" spans="1:13" ht="12.95" customHeight="1">
      <c r="A70" s="409"/>
      <c r="B70" s="408"/>
      <c r="C70" s="408"/>
      <c r="D70" s="416"/>
      <c r="E70" s="416"/>
      <c r="F70" s="416"/>
      <c r="G70" s="416"/>
      <c r="H70" s="220" t="s">
        <v>2728</v>
      </c>
      <c r="I70" s="416"/>
      <c r="J70" s="408"/>
      <c r="K70" s="418"/>
      <c r="L70" s="418"/>
      <c r="M70" s="418"/>
    </row>
    <row r="71" spans="1:13" ht="12.95" customHeight="1">
      <c r="A71" s="409">
        <v>41</v>
      </c>
      <c r="B71" s="408" t="s">
        <v>228</v>
      </c>
      <c r="C71" s="408" t="s">
        <v>19</v>
      </c>
      <c r="D71" s="416" t="s">
        <v>8</v>
      </c>
      <c r="E71" s="416" t="s">
        <v>229</v>
      </c>
      <c r="F71" s="416">
        <v>0</v>
      </c>
      <c r="G71" s="416" t="s">
        <v>1</v>
      </c>
      <c r="H71" s="220" t="s">
        <v>739</v>
      </c>
      <c r="I71" s="416" t="s">
        <v>1</v>
      </c>
      <c r="J71" s="408"/>
      <c r="K71" s="418"/>
      <c r="L71" s="418"/>
      <c r="M71" s="418"/>
    </row>
    <row r="72" spans="1:13" ht="12.95" customHeight="1">
      <c r="A72" s="409"/>
      <c r="B72" s="408"/>
      <c r="C72" s="408"/>
      <c r="D72" s="416"/>
      <c r="E72" s="416"/>
      <c r="F72" s="416"/>
      <c r="G72" s="416"/>
      <c r="H72" s="220" t="s">
        <v>133</v>
      </c>
      <c r="I72" s="416"/>
      <c r="J72" s="408"/>
      <c r="K72" s="418"/>
      <c r="L72" s="418"/>
      <c r="M72" s="418"/>
    </row>
    <row r="73" spans="1:13" ht="12.95" customHeight="1">
      <c r="A73" s="409"/>
      <c r="B73" s="408"/>
      <c r="C73" s="408"/>
      <c r="D73" s="416"/>
      <c r="E73" s="416"/>
      <c r="F73" s="416"/>
      <c r="G73" s="416"/>
      <c r="H73" s="220" t="s">
        <v>2728</v>
      </c>
      <c r="I73" s="416"/>
      <c r="J73" s="408"/>
      <c r="K73" s="418"/>
      <c r="L73" s="418"/>
      <c r="M73" s="418"/>
    </row>
    <row r="74" spans="1:13" ht="12.95" customHeight="1">
      <c r="A74" s="409">
        <v>42</v>
      </c>
      <c r="B74" s="408" t="s">
        <v>231</v>
      </c>
      <c r="C74" s="408" t="s">
        <v>19</v>
      </c>
      <c r="D74" s="416" t="s">
        <v>232</v>
      </c>
      <c r="E74" s="416" t="s">
        <v>233</v>
      </c>
      <c r="F74" s="416">
        <v>1224.52</v>
      </c>
      <c r="G74" s="416" t="s">
        <v>1</v>
      </c>
      <c r="H74" s="220" t="s">
        <v>242</v>
      </c>
      <c r="I74" s="416" t="s">
        <v>1</v>
      </c>
      <c r="J74" s="408"/>
      <c r="K74" s="418"/>
      <c r="L74" s="418"/>
      <c r="M74" s="418"/>
    </row>
    <row r="75" spans="1:13" ht="12.95" customHeight="1">
      <c r="A75" s="409"/>
      <c r="B75" s="408"/>
      <c r="C75" s="408"/>
      <c r="D75" s="416"/>
      <c r="E75" s="416"/>
      <c r="F75" s="416"/>
      <c r="G75" s="416"/>
      <c r="H75" s="220" t="s">
        <v>133</v>
      </c>
      <c r="I75" s="416"/>
      <c r="J75" s="408"/>
      <c r="K75" s="418"/>
      <c r="L75" s="418"/>
      <c r="M75" s="418"/>
    </row>
    <row r="76" spans="1:13" ht="12.95" customHeight="1">
      <c r="A76" s="409"/>
      <c r="B76" s="408"/>
      <c r="C76" s="408"/>
      <c r="D76" s="416"/>
      <c r="E76" s="416"/>
      <c r="F76" s="416"/>
      <c r="G76" s="416"/>
      <c r="H76" s="220" t="s">
        <v>2728</v>
      </c>
      <c r="I76" s="416"/>
      <c r="J76" s="408"/>
      <c r="K76" s="418"/>
      <c r="L76" s="418"/>
      <c r="M76" s="418"/>
    </row>
    <row r="77" spans="1:13" ht="12.95" customHeight="1">
      <c r="A77" s="409">
        <v>43</v>
      </c>
      <c r="B77" s="408" t="s">
        <v>236</v>
      </c>
      <c r="C77" s="408" t="s">
        <v>19</v>
      </c>
      <c r="D77" s="416" t="s">
        <v>232</v>
      </c>
      <c r="E77" s="416" t="s">
        <v>237</v>
      </c>
      <c r="F77" s="416">
        <v>0</v>
      </c>
      <c r="G77" s="416" t="s">
        <v>1</v>
      </c>
      <c r="H77" s="220" t="s">
        <v>242</v>
      </c>
      <c r="I77" s="416" t="s">
        <v>1</v>
      </c>
      <c r="J77" s="408"/>
      <c r="K77" s="418"/>
      <c r="L77" s="418"/>
      <c r="M77" s="418"/>
    </row>
    <row r="78" spans="1:13" ht="12.95" customHeight="1">
      <c r="A78" s="409"/>
      <c r="B78" s="408"/>
      <c r="C78" s="408"/>
      <c r="D78" s="416"/>
      <c r="E78" s="416"/>
      <c r="F78" s="416"/>
      <c r="G78" s="416"/>
      <c r="H78" s="220" t="s">
        <v>133</v>
      </c>
      <c r="I78" s="416"/>
      <c r="J78" s="408"/>
      <c r="K78" s="418"/>
      <c r="L78" s="418"/>
      <c r="M78" s="418"/>
    </row>
    <row r="79" spans="1:13" ht="12.95" customHeight="1">
      <c r="A79" s="409"/>
      <c r="B79" s="408"/>
      <c r="C79" s="408"/>
      <c r="D79" s="416"/>
      <c r="E79" s="416"/>
      <c r="F79" s="416"/>
      <c r="G79" s="416"/>
      <c r="H79" s="220" t="s">
        <v>2728</v>
      </c>
      <c r="I79" s="416"/>
      <c r="J79" s="408"/>
      <c r="K79" s="418"/>
      <c r="L79" s="418"/>
      <c r="M79" s="418"/>
    </row>
    <row r="80" spans="1:13" ht="12.95" customHeight="1">
      <c r="A80" s="216">
        <v>44</v>
      </c>
      <c r="B80" s="217" t="s">
        <v>239</v>
      </c>
      <c r="C80" s="217" t="s">
        <v>19</v>
      </c>
      <c r="D80" s="220" t="s">
        <v>232</v>
      </c>
      <c r="E80" s="220" t="s">
        <v>240</v>
      </c>
      <c r="F80" s="220">
        <v>28790.861000000001</v>
      </c>
      <c r="G80" s="220" t="s">
        <v>1</v>
      </c>
      <c r="H80" s="220" t="s">
        <v>242</v>
      </c>
      <c r="I80" s="220" t="s">
        <v>1</v>
      </c>
      <c r="J80" s="217"/>
      <c r="K80" s="221"/>
      <c r="L80" s="221"/>
      <c r="M80" s="221"/>
    </row>
    <row r="81" spans="1:13" ht="12.95" customHeight="1">
      <c r="A81" s="216">
        <v>45</v>
      </c>
      <c r="B81" s="217" t="s">
        <v>243</v>
      </c>
      <c r="C81" s="217" t="s">
        <v>19</v>
      </c>
      <c r="D81" s="220" t="s">
        <v>232</v>
      </c>
      <c r="E81" s="220" t="s">
        <v>244</v>
      </c>
      <c r="F81" s="220">
        <v>30015.381000000001</v>
      </c>
      <c r="G81" s="220" t="s">
        <v>1</v>
      </c>
      <c r="H81" s="220" t="s">
        <v>242</v>
      </c>
      <c r="I81" s="220" t="s">
        <v>1</v>
      </c>
      <c r="J81" s="217"/>
      <c r="K81" s="221"/>
      <c r="L81" s="221"/>
      <c r="M81" s="221"/>
    </row>
    <row r="82" spans="1:13" ht="12.95" customHeight="1">
      <c r="A82" s="216">
        <v>46</v>
      </c>
      <c r="B82" s="217" t="s">
        <v>246</v>
      </c>
      <c r="C82" s="217" t="s">
        <v>17</v>
      </c>
      <c r="D82" s="220" t="s">
        <v>9</v>
      </c>
      <c r="E82" s="220" t="s">
        <v>247</v>
      </c>
      <c r="F82" s="220" t="s">
        <v>1506</v>
      </c>
      <c r="G82" s="220" t="s">
        <v>1</v>
      </c>
      <c r="H82" s="220" t="s">
        <v>56</v>
      </c>
      <c r="I82" s="220" t="s">
        <v>1</v>
      </c>
      <c r="J82" s="217" t="s">
        <v>57</v>
      </c>
      <c r="K82" s="217"/>
      <c r="L82" s="220"/>
      <c r="M82" s="220"/>
    </row>
    <row r="83" spans="1:13" ht="12.95" customHeight="1">
      <c r="A83" s="216">
        <v>47</v>
      </c>
      <c r="B83" s="217" t="s">
        <v>251</v>
      </c>
      <c r="C83" s="217" t="s">
        <v>17</v>
      </c>
      <c r="D83" s="220" t="s">
        <v>4</v>
      </c>
      <c r="E83" s="220" t="s">
        <v>252</v>
      </c>
      <c r="F83" s="220" t="s">
        <v>255</v>
      </c>
      <c r="G83" s="220" t="s">
        <v>1</v>
      </c>
      <c r="H83" s="220" t="s">
        <v>256</v>
      </c>
      <c r="I83" s="220" t="s">
        <v>53</v>
      </c>
      <c r="J83" s="217" t="s">
        <v>57</v>
      </c>
      <c r="K83" s="217"/>
      <c r="L83" s="220"/>
      <c r="M83" s="220"/>
    </row>
    <row r="84" spans="1:13" ht="12.95" customHeight="1">
      <c r="A84" s="216">
        <v>48</v>
      </c>
      <c r="B84" s="217" t="s">
        <v>257</v>
      </c>
      <c r="C84" s="217" t="s">
        <v>18</v>
      </c>
      <c r="D84" s="220" t="s">
        <v>5</v>
      </c>
      <c r="E84" s="220" t="s">
        <v>258</v>
      </c>
      <c r="F84" s="220" t="s">
        <v>260</v>
      </c>
      <c r="G84" s="220" t="s">
        <v>1</v>
      </c>
      <c r="H84" s="220" t="s">
        <v>261</v>
      </c>
      <c r="I84" s="220" t="s">
        <v>53</v>
      </c>
      <c r="J84" s="223">
        <v>1</v>
      </c>
      <c r="K84" s="221"/>
      <c r="L84" s="221"/>
      <c r="M84" s="221"/>
    </row>
    <row r="85" spans="1:13" ht="12.95" customHeight="1">
      <c r="A85" s="216">
        <v>49</v>
      </c>
      <c r="B85" s="217" t="s">
        <v>262</v>
      </c>
      <c r="C85" s="217" t="s">
        <v>18</v>
      </c>
      <c r="D85" s="220" t="s">
        <v>5</v>
      </c>
      <c r="E85" s="220" t="s">
        <v>263</v>
      </c>
      <c r="F85" s="220">
        <v>55688</v>
      </c>
      <c r="G85" s="220" t="s">
        <v>1</v>
      </c>
      <c r="H85" s="220" t="s">
        <v>266</v>
      </c>
      <c r="I85" s="220" t="s">
        <v>53</v>
      </c>
      <c r="J85" s="223">
        <v>1</v>
      </c>
      <c r="K85" s="221"/>
      <c r="L85" s="221"/>
      <c r="M85" s="221"/>
    </row>
    <row r="86" spans="1:13" ht="12.95" customHeight="1">
      <c r="A86" s="216">
        <v>50</v>
      </c>
      <c r="B86" s="217" t="s">
        <v>267</v>
      </c>
      <c r="C86" s="217" t="s">
        <v>17</v>
      </c>
      <c r="D86" s="220" t="s">
        <v>5</v>
      </c>
      <c r="E86" s="220" t="s">
        <v>268</v>
      </c>
      <c r="F86" s="220"/>
      <c r="G86" s="220" t="s">
        <v>1</v>
      </c>
      <c r="H86" s="220"/>
      <c r="I86" s="220"/>
      <c r="J86" s="217" t="s">
        <v>57</v>
      </c>
      <c r="K86" s="217"/>
      <c r="L86" s="220"/>
      <c r="M86" s="220"/>
    </row>
    <row r="87" spans="1:13" ht="12.95" customHeight="1">
      <c r="A87" s="216">
        <v>51</v>
      </c>
      <c r="B87" s="217" t="s">
        <v>272</v>
      </c>
      <c r="C87" s="217" t="s">
        <v>17</v>
      </c>
      <c r="D87" s="220" t="s">
        <v>12</v>
      </c>
      <c r="E87" s="220" t="s">
        <v>273</v>
      </c>
      <c r="F87" s="220">
        <v>667123456</v>
      </c>
      <c r="G87" s="220" t="s">
        <v>1</v>
      </c>
      <c r="H87" s="220"/>
      <c r="I87" s="220"/>
      <c r="J87" s="217" t="s">
        <v>57</v>
      </c>
      <c r="K87" s="217"/>
      <c r="L87" s="220"/>
      <c r="M87" s="220"/>
    </row>
    <row r="88" spans="1:13" ht="12.95" customHeight="1">
      <c r="A88" s="216">
        <v>52</v>
      </c>
      <c r="B88" s="217" t="s">
        <v>277</v>
      </c>
      <c r="C88" s="217" t="s">
        <v>17</v>
      </c>
      <c r="D88" s="220" t="s">
        <v>12</v>
      </c>
      <c r="E88" s="220" t="s">
        <v>278</v>
      </c>
      <c r="F88" s="220"/>
      <c r="G88" s="220" t="s">
        <v>1</v>
      </c>
      <c r="H88" s="220"/>
      <c r="I88" s="220"/>
      <c r="J88" s="217" t="s">
        <v>57</v>
      </c>
      <c r="K88" s="217"/>
      <c r="L88" s="220"/>
      <c r="M88" s="220"/>
    </row>
    <row r="89" spans="1:13" ht="12.95" customHeight="1">
      <c r="A89" s="216">
        <v>53</v>
      </c>
      <c r="B89" s="217" t="s">
        <v>281</v>
      </c>
      <c r="C89" s="217" t="s">
        <v>17</v>
      </c>
      <c r="D89" s="220" t="s">
        <v>12</v>
      </c>
      <c r="E89" s="220" t="s">
        <v>282</v>
      </c>
      <c r="F89" s="220"/>
      <c r="G89" s="220" t="s">
        <v>1</v>
      </c>
      <c r="H89" s="220"/>
      <c r="I89" s="220"/>
      <c r="J89" s="217" t="s">
        <v>57</v>
      </c>
      <c r="K89" s="217"/>
      <c r="L89" s="220"/>
      <c r="M89" s="220"/>
    </row>
    <row r="90" spans="1:13" ht="12.95" customHeight="1">
      <c r="A90" s="216">
        <v>54</v>
      </c>
      <c r="B90" s="217" t="s">
        <v>284</v>
      </c>
      <c r="C90" s="217" t="s">
        <v>18</v>
      </c>
      <c r="D90" s="220" t="s">
        <v>12</v>
      </c>
      <c r="E90" s="220" t="s">
        <v>285</v>
      </c>
      <c r="F90" s="220" t="s">
        <v>287</v>
      </c>
      <c r="G90" s="220" t="s">
        <v>1</v>
      </c>
      <c r="H90" s="220" t="s">
        <v>288</v>
      </c>
      <c r="I90" s="220" t="s">
        <v>53</v>
      </c>
      <c r="J90" s="217"/>
      <c r="K90" s="221"/>
      <c r="L90" s="221"/>
      <c r="M90" s="221"/>
    </row>
    <row r="91" spans="1:13" ht="12.95" customHeight="1">
      <c r="A91" s="216">
        <v>55</v>
      </c>
      <c r="B91" s="217" t="s">
        <v>289</v>
      </c>
      <c r="C91" s="217" t="s">
        <v>18</v>
      </c>
      <c r="D91" s="220" t="s">
        <v>12</v>
      </c>
      <c r="E91" s="220" t="s">
        <v>290</v>
      </c>
      <c r="F91" s="220" t="s">
        <v>292</v>
      </c>
      <c r="G91" s="220" t="s">
        <v>1</v>
      </c>
      <c r="H91" s="220" t="s">
        <v>293</v>
      </c>
      <c r="I91" s="220" t="s">
        <v>53</v>
      </c>
      <c r="J91" s="217"/>
      <c r="K91" s="221"/>
      <c r="L91" s="221"/>
      <c r="M91" s="221"/>
    </row>
    <row r="92" spans="1:13" ht="12.95" customHeight="1">
      <c r="A92" s="216">
        <v>56</v>
      </c>
      <c r="B92" s="217" t="s">
        <v>294</v>
      </c>
      <c r="C92" s="217" t="s">
        <v>18</v>
      </c>
      <c r="D92" s="220" t="s">
        <v>12</v>
      </c>
      <c r="E92" s="220" t="s">
        <v>295</v>
      </c>
      <c r="F92" s="220">
        <v>426</v>
      </c>
      <c r="G92" s="220" t="s">
        <v>1</v>
      </c>
      <c r="H92" s="220" t="s">
        <v>298</v>
      </c>
      <c r="I92" s="220" t="s">
        <v>53</v>
      </c>
      <c r="J92" s="217"/>
      <c r="K92" s="221"/>
      <c r="L92" s="221"/>
      <c r="M92" s="221"/>
    </row>
    <row r="93" spans="1:13" ht="12.95" customHeight="1">
      <c r="A93" s="216">
        <v>57</v>
      </c>
      <c r="B93" s="217" t="s">
        <v>299</v>
      </c>
      <c r="C93" s="217" t="s">
        <v>18</v>
      </c>
      <c r="D93" s="220" t="s">
        <v>12</v>
      </c>
      <c r="E93" s="220" t="s">
        <v>300</v>
      </c>
      <c r="F93" s="220">
        <v>4541</v>
      </c>
      <c r="G93" s="220" t="s">
        <v>1</v>
      </c>
      <c r="H93" s="220" t="s">
        <v>303</v>
      </c>
      <c r="I93" s="220" t="s">
        <v>53</v>
      </c>
      <c r="J93" s="217"/>
      <c r="K93" s="221"/>
      <c r="L93" s="221"/>
      <c r="M93" s="221"/>
    </row>
    <row r="94" spans="1:13" ht="12.95" customHeight="1">
      <c r="A94" s="216">
        <v>58</v>
      </c>
      <c r="B94" s="217" t="s">
        <v>304</v>
      </c>
      <c r="C94" s="217" t="s">
        <v>17</v>
      </c>
      <c r="D94" s="220" t="s">
        <v>12</v>
      </c>
      <c r="E94" s="220" t="s">
        <v>305</v>
      </c>
      <c r="F94" s="220"/>
      <c r="G94" s="220" t="s">
        <v>1</v>
      </c>
      <c r="H94" s="220" t="s">
        <v>307</v>
      </c>
      <c r="I94" s="220"/>
      <c r="J94" s="217" t="s">
        <v>57</v>
      </c>
      <c r="K94" s="217"/>
      <c r="L94" s="220"/>
      <c r="M94" s="220"/>
    </row>
    <row r="95" spans="1:13" ht="12.95" customHeight="1">
      <c r="A95" s="216">
        <v>59</v>
      </c>
      <c r="B95" s="217" t="s">
        <v>308</v>
      </c>
      <c r="C95" s="217" t="s">
        <v>17</v>
      </c>
      <c r="D95" s="220" t="s">
        <v>12</v>
      </c>
      <c r="E95" s="220" t="s">
        <v>309</v>
      </c>
      <c r="F95" s="220"/>
      <c r="G95" s="220" t="s">
        <v>1</v>
      </c>
      <c r="H95" s="220" t="s">
        <v>307</v>
      </c>
      <c r="I95" s="220"/>
      <c r="J95" s="217" t="s">
        <v>57</v>
      </c>
      <c r="K95" s="217"/>
      <c r="L95" s="220"/>
      <c r="M95" s="220"/>
    </row>
    <row r="96" spans="1:13" ht="12.95" customHeight="1">
      <c r="A96" s="216">
        <v>60</v>
      </c>
      <c r="B96" s="217" t="s">
        <v>311</v>
      </c>
      <c r="C96" s="217" t="s">
        <v>18</v>
      </c>
      <c r="D96" s="220" t="s">
        <v>12</v>
      </c>
      <c r="E96" s="220" t="s">
        <v>312</v>
      </c>
      <c r="F96" s="220">
        <v>3</v>
      </c>
      <c r="G96" s="220" t="s">
        <v>1</v>
      </c>
      <c r="H96" s="220" t="s">
        <v>315</v>
      </c>
      <c r="I96" s="220" t="s">
        <v>53</v>
      </c>
      <c r="J96" s="217"/>
      <c r="K96" s="221"/>
      <c r="L96" s="221"/>
      <c r="M96" s="221"/>
    </row>
    <row r="97" spans="1:13" ht="12.95" customHeight="1">
      <c r="A97" s="216">
        <v>61</v>
      </c>
      <c r="B97" s="217" t="s">
        <v>316</v>
      </c>
      <c r="C97" s="217" t="s">
        <v>18</v>
      </c>
      <c r="D97" s="220" t="s">
        <v>12</v>
      </c>
      <c r="E97" s="220" t="s">
        <v>317</v>
      </c>
      <c r="F97" s="220">
        <v>10</v>
      </c>
      <c r="G97" s="220" t="s">
        <v>1</v>
      </c>
      <c r="H97" s="220" t="s">
        <v>320</v>
      </c>
      <c r="I97" s="220" t="s">
        <v>53</v>
      </c>
      <c r="J97" s="217"/>
      <c r="K97" s="221"/>
      <c r="L97" s="221"/>
      <c r="M97" s="221"/>
    </row>
    <row r="98" spans="1:13" ht="12.95" customHeight="1">
      <c r="A98" s="216">
        <v>62</v>
      </c>
      <c r="B98" s="217" t="s">
        <v>321</v>
      </c>
      <c r="C98" s="217" t="s">
        <v>18</v>
      </c>
      <c r="D98" s="220" t="s">
        <v>12</v>
      </c>
      <c r="E98" s="220" t="s">
        <v>1513</v>
      </c>
      <c r="F98" s="220" t="s">
        <v>324</v>
      </c>
      <c r="G98" s="220" t="s">
        <v>1</v>
      </c>
      <c r="H98" s="220" t="s">
        <v>325</v>
      </c>
      <c r="I98" s="220" t="s">
        <v>53</v>
      </c>
      <c r="J98" s="217"/>
      <c r="K98" s="221"/>
      <c r="L98" s="221"/>
      <c r="M98" s="221"/>
    </row>
    <row r="99" spans="1:13" ht="12.95" customHeight="1">
      <c r="A99" s="216">
        <v>63</v>
      </c>
      <c r="B99" s="217" t="s">
        <v>326</v>
      </c>
      <c r="C99" s="217" t="s">
        <v>18</v>
      </c>
      <c r="D99" s="220" t="s">
        <v>12</v>
      </c>
      <c r="E99" s="220" t="s">
        <v>327</v>
      </c>
      <c r="F99" s="220" t="s">
        <v>324</v>
      </c>
      <c r="G99" s="220" t="s">
        <v>1</v>
      </c>
      <c r="H99" s="220" t="s">
        <v>329</v>
      </c>
      <c r="I99" s="220" t="s">
        <v>53</v>
      </c>
      <c r="J99" s="217"/>
      <c r="K99" s="221"/>
      <c r="L99" s="221"/>
      <c r="M99" s="221"/>
    </row>
    <row r="100" spans="1:13" ht="12.95" customHeight="1">
      <c r="A100" s="216">
        <v>64</v>
      </c>
      <c r="B100" s="217" t="s">
        <v>330</v>
      </c>
      <c r="C100" s="217" t="s">
        <v>18</v>
      </c>
      <c r="D100" s="220" t="s">
        <v>12</v>
      </c>
      <c r="E100" s="220" t="s">
        <v>331</v>
      </c>
      <c r="F100" s="220" t="s">
        <v>333</v>
      </c>
      <c r="G100" s="220" t="s">
        <v>1</v>
      </c>
      <c r="H100" s="220" t="s">
        <v>334</v>
      </c>
      <c r="I100" s="220" t="s">
        <v>53</v>
      </c>
      <c r="J100" s="217"/>
      <c r="K100" s="221"/>
      <c r="L100" s="221"/>
      <c r="M100" s="221"/>
    </row>
    <row r="101" spans="1:13" ht="12.95" customHeight="1">
      <c r="A101" s="216">
        <v>65</v>
      </c>
      <c r="B101" s="217" t="s">
        <v>335</v>
      </c>
      <c r="C101" s="217" t="s">
        <v>18</v>
      </c>
      <c r="D101" s="220" t="s">
        <v>12</v>
      </c>
      <c r="E101" s="220" t="s">
        <v>336</v>
      </c>
      <c r="F101" s="220" t="s">
        <v>338</v>
      </c>
      <c r="G101" s="220" t="s">
        <v>1</v>
      </c>
      <c r="H101" s="220" t="s">
        <v>339</v>
      </c>
      <c r="I101" s="220" t="s">
        <v>53</v>
      </c>
      <c r="J101" s="217"/>
      <c r="K101" s="221"/>
      <c r="L101" s="221"/>
      <c r="M101" s="221"/>
    </row>
    <row r="102" spans="1:13" ht="12.95" customHeight="1">
      <c r="A102" s="216">
        <v>66</v>
      </c>
      <c r="B102" s="217" t="s">
        <v>340</v>
      </c>
      <c r="C102" s="217" t="s">
        <v>18</v>
      </c>
      <c r="D102" s="220" t="s">
        <v>12</v>
      </c>
      <c r="E102" s="220" t="s">
        <v>341</v>
      </c>
      <c r="F102" s="220">
        <v>9980205</v>
      </c>
      <c r="G102" s="220" t="s">
        <v>1</v>
      </c>
      <c r="H102" s="220" t="s">
        <v>344</v>
      </c>
      <c r="I102" s="220" t="s">
        <v>53</v>
      </c>
      <c r="J102" s="217"/>
      <c r="K102" s="221"/>
      <c r="L102" s="221"/>
      <c r="M102" s="221"/>
    </row>
    <row r="103" spans="1:13" ht="12.95" customHeight="1">
      <c r="A103" s="216">
        <v>67</v>
      </c>
      <c r="B103" s="217" t="s">
        <v>345</v>
      </c>
      <c r="C103" s="217" t="s">
        <v>17</v>
      </c>
      <c r="D103" s="220" t="s">
        <v>12</v>
      </c>
      <c r="E103" s="220" t="s">
        <v>346</v>
      </c>
      <c r="F103" s="220" t="s">
        <v>348</v>
      </c>
      <c r="G103" s="220" t="s">
        <v>57</v>
      </c>
      <c r="H103" s="220" t="s">
        <v>349</v>
      </c>
      <c r="I103" s="220"/>
      <c r="J103" s="217" t="s">
        <v>57</v>
      </c>
      <c r="K103" s="217"/>
      <c r="L103" s="220"/>
      <c r="M103" s="220"/>
    </row>
    <row r="104" spans="1:13" ht="12.95" customHeight="1">
      <c r="A104" s="216">
        <v>68</v>
      </c>
      <c r="B104" s="217" t="s">
        <v>350</v>
      </c>
      <c r="C104" s="217" t="s">
        <v>17</v>
      </c>
      <c r="D104" s="220" t="s">
        <v>12</v>
      </c>
      <c r="E104" s="220" t="s">
        <v>351</v>
      </c>
      <c r="F104" s="220" t="s">
        <v>353</v>
      </c>
      <c r="G104" s="220" t="s">
        <v>57</v>
      </c>
      <c r="H104" s="220"/>
      <c r="I104" s="220"/>
      <c r="J104" s="217" t="s">
        <v>57</v>
      </c>
      <c r="K104" s="217"/>
      <c r="L104" s="220"/>
      <c r="M104" s="220"/>
    </row>
    <row r="105" spans="1:13" ht="12.95" customHeight="1">
      <c r="A105" s="216">
        <v>69</v>
      </c>
      <c r="B105" s="217" t="s">
        <v>355</v>
      </c>
      <c r="C105" s="217" t="s">
        <v>18</v>
      </c>
      <c r="D105" s="220" t="s">
        <v>12</v>
      </c>
      <c r="E105" s="220" t="s">
        <v>356</v>
      </c>
      <c r="F105" s="220" t="s">
        <v>333</v>
      </c>
      <c r="G105" s="220" t="s">
        <v>1</v>
      </c>
      <c r="H105" s="220" t="s">
        <v>358</v>
      </c>
      <c r="I105" s="220" t="s">
        <v>53</v>
      </c>
      <c r="J105" s="217"/>
      <c r="K105" s="221"/>
      <c r="L105" s="221"/>
      <c r="M105" s="221"/>
    </row>
    <row r="106" spans="1:13" ht="12.95" customHeight="1">
      <c r="A106" s="216">
        <v>71</v>
      </c>
      <c r="B106" s="217" t="s">
        <v>359</v>
      </c>
      <c r="C106" s="217" t="s">
        <v>18</v>
      </c>
      <c r="D106" s="220" t="s">
        <v>12</v>
      </c>
      <c r="E106" s="220" t="s">
        <v>360</v>
      </c>
      <c r="F106" s="220" t="s">
        <v>333</v>
      </c>
      <c r="G106" s="220" t="s">
        <v>1</v>
      </c>
      <c r="H106" s="220" t="s">
        <v>362</v>
      </c>
      <c r="I106" s="220" t="s">
        <v>53</v>
      </c>
      <c r="J106" s="217"/>
      <c r="K106" s="221"/>
      <c r="L106" s="221"/>
      <c r="M106" s="221"/>
    </row>
    <row r="107" spans="1:13" ht="12.95" customHeight="1">
      <c r="A107" s="216">
        <v>72</v>
      </c>
      <c r="B107" s="217" t="s">
        <v>363</v>
      </c>
      <c r="C107" s="217" t="s">
        <v>17</v>
      </c>
      <c r="D107" s="220" t="s">
        <v>12</v>
      </c>
      <c r="E107" s="220" t="s">
        <v>364</v>
      </c>
      <c r="F107" s="220" t="s">
        <v>367</v>
      </c>
      <c r="G107" s="220" t="s">
        <v>57</v>
      </c>
      <c r="H107" s="220" t="s">
        <v>368</v>
      </c>
      <c r="I107" s="220"/>
      <c r="J107" s="217" t="s">
        <v>57</v>
      </c>
      <c r="K107" s="217"/>
      <c r="L107" s="220"/>
      <c r="M107" s="220"/>
    </row>
    <row r="108" spans="1:13" ht="12.95" customHeight="1">
      <c r="A108" s="216">
        <v>73</v>
      </c>
      <c r="B108" s="217" t="s">
        <v>369</v>
      </c>
      <c r="C108" s="217" t="s">
        <v>17</v>
      </c>
      <c r="D108" s="220" t="s">
        <v>12</v>
      </c>
      <c r="E108" s="220" t="s">
        <v>370</v>
      </c>
      <c r="F108" s="220" t="s">
        <v>372</v>
      </c>
      <c r="G108" s="220" t="s">
        <v>1</v>
      </c>
      <c r="H108" s="220" t="s">
        <v>2733</v>
      </c>
      <c r="I108" s="220"/>
      <c r="J108" s="217" t="s">
        <v>57</v>
      </c>
      <c r="K108" s="217"/>
      <c r="L108" s="220"/>
      <c r="M108" s="220"/>
    </row>
    <row r="109" spans="1:13" ht="12.95" customHeight="1">
      <c r="A109" s="216">
        <v>74</v>
      </c>
      <c r="B109" s="217" t="s">
        <v>374</v>
      </c>
      <c r="C109" s="217" t="s">
        <v>17</v>
      </c>
      <c r="D109" s="220" t="s">
        <v>12</v>
      </c>
      <c r="E109" s="220" t="s">
        <v>375</v>
      </c>
      <c r="F109" s="220"/>
      <c r="G109" s="220" t="s">
        <v>57</v>
      </c>
      <c r="H109" s="220"/>
      <c r="I109" s="220"/>
      <c r="J109" s="217" t="s">
        <v>57</v>
      </c>
      <c r="K109" s="217"/>
      <c r="L109" s="220"/>
      <c r="M109" s="220"/>
    </row>
    <row r="110" spans="1:13" ht="12.95" customHeight="1">
      <c r="A110" s="216">
        <v>75</v>
      </c>
      <c r="B110" s="217" t="s">
        <v>377</v>
      </c>
      <c r="C110" s="217" t="s">
        <v>17</v>
      </c>
      <c r="D110" s="220" t="s">
        <v>12</v>
      </c>
      <c r="E110" s="220" t="s">
        <v>378</v>
      </c>
      <c r="F110" s="220"/>
      <c r="G110" s="220" t="s">
        <v>57</v>
      </c>
      <c r="H110" s="220"/>
      <c r="I110" s="220"/>
      <c r="J110" s="217" t="s">
        <v>57</v>
      </c>
      <c r="K110" s="217"/>
      <c r="L110" s="220"/>
      <c r="M110" s="220"/>
    </row>
    <row r="111" spans="1:13" ht="12.95" customHeight="1">
      <c r="A111" s="216">
        <v>84</v>
      </c>
      <c r="B111" s="217" t="s">
        <v>380</v>
      </c>
      <c r="C111" s="217" t="s">
        <v>18</v>
      </c>
      <c r="D111" s="220" t="s">
        <v>12</v>
      </c>
      <c r="E111" s="220" t="s">
        <v>381</v>
      </c>
      <c r="F111" s="220">
        <v>5933239369</v>
      </c>
      <c r="G111" s="220" t="s">
        <v>1</v>
      </c>
      <c r="H111" s="220" t="s">
        <v>384</v>
      </c>
      <c r="I111" s="220" t="s">
        <v>53</v>
      </c>
      <c r="J111" s="217"/>
      <c r="K111" s="221"/>
      <c r="L111" s="221"/>
      <c r="M111" s="221"/>
    </row>
    <row r="112" spans="1:13" ht="12.95" customHeight="1">
      <c r="A112" s="216">
        <v>85</v>
      </c>
      <c r="B112" s="217" t="s">
        <v>385</v>
      </c>
      <c r="C112" s="217" t="s">
        <v>18</v>
      </c>
      <c r="D112" s="220" t="s">
        <v>12</v>
      </c>
      <c r="E112" s="220" t="s">
        <v>386</v>
      </c>
      <c r="F112" s="220">
        <v>5933239360</v>
      </c>
      <c r="G112" s="220" t="s">
        <v>1</v>
      </c>
      <c r="H112" s="220" t="s">
        <v>389</v>
      </c>
      <c r="I112" s="220" t="s">
        <v>53</v>
      </c>
      <c r="J112" s="217"/>
      <c r="K112" s="221"/>
      <c r="L112" s="221"/>
      <c r="M112" s="221"/>
    </row>
    <row r="113" spans="1:13" ht="12.95" customHeight="1">
      <c r="A113" s="216">
        <v>86</v>
      </c>
      <c r="B113" s="217" t="s">
        <v>390</v>
      </c>
      <c r="C113" s="217" t="s">
        <v>18</v>
      </c>
      <c r="D113" s="220" t="s">
        <v>6</v>
      </c>
      <c r="E113" s="220" t="s">
        <v>391</v>
      </c>
      <c r="F113" s="220" t="s">
        <v>333</v>
      </c>
      <c r="G113" s="220" t="s">
        <v>1</v>
      </c>
      <c r="H113" s="220" t="s">
        <v>393</v>
      </c>
      <c r="I113" s="220" t="s">
        <v>53</v>
      </c>
      <c r="J113" s="217"/>
      <c r="K113" s="221"/>
      <c r="L113" s="221"/>
      <c r="M113" s="221"/>
    </row>
    <row r="114" spans="1:13" ht="12.95" customHeight="1">
      <c r="A114" s="216">
        <v>87</v>
      </c>
      <c r="B114" s="217" t="s">
        <v>394</v>
      </c>
      <c r="C114" s="217" t="s">
        <v>18</v>
      </c>
      <c r="D114" s="220" t="s">
        <v>6</v>
      </c>
      <c r="E114" s="220" t="s">
        <v>395</v>
      </c>
      <c r="F114" s="220" t="s">
        <v>292</v>
      </c>
      <c r="G114" s="220" t="s">
        <v>1</v>
      </c>
      <c r="H114" s="220" t="s">
        <v>397</v>
      </c>
      <c r="I114" s="220" t="s">
        <v>53</v>
      </c>
      <c r="J114" s="217"/>
      <c r="K114" s="221"/>
      <c r="L114" s="221"/>
      <c r="M114" s="221"/>
    </row>
    <row r="115" spans="1:13" ht="12.95" customHeight="1">
      <c r="A115" s="216">
        <v>88</v>
      </c>
      <c r="B115" s="217" t="s">
        <v>398</v>
      </c>
      <c r="C115" s="217" t="s">
        <v>18</v>
      </c>
      <c r="D115" s="220" t="s">
        <v>6</v>
      </c>
      <c r="E115" s="220" t="s">
        <v>399</v>
      </c>
      <c r="F115" s="220">
        <v>5770</v>
      </c>
      <c r="G115" s="220" t="s">
        <v>1</v>
      </c>
      <c r="H115" s="220" t="s">
        <v>402</v>
      </c>
      <c r="I115" s="220" t="s">
        <v>53</v>
      </c>
      <c r="J115" s="217"/>
      <c r="K115" s="221"/>
      <c r="L115" s="221"/>
      <c r="M115" s="221"/>
    </row>
    <row r="116" spans="1:13" ht="12.95" customHeight="1">
      <c r="A116" s="216">
        <v>89</v>
      </c>
      <c r="B116" s="217" t="s">
        <v>403</v>
      </c>
      <c r="C116" s="217" t="s">
        <v>18</v>
      </c>
      <c r="D116" s="220" t="s">
        <v>6</v>
      </c>
      <c r="E116" s="220" t="s">
        <v>404</v>
      </c>
      <c r="F116" s="220">
        <v>1</v>
      </c>
      <c r="G116" s="220" t="s">
        <v>1</v>
      </c>
      <c r="H116" s="220" t="s">
        <v>407</v>
      </c>
      <c r="I116" s="220" t="s">
        <v>53</v>
      </c>
      <c r="J116" s="217"/>
      <c r="K116" s="221"/>
      <c r="L116" s="221"/>
      <c r="M116" s="221"/>
    </row>
    <row r="117" spans="1:13" ht="12.95" customHeight="1">
      <c r="A117" s="216">
        <v>90</v>
      </c>
      <c r="B117" s="217" t="s">
        <v>408</v>
      </c>
      <c r="C117" s="217" t="s">
        <v>18</v>
      </c>
      <c r="D117" s="220" t="s">
        <v>6</v>
      </c>
      <c r="E117" s="220" t="s">
        <v>409</v>
      </c>
      <c r="F117" s="220" t="s">
        <v>333</v>
      </c>
      <c r="G117" s="220" t="s">
        <v>1</v>
      </c>
      <c r="H117" s="220" t="s">
        <v>411</v>
      </c>
      <c r="I117" s="220" t="s">
        <v>53</v>
      </c>
      <c r="J117" s="217"/>
      <c r="K117" s="221"/>
      <c r="L117" s="221"/>
      <c r="M117" s="221"/>
    </row>
    <row r="118" spans="1:13" ht="12.95" customHeight="1">
      <c r="A118" s="216">
        <v>91</v>
      </c>
      <c r="B118" s="217" t="s">
        <v>412</v>
      </c>
      <c r="C118" s="217" t="s">
        <v>19</v>
      </c>
      <c r="D118" s="220" t="s">
        <v>6</v>
      </c>
      <c r="E118" s="220" t="s">
        <v>413</v>
      </c>
      <c r="F118" s="220" t="s">
        <v>416</v>
      </c>
      <c r="G118" s="220" t="s">
        <v>1</v>
      </c>
      <c r="H118" s="220" t="s">
        <v>417</v>
      </c>
      <c r="I118" s="220" t="s">
        <v>53</v>
      </c>
      <c r="J118" s="217"/>
      <c r="K118" s="221"/>
      <c r="L118" s="221"/>
      <c r="M118" s="221"/>
    </row>
    <row r="119" spans="1:13" ht="12.95" customHeight="1">
      <c r="A119" s="216">
        <v>92</v>
      </c>
      <c r="B119" s="217" t="s">
        <v>419</v>
      </c>
      <c r="C119" s="217" t="s">
        <v>104</v>
      </c>
      <c r="D119" s="220" t="s">
        <v>6</v>
      </c>
      <c r="E119" s="220" t="s">
        <v>420</v>
      </c>
      <c r="F119" s="220" t="s">
        <v>422</v>
      </c>
      <c r="G119" s="220" t="s">
        <v>1</v>
      </c>
      <c r="H119" s="220" t="s">
        <v>423</v>
      </c>
      <c r="I119" s="220" t="s">
        <v>53</v>
      </c>
      <c r="J119" s="217"/>
      <c r="K119" s="220"/>
      <c r="L119" s="220"/>
      <c r="M119" s="220"/>
    </row>
    <row r="120" spans="1:13" ht="12.95" customHeight="1">
      <c r="A120" s="409">
        <v>93</v>
      </c>
      <c r="B120" s="408" t="s">
        <v>424</v>
      </c>
      <c r="C120" s="408" t="s">
        <v>19</v>
      </c>
      <c r="D120" s="416" t="s">
        <v>6</v>
      </c>
      <c r="E120" s="416" t="s">
        <v>425</v>
      </c>
      <c r="F120" s="416" t="s">
        <v>427</v>
      </c>
      <c r="G120" s="416" t="s">
        <v>1</v>
      </c>
      <c r="H120" s="220" t="s">
        <v>2734</v>
      </c>
      <c r="I120" s="416" t="s">
        <v>1</v>
      </c>
      <c r="J120" s="408"/>
      <c r="K120" s="418"/>
      <c r="L120" s="418"/>
      <c r="M120" s="418"/>
    </row>
    <row r="121" spans="1:13" ht="12.95" customHeight="1">
      <c r="A121" s="409"/>
      <c r="B121" s="408"/>
      <c r="C121" s="408"/>
      <c r="D121" s="416"/>
      <c r="E121" s="416"/>
      <c r="F121" s="416"/>
      <c r="G121" s="416"/>
      <c r="H121" s="220" t="s">
        <v>2735</v>
      </c>
      <c r="I121" s="416"/>
      <c r="J121" s="408"/>
      <c r="K121" s="418"/>
      <c r="L121" s="418"/>
      <c r="M121" s="418"/>
    </row>
    <row r="122" spans="1:13" ht="12.95" customHeight="1">
      <c r="A122" s="409">
        <v>94</v>
      </c>
      <c r="B122" s="408" t="s">
        <v>429</v>
      </c>
      <c r="C122" s="408" t="s">
        <v>19</v>
      </c>
      <c r="D122" s="416" t="s">
        <v>6</v>
      </c>
      <c r="E122" s="416" t="s">
        <v>430</v>
      </c>
      <c r="F122" s="416" t="s">
        <v>432</v>
      </c>
      <c r="G122" s="416" t="s">
        <v>1</v>
      </c>
      <c r="H122" s="220" t="s">
        <v>2736</v>
      </c>
      <c r="I122" s="416" t="s">
        <v>1</v>
      </c>
      <c r="J122" s="408"/>
      <c r="K122" s="418"/>
      <c r="L122" s="418"/>
      <c r="M122" s="418"/>
    </row>
    <row r="123" spans="1:13" ht="12.95" customHeight="1">
      <c r="A123" s="409"/>
      <c r="B123" s="408"/>
      <c r="C123" s="408"/>
      <c r="D123" s="416"/>
      <c r="E123" s="416"/>
      <c r="F123" s="416"/>
      <c r="G123" s="416"/>
      <c r="H123" s="220" t="s">
        <v>2737</v>
      </c>
      <c r="I123" s="416"/>
      <c r="J123" s="408"/>
      <c r="K123" s="418"/>
      <c r="L123" s="418"/>
      <c r="M123" s="418"/>
    </row>
    <row r="124" spans="1:13" ht="12.95" customHeight="1">
      <c r="A124" s="409">
        <v>95</v>
      </c>
      <c r="B124" s="408" t="s">
        <v>434</v>
      </c>
      <c r="C124" s="408" t="s">
        <v>19</v>
      </c>
      <c r="D124" s="416" t="s">
        <v>6</v>
      </c>
      <c r="E124" s="416" t="s">
        <v>435</v>
      </c>
      <c r="F124" s="416" t="s">
        <v>437</v>
      </c>
      <c r="G124" s="416" t="s">
        <v>1</v>
      </c>
      <c r="H124" s="220" t="s">
        <v>2738</v>
      </c>
      <c r="I124" s="416" t="s">
        <v>1</v>
      </c>
      <c r="J124" s="408"/>
      <c r="K124" s="418"/>
      <c r="L124" s="418"/>
      <c r="M124" s="418"/>
    </row>
    <row r="125" spans="1:13" ht="12.95" customHeight="1">
      <c r="A125" s="409"/>
      <c r="B125" s="408"/>
      <c r="C125" s="408"/>
      <c r="D125" s="416"/>
      <c r="E125" s="416"/>
      <c r="F125" s="416"/>
      <c r="G125" s="416"/>
      <c r="H125" s="220" t="s">
        <v>2739</v>
      </c>
      <c r="I125" s="416"/>
      <c r="J125" s="408"/>
      <c r="K125" s="418"/>
      <c r="L125" s="418"/>
      <c r="M125" s="418"/>
    </row>
    <row r="126" spans="1:13" ht="12.95" customHeight="1">
      <c r="A126" s="409">
        <v>96</v>
      </c>
      <c r="B126" s="408" t="s">
        <v>439</v>
      </c>
      <c r="C126" s="408" t="s">
        <v>104</v>
      </c>
      <c r="D126" s="416" t="s">
        <v>6</v>
      </c>
      <c r="E126" s="416" t="s">
        <v>440</v>
      </c>
      <c r="F126" s="416" t="s">
        <v>442</v>
      </c>
      <c r="G126" s="416" t="s">
        <v>1</v>
      </c>
      <c r="H126" s="220" t="s">
        <v>551</v>
      </c>
      <c r="I126" s="416" t="s">
        <v>53</v>
      </c>
      <c r="J126" s="408"/>
      <c r="K126" s="416"/>
      <c r="L126" s="416"/>
      <c r="M126" s="416"/>
    </row>
    <row r="127" spans="1:13" ht="12.95" customHeight="1">
      <c r="A127" s="409"/>
      <c r="B127" s="408"/>
      <c r="C127" s="408"/>
      <c r="D127" s="416"/>
      <c r="E127" s="416"/>
      <c r="F127" s="416"/>
      <c r="G127" s="416"/>
      <c r="H127" s="220" t="s">
        <v>453</v>
      </c>
      <c r="I127" s="416"/>
      <c r="J127" s="408"/>
      <c r="K127" s="416"/>
      <c r="L127" s="416"/>
      <c r="M127" s="416"/>
    </row>
    <row r="128" spans="1:13" ht="12.95" customHeight="1">
      <c r="A128" s="216">
        <v>97</v>
      </c>
      <c r="B128" s="217" t="s">
        <v>444</v>
      </c>
      <c r="C128" s="217" t="s">
        <v>104</v>
      </c>
      <c r="D128" s="220" t="s">
        <v>6</v>
      </c>
      <c r="E128" s="220" t="s">
        <v>445</v>
      </c>
      <c r="F128" s="220" t="s">
        <v>447</v>
      </c>
      <c r="G128" s="220" t="s">
        <v>448</v>
      </c>
      <c r="H128" s="220" t="s">
        <v>810</v>
      </c>
      <c r="I128" s="220"/>
      <c r="J128" s="217"/>
      <c r="K128" s="220"/>
      <c r="L128" s="220"/>
      <c r="M128" s="220"/>
    </row>
    <row r="129" spans="1:13" ht="12.95" customHeight="1">
      <c r="A129" s="216">
        <v>98</v>
      </c>
      <c r="B129" s="217" t="s">
        <v>450</v>
      </c>
      <c r="C129" s="217" t="s">
        <v>104</v>
      </c>
      <c r="D129" s="220" t="s">
        <v>6</v>
      </c>
      <c r="E129" s="220" t="s">
        <v>451</v>
      </c>
      <c r="F129" s="220" t="s">
        <v>447</v>
      </c>
      <c r="G129" s="220" t="s">
        <v>1</v>
      </c>
      <c r="H129" s="220" t="s">
        <v>453</v>
      </c>
      <c r="I129" s="220" t="s">
        <v>53</v>
      </c>
      <c r="J129" s="217"/>
      <c r="K129" s="220"/>
      <c r="L129" s="220"/>
      <c r="M129" s="220"/>
    </row>
    <row r="130" spans="1:13" ht="12.95" customHeight="1">
      <c r="A130" s="216">
        <v>99</v>
      </c>
      <c r="B130" s="217" t="s">
        <v>454</v>
      </c>
      <c r="C130" s="217" t="s">
        <v>18</v>
      </c>
      <c r="D130" s="220" t="s">
        <v>6</v>
      </c>
      <c r="E130" s="220" t="s">
        <v>455</v>
      </c>
      <c r="F130" s="220" t="s">
        <v>292</v>
      </c>
      <c r="G130" s="220" t="s">
        <v>1</v>
      </c>
      <c r="H130" s="220" t="s">
        <v>457</v>
      </c>
      <c r="I130" s="220" t="s">
        <v>53</v>
      </c>
      <c r="J130" s="217"/>
      <c r="K130" s="221"/>
      <c r="L130" s="221"/>
      <c r="M130" s="221"/>
    </row>
    <row r="131" spans="1:13" ht="12.95" customHeight="1">
      <c r="A131" s="216">
        <v>100</v>
      </c>
      <c r="B131" s="217" t="s">
        <v>458</v>
      </c>
      <c r="C131" s="217" t="s">
        <v>18</v>
      </c>
      <c r="D131" s="220" t="s">
        <v>6</v>
      </c>
      <c r="E131" s="220" t="s">
        <v>459</v>
      </c>
      <c r="F131" s="220" t="s">
        <v>292</v>
      </c>
      <c r="G131" s="220" t="s">
        <v>1</v>
      </c>
      <c r="H131" s="220" t="s">
        <v>461</v>
      </c>
      <c r="I131" s="220" t="s">
        <v>53</v>
      </c>
      <c r="J131" s="217"/>
      <c r="K131" s="221"/>
      <c r="L131" s="221"/>
      <c r="M131" s="221"/>
    </row>
    <row r="132" spans="1:13" ht="12.95" customHeight="1">
      <c r="A132" s="216">
        <v>101</v>
      </c>
      <c r="B132" s="217" t="s">
        <v>462</v>
      </c>
      <c r="C132" s="217" t="s">
        <v>18</v>
      </c>
      <c r="D132" s="220" t="s">
        <v>6</v>
      </c>
      <c r="E132" s="220" t="s">
        <v>463</v>
      </c>
      <c r="F132" s="220">
        <v>5770</v>
      </c>
      <c r="G132" s="220" t="s">
        <v>1</v>
      </c>
      <c r="H132" s="220" t="s">
        <v>465</v>
      </c>
      <c r="I132" s="220" t="s">
        <v>53</v>
      </c>
      <c r="J132" s="217"/>
      <c r="K132" s="221"/>
      <c r="L132" s="221"/>
      <c r="M132" s="221"/>
    </row>
    <row r="133" spans="1:13" ht="12.95" customHeight="1">
      <c r="A133" s="216">
        <v>102</v>
      </c>
      <c r="B133" s="217" t="s">
        <v>466</v>
      </c>
      <c r="C133" s="217" t="s">
        <v>18</v>
      </c>
      <c r="D133" s="220" t="s">
        <v>6</v>
      </c>
      <c r="E133" s="220" t="s">
        <v>467</v>
      </c>
      <c r="F133" s="220">
        <v>4541</v>
      </c>
      <c r="G133" s="220" t="s">
        <v>1</v>
      </c>
      <c r="H133" s="220" t="s">
        <v>469</v>
      </c>
      <c r="I133" s="220" t="s">
        <v>53</v>
      </c>
      <c r="J133" s="217"/>
      <c r="K133" s="221"/>
      <c r="L133" s="221"/>
      <c r="M133" s="221"/>
    </row>
    <row r="134" spans="1:13" ht="12.95" customHeight="1">
      <c r="A134" s="216">
        <v>103</v>
      </c>
      <c r="B134" s="217" t="s">
        <v>470</v>
      </c>
      <c r="C134" s="217" t="s">
        <v>18</v>
      </c>
      <c r="D134" s="220" t="s">
        <v>6</v>
      </c>
      <c r="E134" s="220" t="s">
        <v>471</v>
      </c>
      <c r="F134" s="220">
        <v>1</v>
      </c>
      <c r="G134" s="220" t="s">
        <v>1</v>
      </c>
      <c r="H134" s="220" t="s">
        <v>473</v>
      </c>
      <c r="I134" s="220" t="s">
        <v>53</v>
      </c>
      <c r="J134" s="217"/>
      <c r="K134" s="221"/>
      <c r="L134" s="221"/>
      <c r="M134" s="221"/>
    </row>
    <row r="135" spans="1:13" ht="12.95" customHeight="1">
      <c r="A135" s="216">
        <v>104</v>
      </c>
      <c r="B135" s="217" t="s">
        <v>474</v>
      </c>
      <c r="C135" s="217" t="s">
        <v>18</v>
      </c>
      <c r="D135" s="220" t="s">
        <v>6</v>
      </c>
      <c r="E135" s="220" t="s">
        <v>475</v>
      </c>
      <c r="F135" s="220">
        <v>10</v>
      </c>
      <c r="G135" s="220" t="s">
        <v>1</v>
      </c>
      <c r="H135" s="220" t="s">
        <v>477</v>
      </c>
      <c r="I135" s="220" t="s">
        <v>53</v>
      </c>
      <c r="J135" s="217"/>
      <c r="K135" s="221"/>
      <c r="L135" s="221"/>
      <c r="M135" s="221"/>
    </row>
    <row r="136" spans="1:13" ht="12.95" customHeight="1">
      <c r="A136" s="216">
        <v>105</v>
      </c>
      <c r="B136" s="217" t="s">
        <v>478</v>
      </c>
      <c r="C136" s="217" t="s">
        <v>18</v>
      </c>
      <c r="D136" s="220" t="s">
        <v>6</v>
      </c>
      <c r="E136" s="220" t="s">
        <v>479</v>
      </c>
      <c r="F136" s="220" t="s">
        <v>287</v>
      </c>
      <c r="G136" s="220" t="s">
        <v>1</v>
      </c>
      <c r="H136" s="220" t="s">
        <v>481</v>
      </c>
      <c r="I136" s="220" t="s">
        <v>53</v>
      </c>
      <c r="J136" s="217"/>
      <c r="K136" s="221"/>
      <c r="L136" s="221"/>
      <c r="M136" s="221"/>
    </row>
    <row r="137" spans="1:13" ht="12.95" customHeight="1">
      <c r="A137" s="216">
        <v>106</v>
      </c>
      <c r="B137" s="217" t="s">
        <v>482</v>
      </c>
      <c r="C137" s="217" t="s">
        <v>18</v>
      </c>
      <c r="D137" s="220" t="s">
        <v>6</v>
      </c>
      <c r="E137" s="220" t="s">
        <v>483</v>
      </c>
      <c r="F137" s="220" t="s">
        <v>292</v>
      </c>
      <c r="G137" s="220" t="s">
        <v>1</v>
      </c>
      <c r="H137" s="220" t="s">
        <v>485</v>
      </c>
      <c r="I137" s="220" t="s">
        <v>53</v>
      </c>
      <c r="J137" s="217"/>
      <c r="K137" s="221"/>
      <c r="L137" s="221"/>
      <c r="M137" s="221"/>
    </row>
    <row r="138" spans="1:13" ht="12.95" customHeight="1">
      <c r="A138" s="216">
        <v>107</v>
      </c>
      <c r="B138" s="217" t="s">
        <v>486</v>
      </c>
      <c r="C138" s="217" t="s">
        <v>18</v>
      </c>
      <c r="D138" s="220" t="s">
        <v>6</v>
      </c>
      <c r="E138" s="220" t="s">
        <v>487</v>
      </c>
      <c r="F138" s="220" t="s">
        <v>333</v>
      </c>
      <c r="G138" s="220" t="s">
        <v>1</v>
      </c>
      <c r="H138" s="220" t="s">
        <v>489</v>
      </c>
      <c r="I138" s="220" t="s">
        <v>53</v>
      </c>
      <c r="J138" s="217"/>
      <c r="K138" s="221"/>
      <c r="L138" s="221"/>
      <c r="M138" s="221"/>
    </row>
    <row r="139" spans="1:13" ht="12.95" customHeight="1">
      <c r="A139" s="216">
        <v>108</v>
      </c>
      <c r="B139" s="217" t="s">
        <v>490</v>
      </c>
      <c r="C139" s="217" t="s">
        <v>104</v>
      </c>
      <c r="D139" s="220" t="s">
        <v>6</v>
      </c>
      <c r="E139" s="220" t="s">
        <v>491</v>
      </c>
      <c r="F139" s="220" t="s">
        <v>494</v>
      </c>
      <c r="G139" s="220" t="s">
        <v>448</v>
      </c>
      <c r="H139" s="220"/>
      <c r="I139" s="220"/>
      <c r="J139" s="223">
        <v>1</v>
      </c>
      <c r="K139" s="220"/>
      <c r="L139" s="220"/>
      <c r="M139" s="220"/>
    </row>
    <row r="140" spans="1:13" ht="12.95" customHeight="1">
      <c r="A140" s="216">
        <v>109</v>
      </c>
      <c r="B140" s="217" t="s">
        <v>496</v>
      </c>
      <c r="C140" s="217" t="s">
        <v>104</v>
      </c>
      <c r="D140" s="220" t="s">
        <v>6</v>
      </c>
      <c r="E140" s="220" t="s">
        <v>497</v>
      </c>
      <c r="F140" s="220" t="s">
        <v>499</v>
      </c>
      <c r="G140" s="220" t="s">
        <v>448</v>
      </c>
      <c r="H140" s="220"/>
      <c r="I140" s="220"/>
      <c r="J140" s="223">
        <v>1</v>
      </c>
      <c r="K140" s="220"/>
      <c r="L140" s="220"/>
      <c r="M140" s="220"/>
    </row>
    <row r="141" spans="1:13" ht="12.95" customHeight="1">
      <c r="A141" s="216">
        <v>110</v>
      </c>
      <c r="B141" s="217" t="s">
        <v>500</v>
      </c>
      <c r="C141" s="217" t="s">
        <v>17</v>
      </c>
      <c r="D141" s="220" t="s">
        <v>6</v>
      </c>
      <c r="E141" s="220" t="s">
        <v>501</v>
      </c>
      <c r="F141" s="220" t="s">
        <v>447</v>
      </c>
      <c r="G141" s="220" t="s">
        <v>1</v>
      </c>
      <c r="H141" s="220" t="s">
        <v>349</v>
      </c>
      <c r="I141" s="220"/>
      <c r="J141" s="217" t="s">
        <v>57</v>
      </c>
      <c r="K141" s="217"/>
      <c r="L141" s="220"/>
      <c r="M141" s="220"/>
    </row>
    <row r="142" spans="1:13" ht="12.95" customHeight="1">
      <c r="A142" s="216">
        <v>111</v>
      </c>
      <c r="B142" s="217" t="s">
        <v>505</v>
      </c>
      <c r="C142" s="217" t="s">
        <v>17</v>
      </c>
      <c r="D142" s="220" t="s">
        <v>6</v>
      </c>
      <c r="E142" s="220" t="s">
        <v>506</v>
      </c>
      <c r="F142" s="220" t="s">
        <v>447</v>
      </c>
      <c r="G142" s="220" t="s">
        <v>1</v>
      </c>
      <c r="H142" s="220"/>
      <c r="I142" s="220"/>
      <c r="J142" s="217" t="s">
        <v>57</v>
      </c>
      <c r="K142" s="217"/>
      <c r="L142" s="220"/>
      <c r="M142" s="220"/>
    </row>
    <row r="143" spans="1:13" ht="12.95" customHeight="1">
      <c r="A143" s="409">
        <v>112</v>
      </c>
      <c r="B143" s="408" t="s">
        <v>509</v>
      </c>
      <c r="C143" s="408" t="s">
        <v>17</v>
      </c>
      <c r="D143" s="416" t="s">
        <v>6</v>
      </c>
      <c r="E143" s="416" t="s">
        <v>510</v>
      </c>
      <c r="F143" s="416" t="s">
        <v>512</v>
      </c>
      <c r="G143" s="416" t="s">
        <v>1</v>
      </c>
      <c r="H143" s="220" t="s">
        <v>2740</v>
      </c>
      <c r="I143" s="416"/>
      <c r="J143" s="408" t="s">
        <v>57</v>
      </c>
      <c r="K143" s="408"/>
      <c r="L143" s="416"/>
      <c r="M143" s="416"/>
    </row>
    <row r="144" spans="1:13" ht="12.95" customHeight="1">
      <c r="A144" s="409"/>
      <c r="B144" s="408"/>
      <c r="C144" s="408"/>
      <c r="D144" s="416"/>
      <c r="E144" s="416"/>
      <c r="F144" s="416"/>
      <c r="G144" s="416"/>
      <c r="I144" s="416"/>
      <c r="J144" s="408"/>
      <c r="K144" s="408"/>
      <c r="L144" s="416"/>
      <c r="M144" s="416"/>
    </row>
    <row r="145" spans="1:13" ht="12.95" customHeight="1">
      <c r="A145" s="409"/>
      <c r="B145" s="408"/>
      <c r="C145" s="408"/>
      <c r="D145" s="416"/>
      <c r="E145" s="416"/>
      <c r="F145" s="416"/>
      <c r="G145" s="416"/>
      <c r="H145" s="220" t="s">
        <v>2741</v>
      </c>
      <c r="I145" s="416"/>
      <c r="J145" s="408"/>
      <c r="K145" s="408"/>
      <c r="L145" s="416"/>
      <c r="M145" s="416"/>
    </row>
    <row r="146" spans="1:13" ht="12.95" customHeight="1">
      <c r="A146" s="409"/>
      <c r="B146" s="408"/>
      <c r="C146" s="408"/>
      <c r="D146" s="416"/>
      <c r="E146" s="416"/>
      <c r="F146" s="416"/>
      <c r="G146" s="416"/>
      <c r="H146" s="220" t="s">
        <v>2742</v>
      </c>
      <c r="I146" s="416"/>
      <c r="J146" s="408"/>
      <c r="K146" s="408"/>
      <c r="L146" s="416"/>
      <c r="M146" s="416"/>
    </row>
    <row r="147" spans="1:13" ht="12.95" customHeight="1">
      <c r="A147" s="409"/>
      <c r="B147" s="408"/>
      <c r="C147" s="408"/>
      <c r="D147" s="416"/>
      <c r="E147" s="416"/>
      <c r="F147" s="416"/>
      <c r="G147" s="416"/>
      <c r="H147" s="220" t="s">
        <v>2743</v>
      </c>
      <c r="I147" s="416"/>
      <c r="J147" s="408"/>
      <c r="K147" s="408"/>
      <c r="L147" s="416"/>
      <c r="M147" s="416"/>
    </row>
    <row r="148" spans="1:13" ht="12.95" customHeight="1">
      <c r="A148" s="409"/>
      <c r="B148" s="408"/>
      <c r="C148" s="408"/>
      <c r="D148" s="416"/>
      <c r="E148" s="416"/>
      <c r="F148" s="416"/>
      <c r="G148" s="416"/>
      <c r="H148" s="220" t="s">
        <v>2744</v>
      </c>
      <c r="I148" s="416"/>
      <c r="J148" s="408"/>
      <c r="K148" s="408"/>
      <c r="L148" s="416"/>
      <c r="M148" s="416"/>
    </row>
    <row r="149" spans="1:13" ht="12.95" customHeight="1">
      <c r="A149" s="216">
        <v>113</v>
      </c>
      <c r="B149" s="217" t="s">
        <v>515</v>
      </c>
      <c r="C149" s="217" t="s">
        <v>17</v>
      </c>
      <c r="D149" s="220" t="s">
        <v>6</v>
      </c>
      <c r="E149" s="220" t="s">
        <v>516</v>
      </c>
      <c r="F149" s="220" t="s">
        <v>512</v>
      </c>
      <c r="G149" s="220" t="s">
        <v>1</v>
      </c>
      <c r="H149" s="220"/>
      <c r="I149" s="220"/>
      <c r="J149" s="217" t="s">
        <v>57</v>
      </c>
      <c r="K149" s="217"/>
      <c r="L149" s="220"/>
      <c r="M149" s="220"/>
    </row>
    <row r="150" spans="1:13" ht="12.95" customHeight="1">
      <c r="A150" s="216">
        <v>114</v>
      </c>
      <c r="B150" s="217" t="s">
        <v>518</v>
      </c>
      <c r="C150" s="217" t="s">
        <v>17</v>
      </c>
      <c r="D150" s="220" t="s">
        <v>6</v>
      </c>
      <c r="E150" s="220" t="s">
        <v>519</v>
      </c>
      <c r="F150" s="220" t="s">
        <v>512</v>
      </c>
      <c r="G150" s="220" t="s">
        <v>1</v>
      </c>
      <c r="H150" s="220"/>
      <c r="I150" s="220"/>
      <c r="J150" s="217" t="s">
        <v>57</v>
      </c>
      <c r="K150" s="217"/>
      <c r="L150" s="220"/>
      <c r="M150" s="220"/>
    </row>
    <row r="151" spans="1:13" ht="12.95" customHeight="1">
      <c r="A151" s="216">
        <v>115</v>
      </c>
      <c r="B151" s="217" t="s">
        <v>521</v>
      </c>
      <c r="C151" s="217" t="s">
        <v>17</v>
      </c>
      <c r="D151" s="220" t="s">
        <v>6</v>
      </c>
      <c r="E151" s="220" t="s">
        <v>522</v>
      </c>
      <c r="F151" s="220" t="s">
        <v>512</v>
      </c>
      <c r="G151" s="220" t="s">
        <v>1</v>
      </c>
      <c r="H151" s="220"/>
      <c r="I151" s="220"/>
      <c r="J151" s="217" t="s">
        <v>57</v>
      </c>
      <c r="K151" s="217"/>
      <c r="L151" s="220"/>
      <c r="M151" s="220"/>
    </row>
    <row r="152" spans="1:13" ht="12.95" customHeight="1">
      <c r="A152" s="216">
        <v>116</v>
      </c>
      <c r="B152" s="217" t="s">
        <v>524</v>
      </c>
      <c r="C152" s="217" t="s">
        <v>17</v>
      </c>
      <c r="D152" s="220" t="s">
        <v>6</v>
      </c>
      <c r="E152" s="220" t="s">
        <v>525</v>
      </c>
      <c r="F152" s="220" t="s">
        <v>512</v>
      </c>
      <c r="G152" s="220" t="s">
        <v>1</v>
      </c>
      <c r="H152" s="220"/>
      <c r="I152" s="220"/>
      <c r="J152" s="217" t="s">
        <v>57</v>
      </c>
      <c r="K152" s="217"/>
      <c r="L152" s="220"/>
      <c r="M152" s="220"/>
    </row>
    <row r="153" spans="1:13" ht="12.95" customHeight="1">
      <c r="A153" s="216">
        <v>117</v>
      </c>
      <c r="B153" s="217" t="s">
        <v>527</v>
      </c>
      <c r="C153" s="217" t="s">
        <v>17</v>
      </c>
      <c r="D153" s="220" t="s">
        <v>6</v>
      </c>
      <c r="E153" s="220" t="s">
        <v>528</v>
      </c>
      <c r="F153" s="220" t="s">
        <v>512</v>
      </c>
      <c r="G153" s="220" t="s">
        <v>1</v>
      </c>
      <c r="H153" s="220"/>
      <c r="I153" s="220"/>
      <c r="J153" s="217" t="s">
        <v>57</v>
      </c>
      <c r="K153" s="217"/>
      <c r="L153" s="220"/>
      <c r="M153" s="220"/>
    </row>
    <row r="154" spans="1:13" ht="12.95" customHeight="1">
      <c r="A154" s="216">
        <v>118</v>
      </c>
      <c r="B154" s="217" t="s">
        <v>530</v>
      </c>
      <c r="C154" s="217" t="s">
        <v>17</v>
      </c>
      <c r="D154" s="220" t="s">
        <v>6</v>
      </c>
      <c r="E154" s="220" t="s">
        <v>531</v>
      </c>
      <c r="F154" s="220" t="s">
        <v>512</v>
      </c>
      <c r="G154" s="220" t="s">
        <v>1</v>
      </c>
      <c r="H154" s="220"/>
      <c r="I154" s="220"/>
      <c r="J154" s="217" t="s">
        <v>57</v>
      </c>
      <c r="K154" s="217"/>
      <c r="L154" s="220"/>
      <c r="M154" s="220"/>
    </row>
    <row r="155" spans="1:13" ht="12.95" customHeight="1">
      <c r="A155" s="216">
        <v>119</v>
      </c>
      <c r="B155" s="217" t="s">
        <v>533</v>
      </c>
      <c r="C155" s="217" t="s">
        <v>17</v>
      </c>
      <c r="D155" s="220" t="s">
        <v>6</v>
      </c>
      <c r="E155" s="220" t="s">
        <v>534</v>
      </c>
      <c r="F155" s="220" t="s">
        <v>512</v>
      </c>
      <c r="G155" s="220" t="s">
        <v>1</v>
      </c>
      <c r="H155" s="220"/>
      <c r="I155" s="220"/>
      <c r="J155" s="217" t="s">
        <v>57</v>
      </c>
      <c r="K155" s="217"/>
      <c r="L155" s="220"/>
      <c r="M155" s="220"/>
    </row>
    <row r="156" spans="1:13" ht="12.95" customHeight="1">
      <c r="A156" s="216">
        <v>120</v>
      </c>
      <c r="B156" s="217" t="s">
        <v>536</v>
      </c>
      <c r="C156" s="217" t="s">
        <v>17</v>
      </c>
      <c r="D156" s="220" t="s">
        <v>6</v>
      </c>
      <c r="E156" s="220" t="s">
        <v>537</v>
      </c>
      <c r="F156" s="220" t="s">
        <v>512</v>
      </c>
      <c r="G156" s="220" t="s">
        <v>1</v>
      </c>
      <c r="H156" s="220"/>
      <c r="I156" s="220"/>
      <c r="J156" s="217" t="s">
        <v>57</v>
      </c>
      <c r="K156" s="217"/>
      <c r="L156" s="220"/>
      <c r="M156" s="220"/>
    </row>
    <row r="157" spans="1:13" ht="12.95" customHeight="1">
      <c r="A157" s="216">
        <v>121</v>
      </c>
      <c r="B157" s="217" t="s">
        <v>539</v>
      </c>
      <c r="C157" s="217" t="s">
        <v>17</v>
      </c>
      <c r="D157" s="220" t="s">
        <v>6</v>
      </c>
      <c r="E157" s="220" t="s">
        <v>540</v>
      </c>
      <c r="F157" s="220" t="s">
        <v>512</v>
      </c>
      <c r="G157" s="220" t="s">
        <v>1</v>
      </c>
      <c r="H157" s="220"/>
      <c r="I157" s="220"/>
      <c r="J157" s="217" t="s">
        <v>57</v>
      </c>
      <c r="K157" s="217"/>
      <c r="L157" s="220"/>
      <c r="M157" s="220"/>
    </row>
    <row r="158" spans="1:13" ht="12.95" customHeight="1">
      <c r="A158" s="216">
        <v>122</v>
      </c>
      <c r="B158" s="217" t="s">
        <v>542</v>
      </c>
      <c r="C158" s="217" t="s">
        <v>17</v>
      </c>
      <c r="D158" s="220" t="s">
        <v>6</v>
      </c>
      <c r="E158" s="220" t="s">
        <v>543</v>
      </c>
      <c r="F158" s="220" t="s">
        <v>512</v>
      </c>
      <c r="G158" s="220" t="s">
        <v>1</v>
      </c>
      <c r="H158" s="220"/>
      <c r="I158" s="220"/>
      <c r="J158" s="217" t="s">
        <v>57</v>
      </c>
      <c r="K158" s="217"/>
      <c r="L158" s="220"/>
      <c r="M158" s="220"/>
    </row>
    <row r="159" spans="1:13" ht="12.95" customHeight="1">
      <c r="A159" s="216">
        <v>123</v>
      </c>
      <c r="B159" s="217" t="s">
        <v>545</v>
      </c>
      <c r="C159" s="217" t="s">
        <v>17</v>
      </c>
      <c r="D159" s="220" t="s">
        <v>6</v>
      </c>
      <c r="E159" s="220" t="s">
        <v>546</v>
      </c>
      <c r="F159" s="220" t="s">
        <v>512</v>
      </c>
      <c r="G159" s="220" t="s">
        <v>1</v>
      </c>
      <c r="H159" s="220"/>
      <c r="I159" s="220"/>
      <c r="J159" s="217" t="s">
        <v>57</v>
      </c>
      <c r="K159" s="217"/>
      <c r="L159" s="220"/>
      <c r="M159" s="220"/>
    </row>
    <row r="160" spans="1:13" ht="12.95" customHeight="1">
      <c r="A160" s="216">
        <v>124</v>
      </c>
      <c r="B160" s="217" t="s">
        <v>2464</v>
      </c>
      <c r="C160" s="217" t="s">
        <v>17</v>
      </c>
      <c r="D160" s="220" t="s">
        <v>6</v>
      </c>
      <c r="E160" s="220" t="s">
        <v>537</v>
      </c>
      <c r="F160" s="220" t="s">
        <v>512</v>
      </c>
      <c r="G160" s="220" t="s">
        <v>1</v>
      </c>
      <c r="H160" s="220" t="s">
        <v>551</v>
      </c>
      <c r="I160" s="220" t="s">
        <v>1</v>
      </c>
      <c r="J160" s="217" t="s">
        <v>57</v>
      </c>
      <c r="K160" s="217"/>
      <c r="L160" s="220"/>
      <c r="M160" s="220"/>
    </row>
    <row r="161" spans="1:13" ht="12.95" customHeight="1">
      <c r="A161" s="216">
        <v>125</v>
      </c>
      <c r="B161" s="217" t="s">
        <v>2465</v>
      </c>
      <c r="C161" s="217" t="s">
        <v>17</v>
      </c>
      <c r="D161" s="220" t="s">
        <v>6</v>
      </c>
      <c r="E161" s="220" t="s">
        <v>540</v>
      </c>
      <c r="F161" s="220" t="s">
        <v>512</v>
      </c>
      <c r="G161" s="220" t="s">
        <v>1</v>
      </c>
      <c r="H161" s="220" t="s">
        <v>551</v>
      </c>
      <c r="I161" s="220" t="s">
        <v>1</v>
      </c>
      <c r="J161" s="217" t="s">
        <v>57</v>
      </c>
      <c r="K161" s="217"/>
      <c r="L161" s="220"/>
      <c r="M161" s="220"/>
    </row>
    <row r="162" spans="1:13" ht="12.95" customHeight="1">
      <c r="A162" s="216">
        <v>126</v>
      </c>
      <c r="B162" s="217" t="s">
        <v>548</v>
      </c>
      <c r="C162" s="217" t="s">
        <v>17</v>
      </c>
      <c r="D162" s="220" t="s">
        <v>6</v>
      </c>
      <c r="E162" s="220" t="s">
        <v>549</v>
      </c>
      <c r="F162" s="220" t="s">
        <v>442</v>
      </c>
      <c r="G162" s="220" t="s">
        <v>1</v>
      </c>
      <c r="H162" s="220" t="s">
        <v>551</v>
      </c>
      <c r="I162" s="220" t="s">
        <v>1</v>
      </c>
      <c r="J162" s="217" t="s">
        <v>57</v>
      </c>
      <c r="K162" s="217"/>
      <c r="L162" s="220"/>
      <c r="M162" s="220"/>
    </row>
    <row r="163" spans="1:13" ht="12.95" customHeight="1">
      <c r="A163" s="216">
        <v>127</v>
      </c>
      <c r="B163" s="217" t="s">
        <v>552</v>
      </c>
      <c r="C163" s="217" t="s">
        <v>17</v>
      </c>
      <c r="D163" s="220" t="s">
        <v>6</v>
      </c>
      <c r="E163" s="220" t="s">
        <v>553</v>
      </c>
      <c r="F163" s="220" t="s">
        <v>442</v>
      </c>
      <c r="G163" s="220" t="s">
        <v>1</v>
      </c>
      <c r="H163" s="220" t="s">
        <v>551</v>
      </c>
      <c r="I163" s="220" t="s">
        <v>1</v>
      </c>
      <c r="J163" s="217" t="s">
        <v>57</v>
      </c>
      <c r="K163" s="217"/>
      <c r="L163" s="220"/>
      <c r="M163" s="220"/>
    </row>
    <row r="164" spans="1:13" ht="12.95" customHeight="1">
      <c r="A164" s="216">
        <v>128</v>
      </c>
      <c r="B164" s="217" t="s">
        <v>555</v>
      </c>
      <c r="C164" s="217" t="s">
        <v>17</v>
      </c>
      <c r="D164" s="220" t="s">
        <v>6</v>
      </c>
      <c r="E164" s="220" t="s">
        <v>556</v>
      </c>
      <c r="F164" s="220" t="s">
        <v>558</v>
      </c>
      <c r="G164" s="220" t="s">
        <v>57</v>
      </c>
      <c r="H164" s="220" t="s">
        <v>813</v>
      </c>
      <c r="I164" s="220"/>
      <c r="J164" s="217" t="s">
        <v>57</v>
      </c>
      <c r="K164" s="217"/>
      <c r="L164" s="220"/>
      <c r="M164" s="220"/>
    </row>
    <row r="165" spans="1:13" ht="12.95" customHeight="1">
      <c r="A165" s="216">
        <v>129</v>
      </c>
      <c r="B165" s="217" t="s">
        <v>560</v>
      </c>
      <c r="C165" s="217" t="s">
        <v>17</v>
      </c>
      <c r="D165" s="220" t="s">
        <v>6</v>
      </c>
      <c r="E165" s="220" t="s">
        <v>561</v>
      </c>
      <c r="F165" s="220" t="s">
        <v>563</v>
      </c>
      <c r="G165" s="220" t="s">
        <v>57</v>
      </c>
      <c r="H165" s="220"/>
      <c r="I165" s="220"/>
      <c r="J165" s="217" t="s">
        <v>57</v>
      </c>
      <c r="K165" s="217"/>
      <c r="L165" s="220"/>
      <c r="M165" s="220"/>
    </row>
    <row r="166" spans="1:13" ht="12.95" customHeight="1">
      <c r="A166" s="216">
        <v>130</v>
      </c>
      <c r="B166" s="217" t="s">
        <v>2466</v>
      </c>
      <c r="C166" s="217" t="s">
        <v>17</v>
      </c>
      <c r="D166" s="220" t="s">
        <v>6</v>
      </c>
      <c r="E166" s="220" t="s">
        <v>537</v>
      </c>
      <c r="F166" s="220"/>
      <c r="G166" s="220" t="s">
        <v>1</v>
      </c>
      <c r="H166" s="220" t="s">
        <v>2745</v>
      </c>
      <c r="I166" s="220"/>
      <c r="J166" s="217" t="s">
        <v>57</v>
      </c>
      <c r="K166" s="217"/>
      <c r="L166" s="220"/>
      <c r="M166" s="220"/>
    </row>
    <row r="167" spans="1:13" ht="12.95" customHeight="1">
      <c r="A167" s="216">
        <v>131</v>
      </c>
      <c r="B167" s="217" t="s">
        <v>2467</v>
      </c>
      <c r="C167" s="217" t="s">
        <v>17</v>
      </c>
      <c r="D167" s="220" t="s">
        <v>6</v>
      </c>
      <c r="E167" s="220" t="s">
        <v>540</v>
      </c>
      <c r="F167" s="220"/>
      <c r="G167" s="220" t="s">
        <v>1</v>
      </c>
      <c r="H167" s="220" t="s">
        <v>2746</v>
      </c>
      <c r="I167" s="220"/>
      <c r="J167" s="217" t="s">
        <v>57</v>
      </c>
      <c r="K167" s="217"/>
      <c r="L167" s="220"/>
      <c r="M167" s="220"/>
    </row>
    <row r="168" spans="1:13" ht="12.95" customHeight="1">
      <c r="A168" s="216">
        <v>132</v>
      </c>
      <c r="B168" s="217" t="s">
        <v>564</v>
      </c>
      <c r="C168" s="217" t="s">
        <v>18</v>
      </c>
      <c r="D168" s="220" t="s">
        <v>5</v>
      </c>
      <c r="E168" s="220" t="s">
        <v>565</v>
      </c>
      <c r="F168" s="220" t="s">
        <v>568</v>
      </c>
      <c r="G168" s="220" t="s">
        <v>1</v>
      </c>
      <c r="H168" s="220" t="s">
        <v>569</v>
      </c>
      <c r="I168" s="220" t="s">
        <v>53</v>
      </c>
      <c r="J168" s="223">
        <v>1</v>
      </c>
      <c r="K168" s="221"/>
      <c r="L168" s="221"/>
      <c r="M168" s="221"/>
    </row>
    <row r="169" spans="1:13" ht="12.95" customHeight="1">
      <c r="A169" s="216">
        <v>133</v>
      </c>
      <c r="B169" s="217" t="s">
        <v>570</v>
      </c>
      <c r="C169" s="217" t="s">
        <v>18</v>
      </c>
      <c r="D169" s="220" t="s">
        <v>5</v>
      </c>
      <c r="E169" s="220" t="s">
        <v>571</v>
      </c>
      <c r="F169" s="220">
        <v>204</v>
      </c>
      <c r="G169" s="220" t="s">
        <v>1</v>
      </c>
      <c r="H169" s="220" t="s">
        <v>574</v>
      </c>
      <c r="I169" s="220" t="s">
        <v>53</v>
      </c>
      <c r="J169" s="217"/>
      <c r="K169" s="221"/>
      <c r="L169" s="221"/>
      <c r="M169" s="221"/>
    </row>
    <row r="170" spans="1:13" ht="12.95" customHeight="1">
      <c r="A170" s="216">
        <v>134</v>
      </c>
      <c r="B170" s="217" t="s">
        <v>575</v>
      </c>
      <c r="C170" s="217" t="s">
        <v>18</v>
      </c>
      <c r="D170" s="220" t="s">
        <v>5</v>
      </c>
      <c r="E170" s="220" t="s">
        <v>576</v>
      </c>
      <c r="F170" s="220">
        <v>2</v>
      </c>
      <c r="G170" s="220" t="s">
        <v>1</v>
      </c>
      <c r="H170" s="220" t="s">
        <v>579</v>
      </c>
      <c r="I170" s="220" t="s">
        <v>53</v>
      </c>
      <c r="J170" s="217"/>
      <c r="K170" s="221"/>
      <c r="L170" s="221"/>
      <c r="M170" s="221"/>
    </row>
    <row r="171" spans="1:13" ht="12.95" customHeight="1">
      <c r="A171" s="216">
        <v>135</v>
      </c>
      <c r="B171" s="217" t="s">
        <v>580</v>
      </c>
      <c r="C171" s="217" t="s">
        <v>17</v>
      </c>
      <c r="D171" s="220" t="s">
        <v>5</v>
      </c>
      <c r="E171" s="220" t="s">
        <v>581</v>
      </c>
      <c r="F171" s="220" t="s">
        <v>584</v>
      </c>
      <c r="G171" s="220" t="s">
        <v>57</v>
      </c>
      <c r="H171" s="220"/>
      <c r="I171" s="220"/>
      <c r="J171" s="217" t="s">
        <v>57</v>
      </c>
      <c r="K171" s="217"/>
      <c r="L171" s="220"/>
      <c r="M171" s="220"/>
    </row>
    <row r="172" spans="1:13" ht="12.95" customHeight="1">
      <c r="A172" s="216">
        <v>136</v>
      </c>
      <c r="B172" s="217" t="s">
        <v>585</v>
      </c>
      <c r="C172" s="217" t="s">
        <v>17</v>
      </c>
      <c r="D172" s="220" t="s">
        <v>5</v>
      </c>
      <c r="E172" s="220" t="s">
        <v>586</v>
      </c>
      <c r="F172" s="220"/>
      <c r="G172" s="220" t="s">
        <v>1</v>
      </c>
      <c r="H172" s="220" t="s">
        <v>588</v>
      </c>
      <c r="I172" s="220"/>
      <c r="J172" s="217" t="s">
        <v>57</v>
      </c>
      <c r="K172" s="217"/>
      <c r="L172" s="220"/>
      <c r="M172" s="220"/>
    </row>
    <row r="173" spans="1:13" ht="12.95" customHeight="1">
      <c r="A173" s="216">
        <v>137</v>
      </c>
      <c r="B173" s="217" t="s">
        <v>589</v>
      </c>
      <c r="C173" s="217" t="s">
        <v>17</v>
      </c>
      <c r="D173" s="220" t="s">
        <v>5</v>
      </c>
      <c r="E173" s="220" t="s">
        <v>590</v>
      </c>
      <c r="F173" s="220"/>
      <c r="G173" s="220" t="s">
        <v>1</v>
      </c>
      <c r="H173" s="220"/>
      <c r="I173" s="220"/>
      <c r="J173" s="217" t="s">
        <v>57</v>
      </c>
      <c r="K173" s="217"/>
      <c r="L173" s="220"/>
      <c r="M173" s="220"/>
    </row>
    <row r="174" spans="1:13" ht="12.95" customHeight="1">
      <c r="A174" s="216">
        <v>138</v>
      </c>
      <c r="B174" s="217" t="s">
        <v>592</v>
      </c>
      <c r="C174" s="217" t="s">
        <v>17</v>
      </c>
      <c r="D174" s="220" t="s">
        <v>5</v>
      </c>
      <c r="E174" s="220" t="s">
        <v>593</v>
      </c>
      <c r="F174" s="220"/>
      <c r="G174" s="220" t="s">
        <v>1</v>
      </c>
      <c r="H174" s="220"/>
      <c r="I174" s="220"/>
      <c r="J174" s="217" t="s">
        <v>57</v>
      </c>
      <c r="K174" s="217"/>
      <c r="L174" s="220"/>
      <c r="M174" s="220"/>
    </row>
    <row r="175" spans="1:13" ht="12.95" customHeight="1">
      <c r="A175" s="216">
        <v>139</v>
      </c>
      <c r="B175" s="217" t="s">
        <v>596</v>
      </c>
      <c r="C175" s="217" t="s">
        <v>17</v>
      </c>
      <c r="D175" s="220" t="s">
        <v>5</v>
      </c>
      <c r="E175" s="220" t="s">
        <v>597</v>
      </c>
      <c r="F175" s="220" t="s">
        <v>599</v>
      </c>
      <c r="G175" s="220" t="s">
        <v>1</v>
      </c>
      <c r="H175" s="220"/>
      <c r="I175" s="220"/>
      <c r="J175" s="217" t="s">
        <v>57</v>
      </c>
      <c r="K175" s="217"/>
      <c r="L175" s="220"/>
      <c r="M175" s="220"/>
    </row>
    <row r="176" spans="1:13" ht="12.95" customHeight="1">
      <c r="A176" s="216">
        <v>140</v>
      </c>
      <c r="B176" s="217" t="s">
        <v>600</v>
      </c>
      <c r="C176" s="217" t="s">
        <v>17</v>
      </c>
      <c r="D176" s="220" t="s">
        <v>5</v>
      </c>
      <c r="E176" s="220" t="s">
        <v>601</v>
      </c>
      <c r="F176" s="220" t="s">
        <v>2469</v>
      </c>
      <c r="G176" s="220" t="s">
        <v>1</v>
      </c>
      <c r="H176" s="220"/>
      <c r="I176" s="220"/>
      <c r="J176" s="217" t="s">
        <v>57</v>
      </c>
      <c r="K176" s="217"/>
      <c r="L176" s="220"/>
      <c r="M176" s="220"/>
    </row>
    <row r="177" spans="1:13" ht="12.95" customHeight="1">
      <c r="A177" s="216">
        <v>141</v>
      </c>
      <c r="B177" s="217" t="s">
        <v>374</v>
      </c>
      <c r="C177" s="217" t="s">
        <v>17</v>
      </c>
      <c r="D177" s="220" t="s">
        <v>5</v>
      </c>
      <c r="E177" s="220" t="s">
        <v>604</v>
      </c>
      <c r="F177" s="220"/>
      <c r="G177" s="220" t="s">
        <v>57</v>
      </c>
      <c r="H177" s="220"/>
      <c r="I177" s="220"/>
      <c r="J177" s="217" t="s">
        <v>57</v>
      </c>
      <c r="K177" s="217"/>
      <c r="L177" s="220"/>
      <c r="M177" s="220"/>
    </row>
    <row r="178" spans="1:13" ht="12.95" customHeight="1">
      <c r="A178" s="216">
        <v>142</v>
      </c>
      <c r="B178" s="217" t="s">
        <v>377</v>
      </c>
      <c r="C178" s="217" t="s">
        <v>17</v>
      </c>
      <c r="D178" s="220" t="s">
        <v>5</v>
      </c>
      <c r="E178" s="220" t="s">
        <v>607</v>
      </c>
      <c r="F178" s="220"/>
      <c r="G178" s="220" t="s">
        <v>57</v>
      </c>
      <c r="H178" s="220"/>
      <c r="I178" s="220"/>
      <c r="J178" s="217" t="s">
        <v>57</v>
      </c>
      <c r="K178" s="217"/>
      <c r="L178" s="220"/>
      <c r="M178" s="220"/>
    </row>
    <row r="179" spans="1:13" ht="12.95" customHeight="1">
      <c r="A179" s="216">
        <v>143</v>
      </c>
      <c r="B179" s="217" t="s">
        <v>609</v>
      </c>
      <c r="C179" s="217" t="s">
        <v>17</v>
      </c>
      <c r="D179" s="220" t="s">
        <v>5</v>
      </c>
      <c r="E179" s="220" t="s">
        <v>610</v>
      </c>
      <c r="F179" s="220"/>
      <c r="G179" s="220" t="s">
        <v>57</v>
      </c>
      <c r="H179" s="220"/>
      <c r="I179" s="220"/>
      <c r="J179" s="217" t="s">
        <v>57</v>
      </c>
      <c r="K179" s="217"/>
      <c r="L179" s="220"/>
      <c r="M179" s="220"/>
    </row>
    <row r="180" spans="1:13" ht="12.95" customHeight="1">
      <c r="A180" s="216">
        <v>144</v>
      </c>
      <c r="B180" s="217" t="s">
        <v>612</v>
      </c>
      <c r="C180" s="217" t="s">
        <v>17</v>
      </c>
      <c r="D180" s="220" t="s">
        <v>5</v>
      </c>
      <c r="E180" s="220" t="s">
        <v>613</v>
      </c>
      <c r="F180" s="220" t="s">
        <v>616</v>
      </c>
      <c r="G180" s="220" t="s">
        <v>57</v>
      </c>
      <c r="H180" s="220"/>
      <c r="I180" s="220"/>
      <c r="J180" s="217" t="s">
        <v>57</v>
      </c>
      <c r="K180" s="217"/>
      <c r="L180" s="220"/>
      <c r="M180" s="220"/>
    </row>
    <row r="181" spans="1:13" ht="12.95" customHeight="1">
      <c r="A181" s="216">
        <v>145</v>
      </c>
      <c r="B181" s="217" t="s">
        <v>617</v>
      </c>
      <c r="C181" s="217" t="s">
        <v>17</v>
      </c>
      <c r="D181" s="220" t="s">
        <v>5</v>
      </c>
      <c r="E181" s="220" t="s">
        <v>1704</v>
      </c>
      <c r="F181" s="220" t="s">
        <v>620</v>
      </c>
      <c r="G181" s="220" t="s">
        <v>57</v>
      </c>
      <c r="H181" s="220"/>
      <c r="I181" s="220"/>
      <c r="J181" s="217" t="s">
        <v>57</v>
      </c>
      <c r="K181" s="217"/>
      <c r="L181" s="220"/>
      <c r="M181" s="220"/>
    </row>
    <row r="182" spans="1:13" ht="12.95" customHeight="1">
      <c r="A182" s="216">
        <v>146</v>
      </c>
      <c r="B182" s="217" t="s">
        <v>621</v>
      </c>
      <c r="C182" s="217" t="s">
        <v>19</v>
      </c>
      <c r="D182" s="220" t="s">
        <v>4</v>
      </c>
      <c r="E182" s="220" t="s">
        <v>622</v>
      </c>
      <c r="F182" s="220">
        <v>2</v>
      </c>
      <c r="G182" s="220" t="s">
        <v>1</v>
      </c>
      <c r="H182" s="220" t="s">
        <v>625</v>
      </c>
      <c r="I182" s="220" t="s">
        <v>1</v>
      </c>
      <c r="J182" s="217"/>
      <c r="K182" s="221"/>
      <c r="L182" s="221"/>
      <c r="M182" s="221"/>
    </row>
    <row r="183" spans="1:13" ht="12.95" customHeight="1">
      <c r="A183" s="216">
        <v>147</v>
      </c>
      <c r="B183" s="217" t="s">
        <v>626</v>
      </c>
      <c r="C183" s="217" t="s">
        <v>19</v>
      </c>
      <c r="D183" s="220" t="s">
        <v>4</v>
      </c>
      <c r="E183" s="220" t="s">
        <v>627</v>
      </c>
      <c r="F183" s="220">
        <v>0</v>
      </c>
      <c r="G183" s="220" t="s">
        <v>1</v>
      </c>
      <c r="H183" s="220" t="s">
        <v>625</v>
      </c>
      <c r="I183" s="220" t="s">
        <v>1</v>
      </c>
      <c r="J183" s="217"/>
      <c r="K183" s="221"/>
      <c r="L183" s="221"/>
      <c r="M183" s="221"/>
    </row>
    <row r="184" spans="1:13" ht="12.95" customHeight="1">
      <c r="A184" s="409">
        <v>148</v>
      </c>
      <c r="B184" s="408" t="s">
        <v>629</v>
      </c>
      <c r="C184" s="408" t="s">
        <v>18</v>
      </c>
      <c r="D184" s="416" t="s">
        <v>4</v>
      </c>
      <c r="E184" s="416" t="s">
        <v>630</v>
      </c>
      <c r="F184" s="416" t="s">
        <v>333</v>
      </c>
      <c r="G184" s="220" t="s">
        <v>2747</v>
      </c>
      <c r="H184" s="416" t="s">
        <v>634</v>
      </c>
      <c r="I184" s="416" t="s">
        <v>53</v>
      </c>
      <c r="J184" s="408"/>
      <c r="K184" s="418"/>
      <c r="L184" s="418"/>
      <c r="M184" s="418"/>
    </row>
    <row r="185" spans="1:13" ht="12.95" customHeight="1">
      <c r="A185" s="409"/>
      <c r="B185" s="408"/>
      <c r="C185" s="408"/>
      <c r="D185" s="416"/>
      <c r="E185" s="416"/>
      <c r="F185" s="416"/>
      <c r="G185" s="220" t="s">
        <v>2748</v>
      </c>
      <c r="H185" s="416"/>
      <c r="I185" s="416"/>
      <c r="J185" s="408"/>
      <c r="K185" s="418"/>
      <c r="L185" s="418"/>
      <c r="M185" s="418"/>
    </row>
    <row r="186" spans="1:13" ht="12.95" customHeight="1">
      <c r="A186" s="409">
        <v>149</v>
      </c>
      <c r="B186" s="408" t="s">
        <v>635</v>
      </c>
      <c r="C186" s="408" t="s">
        <v>18</v>
      </c>
      <c r="D186" s="416" t="s">
        <v>4</v>
      </c>
      <c r="E186" s="416" t="s">
        <v>636</v>
      </c>
      <c r="F186" s="416" t="s">
        <v>333</v>
      </c>
      <c r="G186" s="220" t="s">
        <v>2747</v>
      </c>
      <c r="H186" s="416" t="s">
        <v>638</v>
      </c>
      <c r="I186" s="416" t="s">
        <v>53</v>
      </c>
      <c r="J186" s="408"/>
      <c r="K186" s="418"/>
      <c r="L186" s="418"/>
      <c r="M186" s="418"/>
    </row>
    <row r="187" spans="1:13" ht="12.95" customHeight="1">
      <c r="A187" s="409"/>
      <c r="B187" s="408"/>
      <c r="C187" s="408"/>
      <c r="D187" s="416"/>
      <c r="E187" s="416"/>
      <c r="F187" s="416"/>
      <c r="G187" s="220" t="s">
        <v>2749</v>
      </c>
      <c r="H187" s="416"/>
      <c r="I187" s="416"/>
      <c r="J187" s="408"/>
      <c r="K187" s="418"/>
      <c r="L187" s="418"/>
      <c r="M187" s="418"/>
    </row>
    <row r="188" spans="1:13" ht="12.95" customHeight="1">
      <c r="A188" s="216">
        <v>150</v>
      </c>
      <c r="B188" s="217" t="s">
        <v>639</v>
      </c>
      <c r="C188" s="217" t="s">
        <v>18</v>
      </c>
      <c r="D188" s="220" t="s">
        <v>4</v>
      </c>
      <c r="E188" s="220" t="s">
        <v>640</v>
      </c>
      <c r="F188" s="220" t="s">
        <v>333</v>
      </c>
      <c r="G188" s="220" t="s">
        <v>53</v>
      </c>
      <c r="H188" s="220" t="s">
        <v>641</v>
      </c>
      <c r="I188" s="220" t="s">
        <v>53</v>
      </c>
      <c r="J188" s="217"/>
      <c r="K188" s="221"/>
      <c r="L188" s="221"/>
      <c r="M188" s="221"/>
    </row>
    <row r="189" spans="1:13" ht="12.95" customHeight="1">
      <c r="A189" s="216">
        <v>151</v>
      </c>
      <c r="B189" s="217" t="s">
        <v>642</v>
      </c>
      <c r="C189" s="217" t="s">
        <v>18</v>
      </c>
      <c r="D189" s="220" t="s">
        <v>4</v>
      </c>
      <c r="E189" s="220" t="s">
        <v>643</v>
      </c>
      <c r="F189" s="220" t="s">
        <v>333</v>
      </c>
      <c r="G189" s="220" t="s">
        <v>53</v>
      </c>
      <c r="H189" s="220" t="s">
        <v>644</v>
      </c>
      <c r="I189" s="220" t="s">
        <v>53</v>
      </c>
      <c r="J189" s="217"/>
      <c r="K189" s="221"/>
      <c r="L189" s="221"/>
      <c r="M189" s="221"/>
    </row>
    <row r="190" spans="1:13" ht="12.95" customHeight="1">
      <c r="A190" s="216">
        <v>152</v>
      </c>
      <c r="B190" s="217" t="s">
        <v>645</v>
      </c>
      <c r="C190" s="217" t="s">
        <v>18</v>
      </c>
      <c r="D190" s="220" t="s">
        <v>4</v>
      </c>
      <c r="E190" s="220" t="s">
        <v>646</v>
      </c>
      <c r="F190" s="220" t="s">
        <v>333</v>
      </c>
      <c r="G190" s="220" t="s">
        <v>53</v>
      </c>
      <c r="H190" s="220" t="s">
        <v>647</v>
      </c>
      <c r="I190" s="220" t="s">
        <v>53</v>
      </c>
      <c r="J190" s="217"/>
      <c r="K190" s="221"/>
      <c r="L190" s="221"/>
      <c r="M190" s="221"/>
    </row>
    <row r="191" spans="1:13" ht="12.95" customHeight="1">
      <c r="A191" s="216">
        <v>153</v>
      </c>
      <c r="B191" s="217" t="s">
        <v>648</v>
      </c>
      <c r="C191" s="217" t="s">
        <v>18</v>
      </c>
      <c r="D191" s="220" t="s">
        <v>4</v>
      </c>
      <c r="E191" s="220" t="s">
        <v>649</v>
      </c>
      <c r="F191" s="220" t="s">
        <v>333</v>
      </c>
      <c r="G191" s="220" t="s">
        <v>53</v>
      </c>
      <c r="H191" s="220" t="s">
        <v>650</v>
      </c>
      <c r="I191" s="220" t="s">
        <v>53</v>
      </c>
      <c r="J191" s="217"/>
      <c r="K191" s="221"/>
      <c r="L191" s="221"/>
      <c r="M191" s="221"/>
    </row>
    <row r="192" spans="1:13" ht="12.95" customHeight="1">
      <c r="A192" s="216">
        <v>154</v>
      </c>
      <c r="B192" s="217" t="s">
        <v>651</v>
      </c>
      <c r="C192" s="217" t="s">
        <v>18</v>
      </c>
      <c r="D192" s="220" t="s">
        <v>4</v>
      </c>
      <c r="E192" s="220" t="s">
        <v>652</v>
      </c>
      <c r="F192" s="220" t="s">
        <v>333</v>
      </c>
      <c r="G192" s="220" t="s">
        <v>53</v>
      </c>
      <c r="H192" s="220" t="s">
        <v>653</v>
      </c>
      <c r="I192" s="220" t="s">
        <v>53</v>
      </c>
      <c r="J192" s="217"/>
      <c r="K192" s="221"/>
      <c r="L192" s="221"/>
      <c r="M192" s="221"/>
    </row>
    <row r="193" spans="1:13" ht="12.95" customHeight="1">
      <c r="A193" s="216">
        <v>155</v>
      </c>
      <c r="B193" s="217" t="s">
        <v>654</v>
      </c>
      <c r="C193" s="217" t="s">
        <v>18</v>
      </c>
      <c r="D193" s="220" t="s">
        <v>4</v>
      </c>
      <c r="E193" s="220" t="s">
        <v>655</v>
      </c>
      <c r="F193" s="220" t="s">
        <v>333</v>
      </c>
      <c r="G193" s="220" t="s">
        <v>53</v>
      </c>
      <c r="H193" s="220" t="s">
        <v>656</v>
      </c>
      <c r="I193" s="220" t="s">
        <v>53</v>
      </c>
      <c r="J193" s="217"/>
      <c r="K193" s="221"/>
      <c r="L193" s="221"/>
      <c r="M193" s="221"/>
    </row>
    <row r="194" spans="1:13" ht="12.95" customHeight="1">
      <c r="A194" s="216">
        <v>156</v>
      </c>
      <c r="B194" s="217" t="s">
        <v>657</v>
      </c>
      <c r="C194" s="217" t="s">
        <v>18</v>
      </c>
      <c r="D194" s="220" t="s">
        <v>4</v>
      </c>
      <c r="E194" s="220" t="s">
        <v>658</v>
      </c>
      <c r="F194" s="220" t="s">
        <v>333</v>
      </c>
      <c r="G194" s="220" t="s">
        <v>53</v>
      </c>
      <c r="H194" s="220" t="s">
        <v>659</v>
      </c>
      <c r="I194" s="220" t="s">
        <v>53</v>
      </c>
      <c r="J194" s="217"/>
      <c r="K194" s="221"/>
      <c r="L194" s="221"/>
      <c r="M194" s="221"/>
    </row>
    <row r="195" spans="1:13" ht="12.95" customHeight="1">
      <c r="A195" s="216">
        <v>157</v>
      </c>
      <c r="B195" s="217" t="s">
        <v>660</v>
      </c>
      <c r="C195" s="217" t="s">
        <v>18</v>
      </c>
      <c r="D195" s="220" t="s">
        <v>4</v>
      </c>
      <c r="E195" s="220" t="s">
        <v>661</v>
      </c>
      <c r="F195" s="220" t="s">
        <v>333</v>
      </c>
      <c r="G195" s="220" t="s">
        <v>53</v>
      </c>
      <c r="H195" s="220" t="s">
        <v>662</v>
      </c>
      <c r="I195" s="220" t="s">
        <v>53</v>
      </c>
      <c r="J195" s="217"/>
      <c r="K195" s="221"/>
      <c r="L195" s="221"/>
      <c r="M195" s="221"/>
    </row>
    <row r="196" spans="1:13" ht="12.95" customHeight="1">
      <c r="A196" s="216">
        <v>158</v>
      </c>
      <c r="B196" s="217" t="s">
        <v>663</v>
      </c>
      <c r="C196" s="217" t="s">
        <v>18</v>
      </c>
      <c r="D196" s="220" t="s">
        <v>4</v>
      </c>
      <c r="E196" s="220" t="s">
        <v>664</v>
      </c>
      <c r="F196" s="220" t="s">
        <v>333</v>
      </c>
      <c r="G196" s="220" t="s">
        <v>53</v>
      </c>
      <c r="H196" s="220" t="s">
        <v>665</v>
      </c>
      <c r="I196" s="220" t="s">
        <v>53</v>
      </c>
      <c r="J196" s="217"/>
      <c r="K196" s="221"/>
      <c r="L196" s="221"/>
      <c r="M196" s="221"/>
    </row>
    <row r="197" spans="1:13" ht="12.95" customHeight="1">
      <c r="A197" s="216">
        <v>159</v>
      </c>
      <c r="B197" s="217" t="s">
        <v>666</v>
      </c>
      <c r="C197" s="217" t="s">
        <v>18</v>
      </c>
      <c r="D197" s="220" t="s">
        <v>4</v>
      </c>
      <c r="E197" s="220" t="s">
        <v>667</v>
      </c>
      <c r="F197" s="220" t="s">
        <v>333</v>
      </c>
      <c r="G197" s="220" t="s">
        <v>53</v>
      </c>
      <c r="H197" s="220" t="s">
        <v>668</v>
      </c>
      <c r="I197" s="220" t="s">
        <v>53</v>
      </c>
      <c r="J197" s="217"/>
      <c r="K197" s="221"/>
      <c r="L197" s="221"/>
      <c r="M197" s="221"/>
    </row>
    <row r="198" spans="1:13" ht="12.95" customHeight="1">
      <c r="A198" s="216">
        <v>160</v>
      </c>
      <c r="B198" s="217" t="s">
        <v>669</v>
      </c>
      <c r="C198" s="217" t="s">
        <v>18</v>
      </c>
      <c r="D198" s="220" t="s">
        <v>4</v>
      </c>
      <c r="E198" s="220" t="s">
        <v>670</v>
      </c>
      <c r="F198" s="220" t="s">
        <v>333</v>
      </c>
      <c r="G198" s="220" t="s">
        <v>53</v>
      </c>
      <c r="H198" s="220" t="s">
        <v>671</v>
      </c>
      <c r="I198" s="220" t="s">
        <v>53</v>
      </c>
      <c r="J198" s="217"/>
      <c r="K198" s="221"/>
      <c r="L198" s="221"/>
      <c r="M198" s="221"/>
    </row>
    <row r="199" spans="1:13" ht="12.95" customHeight="1">
      <c r="A199" s="216">
        <v>161</v>
      </c>
      <c r="B199" s="217" t="s">
        <v>672</v>
      </c>
      <c r="C199" s="217" t="s">
        <v>18</v>
      </c>
      <c r="D199" s="220" t="s">
        <v>4</v>
      </c>
      <c r="E199" s="220" t="s">
        <v>673</v>
      </c>
      <c r="F199" s="220" t="s">
        <v>333</v>
      </c>
      <c r="G199" s="220" t="s">
        <v>53</v>
      </c>
      <c r="H199" s="220" t="s">
        <v>674</v>
      </c>
      <c r="I199" s="220" t="s">
        <v>53</v>
      </c>
      <c r="J199" s="217"/>
      <c r="K199" s="221"/>
      <c r="L199" s="221"/>
      <c r="M199" s="221"/>
    </row>
    <row r="200" spans="1:13" ht="12.95" customHeight="1">
      <c r="A200" s="216">
        <v>162</v>
      </c>
      <c r="B200" s="217" t="s">
        <v>675</v>
      </c>
      <c r="C200" s="217" t="s">
        <v>19</v>
      </c>
      <c r="D200" s="220" t="s">
        <v>680</v>
      </c>
      <c r="E200" s="220" t="s">
        <v>676</v>
      </c>
      <c r="F200" s="220">
        <v>4994</v>
      </c>
      <c r="G200" s="220" t="s">
        <v>1</v>
      </c>
      <c r="H200" s="220" t="s">
        <v>678</v>
      </c>
      <c r="I200" s="220" t="s">
        <v>53</v>
      </c>
      <c r="J200" s="223">
        <v>1</v>
      </c>
      <c r="K200" s="221"/>
      <c r="L200" s="221"/>
      <c r="M200" s="221"/>
    </row>
    <row r="201" spans="1:13" ht="12.95" customHeight="1">
      <c r="A201" s="216">
        <v>163</v>
      </c>
      <c r="B201" s="217" t="s">
        <v>679</v>
      </c>
      <c r="C201" s="217" t="s">
        <v>19</v>
      </c>
      <c r="D201" s="220" t="s">
        <v>680</v>
      </c>
      <c r="E201" s="220" t="s">
        <v>681</v>
      </c>
      <c r="F201" s="220" t="s">
        <v>333</v>
      </c>
      <c r="G201" s="220" t="s">
        <v>53</v>
      </c>
      <c r="H201" s="220" t="s">
        <v>683</v>
      </c>
      <c r="I201" s="220" t="s">
        <v>684</v>
      </c>
      <c r="J201" s="217"/>
      <c r="K201" s="221"/>
      <c r="L201" s="221"/>
      <c r="M201" s="221"/>
    </row>
    <row r="202" spans="1:13" ht="12.95" customHeight="1">
      <c r="A202" s="216">
        <v>164</v>
      </c>
      <c r="B202" s="217" t="s">
        <v>685</v>
      </c>
      <c r="C202" s="217" t="s">
        <v>18</v>
      </c>
      <c r="D202" s="220" t="s">
        <v>680</v>
      </c>
      <c r="E202" s="220" t="s">
        <v>686</v>
      </c>
      <c r="F202" s="220">
        <v>15469189991</v>
      </c>
      <c r="G202" s="220" t="s">
        <v>1</v>
      </c>
      <c r="H202" s="220" t="s">
        <v>688</v>
      </c>
      <c r="I202" s="220" t="s">
        <v>53</v>
      </c>
      <c r="J202" s="217"/>
      <c r="K202" s="221"/>
      <c r="L202" s="221"/>
      <c r="M202" s="221"/>
    </row>
    <row r="203" spans="1:13" ht="12.95" customHeight="1">
      <c r="A203" s="216">
        <v>165</v>
      </c>
      <c r="B203" s="217" t="s">
        <v>689</v>
      </c>
      <c r="C203" s="217" t="s">
        <v>18</v>
      </c>
      <c r="D203" s="220" t="s">
        <v>680</v>
      </c>
      <c r="E203" s="220" t="s">
        <v>690</v>
      </c>
      <c r="F203" s="220">
        <v>2</v>
      </c>
      <c r="G203" s="220" t="s">
        <v>1</v>
      </c>
      <c r="H203" s="220" t="s">
        <v>691</v>
      </c>
      <c r="I203" s="220" t="s">
        <v>53</v>
      </c>
      <c r="J203" s="217"/>
      <c r="K203" s="221"/>
      <c r="L203" s="221"/>
      <c r="M203" s="221"/>
    </row>
    <row r="204" spans="1:13" ht="12.95" customHeight="1">
      <c r="A204" s="409">
        <v>166</v>
      </c>
      <c r="B204" s="408" t="s">
        <v>692</v>
      </c>
      <c r="C204" s="408" t="s">
        <v>18</v>
      </c>
      <c r="D204" s="416" t="s">
        <v>680</v>
      </c>
      <c r="E204" s="416" t="s">
        <v>693</v>
      </c>
      <c r="F204" s="416" t="s">
        <v>333</v>
      </c>
      <c r="G204" s="220" t="s">
        <v>2747</v>
      </c>
      <c r="H204" s="416" t="s">
        <v>696</v>
      </c>
      <c r="I204" s="416" t="s">
        <v>53</v>
      </c>
      <c r="J204" s="408"/>
      <c r="K204" s="418"/>
      <c r="L204" s="418"/>
      <c r="M204" s="418"/>
    </row>
    <row r="205" spans="1:13" ht="12.95" customHeight="1">
      <c r="A205" s="409"/>
      <c r="B205" s="408"/>
      <c r="C205" s="408"/>
      <c r="D205" s="416"/>
      <c r="E205" s="416"/>
      <c r="F205" s="416"/>
      <c r="G205" s="220" t="s">
        <v>2750</v>
      </c>
      <c r="H205" s="416"/>
      <c r="I205" s="416"/>
      <c r="J205" s="408"/>
      <c r="K205" s="418"/>
      <c r="L205" s="418"/>
      <c r="M205" s="418"/>
    </row>
    <row r="206" spans="1:13" ht="12.95" customHeight="1">
      <c r="A206" s="409">
        <v>167</v>
      </c>
      <c r="B206" s="408" t="s">
        <v>697</v>
      </c>
      <c r="C206" s="408" t="s">
        <v>18</v>
      </c>
      <c r="D206" s="416" t="s">
        <v>680</v>
      </c>
      <c r="E206" s="416" t="s">
        <v>698</v>
      </c>
      <c r="F206" s="416" t="s">
        <v>333</v>
      </c>
      <c r="G206" s="220" t="s">
        <v>2747</v>
      </c>
      <c r="H206" s="416" t="s">
        <v>699</v>
      </c>
      <c r="I206" s="416" t="s">
        <v>53</v>
      </c>
      <c r="J206" s="408"/>
      <c r="K206" s="418"/>
      <c r="L206" s="418"/>
      <c r="M206" s="418"/>
    </row>
    <row r="207" spans="1:13" ht="12.95" customHeight="1">
      <c r="A207" s="409"/>
      <c r="B207" s="408"/>
      <c r="C207" s="408"/>
      <c r="D207" s="416"/>
      <c r="E207" s="416"/>
      <c r="F207" s="416"/>
      <c r="G207" s="220" t="s">
        <v>2750</v>
      </c>
      <c r="H207" s="416"/>
      <c r="I207" s="416"/>
      <c r="J207" s="408"/>
      <c r="K207" s="418"/>
      <c r="L207" s="418"/>
      <c r="M207" s="418"/>
    </row>
    <row r="208" spans="1:13" ht="12.95" customHeight="1">
      <c r="A208" s="216">
        <v>168</v>
      </c>
      <c r="B208" s="217" t="s">
        <v>700</v>
      </c>
      <c r="C208" s="217" t="s">
        <v>18</v>
      </c>
      <c r="D208" s="220" t="s">
        <v>680</v>
      </c>
      <c r="E208" s="220" t="s">
        <v>701</v>
      </c>
      <c r="F208" s="220" t="s">
        <v>333</v>
      </c>
      <c r="G208" s="220" t="s">
        <v>1</v>
      </c>
      <c r="H208" s="220" t="s">
        <v>702</v>
      </c>
      <c r="I208" s="220" t="s">
        <v>53</v>
      </c>
      <c r="J208" s="217"/>
      <c r="K208" s="221"/>
      <c r="L208" s="221"/>
      <c r="M208" s="221"/>
    </row>
    <row r="209" spans="1:13" ht="12.95" customHeight="1">
      <c r="A209" s="216">
        <v>169</v>
      </c>
      <c r="B209" s="217" t="s">
        <v>703</v>
      </c>
      <c r="C209" s="217" t="s">
        <v>18</v>
      </c>
      <c r="D209" s="220" t="s">
        <v>680</v>
      </c>
      <c r="E209" s="220" t="s">
        <v>704</v>
      </c>
      <c r="F209" s="220" t="s">
        <v>333</v>
      </c>
      <c r="G209" s="220" t="s">
        <v>1</v>
      </c>
      <c r="H209" s="220" t="s">
        <v>705</v>
      </c>
      <c r="I209" s="220" t="s">
        <v>53</v>
      </c>
      <c r="J209" s="217"/>
      <c r="K209" s="221"/>
      <c r="L209" s="221"/>
      <c r="M209" s="221"/>
    </row>
    <row r="210" spans="1:13" ht="12.95" customHeight="1">
      <c r="A210" s="216">
        <v>170</v>
      </c>
      <c r="B210" s="217" t="s">
        <v>706</v>
      </c>
      <c r="C210" s="217" t="s">
        <v>18</v>
      </c>
      <c r="D210" s="220" t="s">
        <v>680</v>
      </c>
      <c r="E210" s="220" t="s">
        <v>707</v>
      </c>
      <c r="F210" s="220" t="s">
        <v>333</v>
      </c>
      <c r="G210" s="220" t="s">
        <v>1</v>
      </c>
      <c r="H210" s="220" t="s">
        <v>708</v>
      </c>
      <c r="I210" s="220" t="s">
        <v>53</v>
      </c>
      <c r="J210" s="217"/>
      <c r="K210" s="221"/>
      <c r="L210" s="221"/>
      <c r="M210" s="221"/>
    </row>
    <row r="211" spans="1:13" ht="12.95" customHeight="1">
      <c r="A211" s="216">
        <v>171</v>
      </c>
      <c r="B211" s="217" t="s">
        <v>709</v>
      </c>
      <c r="C211" s="217" t="s">
        <v>18</v>
      </c>
      <c r="D211" s="220" t="s">
        <v>9</v>
      </c>
      <c r="E211" s="220" t="s">
        <v>710</v>
      </c>
      <c r="F211" s="220" t="s">
        <v>711</v>
      </c>
      <c r="G211" s="220" t="s">
        <v>1</v>
      </c>
      <c r="H211" s="220" t="s">
        <v>712</v>
      </c>
      <c r="I211" s="220" t="s">
        <v>53</v>
      </c>
      <c r="J211" s="217"/>
      <c r="K211" s="221"/>
      <c r="L211" s="221"/>
      <c r="M211" s="221"/>
    </row>
    <row r="212" spans="1:13" ht="12.95" customHeight="1">
      <c r="A212" s="216">
        <v>172</v>
      </c>
      <c r="B212" s="217" t="s">
        <v>713</v>
      </c>
      <c r="C212" s="217" t="s">
        <v>18</v>
      </c>
      <c r="D212" s="220" t="s">
        <v>9</v>
      </c>
      <c r="E212" s="220" t="s">
        <v>714</v>
      </c>
      <c r="F212" s="220">
        <v>2025</v>
      </c>
      <c r="G212" s="220" t="s">
        <v>1</v>
      </c>
      <c r="H212" s="220" t="s">
        <v>716</v>
      </c>
      <c r="I212" s="220" t="s">
        <v>53</v>
      </c>
      <c r="J212" s="217"/>
      <c r="K212" s="221"/>
      <c r="L212" s="221"/>
      <c r="M212" s="221"/>
    </row>
    <row r="213" spans="1:13" ht="12.95" customHeight="1">
      <c r="A213" s="216">
        <v>173</v>
      </c>
      <c r="B213" s="217" t="s">
        <v>717</v>
      </c>
      <c r="C213" s="217" t="s">
        <v>18</v>
      </c>
      <c r="D213" s="220" t="s">
        <v>1380</v>
      </c>
      <c r="E213" s="220" t="s">
        <v>718</v>
      </c>
      <c r="F213" s="220">
        <v>45870.79722</v>
      </c>
      <c r="G213" s="220" t="s">
        <v>1</v>
      </c>
      <c r="H213" s="220" t="s">
        <v>720</v>
      </c>
      <c r="I213" s="220" t="s">
        <v>53</v>
      </c>
      <c r="J213" s="217"/>
      <c r="K213" s="221"/>
      <c r="L213" s="221"/>
      <c r="M213" s="221"/>
    </row>
    <row r="214" spans="1:13" ht="12.95" customHeight="1">
      <c r="A214" s="216">
        <v>174</v>
      </c>
      <c r="B214" s="217" t="s">
        <v>721</v>
      </c>
      <c r="C214" s="217" t="s">
        <v>18</v>
      </c>
      <c r="D214" s="220" t="s">
        <v>1380</v>
      </c>
      <c r="E214" s="220" t="s">
        <v>722</v>
      </c>
      <c r="F214" s="220">
        <v>45870.760416666701</v>
      </c>
      <c r="G214" s="220" t="s">
        <v>1</v>
      </c>
      <c r="H214" s="220" t="s">
        <v>725</v>
      </c>
      <c r="I214" s="220" t="s">
        <v>53</v>
      </c>
      <c r="J214" s="217"/>
      <c r="K214" s="221"/>
      <c r="L214" s="221"/>
      <c r="M214" s="221"/>
    </row>
    <row r="215" spans="1:13" ht="12.95" customHeight="1">
      <c r="A215" s="216">
        <v>175</v>
      </c>
      <c r="B215" s="217" t="s">
        <v>726</v>
      </c>
      <c r="C215" s="217" t="s">
        <v>18</v>
      </c>
      <c r="D215" s="220" t="s">
        <v>1380</v>
      </c>
      <c r="E215" s="220" t="s">
        <v>727</v>
      </c>
      <c r="F215" s="220" t="s">
        <v>333</v>
      </c>
      <c r="G215" s="220" t="s">
        <v>53</v>
      </c>
      <c r="H215" s="220" t="s">
        <v>728</v>
      </c>
      <c r="I215" s="220" t="s">
        <v>53</v>
      </c>
      <c r="J215" s="217"/>
      <c r="K215" s="221"/>
      <c r="L215" s="221"/>
      <c r="M215" s="221"/>
    </row>
    <row r="216" spans="1:13" ht="12.95" customHeight="1">
      <c r="A216" s="216">
        <v>176</v>
      </c>
      <c r="B216" s="217" t="s">
        <v>729</v>
      </c>
      <c r="C216" s="217" t="s">
        <v>18</v>
      </c>
      <c r="D216" s="220" t="s">
        <v>1380</v>
      </c>
      <c r="E216" s="220" t="s">
        <v>730</v>
      </c>
      <c r="F216" s="220" t="s">
        <v>333</v>
      </c>
      <c r="G216" s="220" t="s">
        <v>53</v>
      </c>
      <c r="H216" s="220" t="s">
        <v>731</v>
      </c>
      <c r="I216" s="220" t="s">
        <v>53</v>
      </c>
      <c r="J216" s="217"/>
      <c r="K216" s="221"/>
      <c r="L216" s="221"/>
      <c r="M216" s="221"/>
    </row>
    <row r="217" spans="1:13" ht="12.95" customHeight="1">
      <c r="A217" s="216">
        <v>177</v>
      </c>
      <c r="B217" s="217" t="s">
        <v>732</v>
      </c>
      <c r="C217" s="217" t="s">
        <v>17</v>
      </c>
      <c r="D217" s="220" t="s">
        <v>11</v>
      </c>
      <c r="E217" s="220" t="s">
        <v>733</v>
      </c>
      <c r="F217" s="220" t="s">
        <v>584</v>
      </c>
      <c r="G217" s="220" t="s">
        <v>57</v>
      </c>
      <c r="H217" s="220"/>
      <c r="I217" s="220"/>
      <c r="J217" s="217" t="s">
        <v>57</v>
      </c>
      <c r="K217" s="217"/>
      <c r="L217" s="220"/>
      <c r="M217" s="220"/>
    </row>
    <row r="218" spans="1:13" ht="12.95" customHeight="1">
      <c r="A218" s="216">
        <v>178</v>
      </c>
      <c r="B218" s="217" t="s">
        <v>735</v>
      </c>
      <c r="C218" s="217" t="s">
        <v>19</v>
      </c>
      <c r="D218" s="220" t="s">
        <v>7</v>
      </c>
      <c r="E218" s="220" t="s">
        <v>736</v>
      </c>
      <c r="F218" s="220">
        <v>8700</v>
      </c>
      <c r="G218" s="220" t="s">
        <v>1</v>
      </c>
      <c r="H218" s="220" t="s">
        <v>739</v>
      </c>
      <c r="I218" s="220" t="s">
        <v>1</v>
      </c>
      <c r="J218" s="217"/>
      <c r="K218" s="221"/>
      <c r="L218" s="221"/>
      <c r="M218" s="221"/>
    </row>
    <row r="219" spans="1:13" ht="12.95" customHeight="1">
      <c r="A219" s="216">
        <v>179</v>
      </c>
      <c r="B219" s="217" t="s">
        <v>740</v>
      </c>
      <c r="C219" s="217" t="s">
        <v>19</v>
      </c>
      <c r="D219" s="220" t="s">
        <v>11</v>
      </c>
      <c r="E219" s="220" t="s">
        <v>741</v>
      </c>
      <c r="F219" s="220">
        <v>8</v>
      </c>
      <c r="G219" s="220" t="s">
        <v>1</v>
      </c>
      <c r="H219" s="220" t="s">
        <v>743</v>
      </c>
      <c r="I219" s="220" t="s">
        <v>1</v>
      </c>
      <c r="J219" s="217"/>
      <c r="K219" s="221"/>
      <c r="L219" s="221"/>
      <c r="M219" s="221"/>
    </row>
    <row r="220" spans="1:13" ht="12.95" customHeight="1">
      <c r="A220" s="216">
        <v>180</v>
      </c>
      <c r="B220" s="217" t="s">
        <v>744</v>
      </c>
      <c r="C220" s="217" t="s">
        <v>104</v>
      </c>
      <c r="D220" s="220" t="s">
        <v>11</v>
      </c>
      <c r="E220" s="220" t="s">
        <v>745</v>
      </c>
      <c r="F220" s="220">
        <v>100</v>
      </c>
      <c r="G220" s="220" t="s">
        <v>448</v>
      </c>
      <c r="H220" s="220" t="s">
        <v>748</v>
      </c>
      <c r="I220" s="220"/>
      <c r="J220" s="217" t="s">
        <v>208</v>
      </c>
      <c r="K220" s="220"/>
      <c r="L220" s="220"/>
      <c r="M220" s="220"/>
    </row>
    <row r="221" spans="1:13" ht="12.95" customHeight="1">
      <c r="A221" s="216">
        <v>181</v>
      </c>
      <c r="B221" s="217" t="s">
        <v>749</v>
      </c>
      <c r="C221" s="217" t="s">
        <v>104</v>
      </c>
      <c r="D221" s="220" t="s">
        <v>11</v>
      </c>
      <c r="E221" s="220" t="s">
        <v>750</v>
      </c>
      <c r="F221" s="220">
        <v>181</v>
      </c>
      <c r="G221" s="220" t="s">
        <v>448</v>
      </c>
      <c r="H221" s="220"/>
      <c r="I221" s="220"/>
      <c r="J221" s="217" t="s">
        <v>208</v>
      </c>
      <c r="K221" s="220"/>
      <c r="L221" s="220"/>
      <c r="M221" s="220"/>
    </row>
    <row r="222" spans="1:13" ht="12.95" customHeight="1">
      <c r="A222" s="216">
        <v>182</v>
      </c>
      <c r="B222" s="217" t="s">
        <v>753</v>
      </c>
      <c r="C222" s="217" t="s">
        <v>104</v>
      </c>
      <c r="D222" s="220" t="s">
        <v>11</v>
      </c>
      <c r="E222" s="220" t="s">
        <v>754</v>
      </c>
      <c r="F222" s="220">
        <v>181</v>
      </c>
      <c r="G222" s="220" t="s">
        <v>448</v>
      </c>
      <c r="H222" s="220"/>
      <c r="I222" s="220"/>
      <c r="J222" s="217" t="s">
        <v>208</v>
      </c>
      <c r="K222" s="220"/>
      <c r="L222" s="220"/>
      <c r="M222" s="220"/>
    </row>
    <row r="223" spans="1:13" ht="12.95" customHeight="1">
      <c r="A223" s="216">
        <v>183</v>
      </c>
      <c r="B223" s="217" t="s">
        <v>756</v>
      </c>
      <c r="C223" s="217" t="s">
        <v>18</v>
      </c>
      <c r="D223" s="220" t="s">
        <v>7</v>
      </c>
      <c r="E223" s="220" t="s">
        <v>757</v>
      </c>
      <c r="F223" s="220" t="s">
        <v>333</v>
      </c>
      <c r="G223" s="220" t="s">
        <v>1</v>
      </c>
      <c r="H223" s="220" t="s">
        <v>758</v>
      </c>
      <c r="I223" s="220" t="s">
        <v>53</v>
      </c>
      <c r="J223" s="217"/>
      <c r="K223" s="221"/>
      <c r="L223" s="221"/>
      <c r="M223" s="221"/>
    </row>
    <row r="224" spans="1:13" ht="12.95" customHeight="1">
      <c r="A224" s="216">
        <v>184</v>
      </c>
      <c r="B224" s="217" t="s">
        <v>759</v>
      </c>
      <c r="C224" s="217" t="s">
        <v>18</v>
      </c>
      <c r="D224" s="220" t="s">
        <v>7</v>
      </c>
      <c r="E224" s="220" t="s">
        <v>760</v>
      </c>
      <c r="F224" s="220" t="s">
        <v>333</v>
      </c>
      <c r="G224" s="220" t="s">
        <v>1</v>
      </c>
      <c r="H224" s="220" t="s">
        <v>761</v>
      </c>
      <c r="I224" s="220" t="s">
        <v>53</v>
      </c>
      <c r="J224" s="217"/>
      <c r="K224" s="221"/>
      <c r="L224" s="221"/>
      <c r="M224" s="221"/>
    </row>
    <row r="225" spans="1:13" ht="12.95" customHeight="1">
      <c r="A225" s="216">
        <v>185</v>
      </c>
      <c r="B225" s="217" t="s">
        <v>762</v>
      </c>
      <c r="C225" s="217" t="s">
        <v>18</v>
      </c>
      <c r="D225" s="220" t="s">
        <v>7</v>
      </c>
      <c r="E225" s="220" t="s">
        <v>763</v>
      </c>
      <c r="F225" s="220" t="s">
        <v>333</v>
      </c>
      <c r="G225" s="220" t="s">
        <v>1</v>
      </c>
      <c r="H225" s="220" t="s">
        <v>764</v>
      </c>
      <c r="I225" s="220" t="s">
        <v>53</v>
      </c>
      <c r="J225" s="217"/>
      <c r="K225" s="221"/>
      <c r="L225" s="221"/>
      <c r="M225" s="221"/>
    </row>
    <row r="226" spans="1:13" ht="12.95" customHeight="1">
      <c r="A226" s="216">
        <v>186</v>
      </c>
      <c r="B226" s="217" t="s">
        <v>765</v>
      </c>
      <c r="C226" s="217" t="s">
        <v>18</v>
      </c>
      <c r="D226" s="220" t="s">
        <v>11</v>
      </c>
      <c r="E226" s="220" t="s">
        <v>766</v>
      </c>
      <c r="F226" s="220" t="s">
        <v>53</v>
      </c>
      <c r="G226" s="220" t="s">
        <v>1</v>
      </c>
      <c r="H226" s="220" t="s">
        <v>767</v>
      </c>
      <c r="I226" s="220" t="s">
        <v>53</v>
      </c>
      <c r="J226" s="217"/>
      <c r="K226" s="221"/>
      <c r="L226" s="221"/>
      <c r="M226" s="221"/>
    </row>
    <row r="227" spans="1:13" ht="12.95" customHeight="1">
      <c r="A227" s="216">
        <v>187</v>
      </c>
      <c r="B227" s="217" t="s">
        <v>768</v>
      </c>
      <c r="C227" s="217" t="s">
        <v>18</v>
      </c>
      <c r="D227" s="220" t="s">
        <v>11</v>
      </c>
      <c r="E227" s="220" t="s">
        <v>769</v>
      </c>
      <c r="F227" s="220" t="s">
        <v>1</v>
      </c>
      <c r="G227" s="220" t="s">
        <v>1</v>
      </c>
      <c r="H227" s="220" t="s">
        <v>770</v>
      </c>
      <c r="I227" s="220" t="s">
        <v>53</v>
      </c>
      <c r="J227" s="217"/>
      <c r="K227" s="221"/>
      <c r="L227" s="221"/>
      <c r="M227" s="221"/>
    </row>
    <row r="228" spans="1:13" ht="12.95" customHeight="1">
      <c r="A228" s="216">
        <v>188</v>
      </c>
      <c r="B228" s="217" t="s">
        <v>771</v>
      </c>
      <c r="C228" s="217" t="s">
        <v>17</v>
      </c>
      <c r="D228" s="220" t="s">
        <v>11</v>
      </c>
      <c r="E228" s="220" t="s">
        <v>772</v>
      </c>
      <c r="F228" s="220" t="s">
        <v>584</v>
      </c>
      <c r="G228" s="220" t="s">
        <v>57</v>
      </c>
      <c r="H228" s="220" t="s">
        <v>349</v>
      </c>
      <c r="I228" s="220"/>
      <c r="J228" s="217" t="s">
        <v>57</v>
      </c>
      <c r="K228" s="217"/>
      <c r="L228" s="220"/>
      <c r="M228" s="220"/>
    </row>
    <row r="229" spans="1:13" ht="12.95" customHeight="1">
      <c r="A229" s="216">
        <v>189</v>
      </c>
      <c r="B229" s="217" t="s">
        <v>775</v>
      </c>
      <c r="C229" s="217" t="s">
        <v>17</v>
      </c>
      <c r="D229" s="220" t="s">
        <v>11</v>
      </c>
      <c r="E229" s="220" t="s">
        <v>776</v>
      </c>
      <c r="F229" s="220"/>
      <c r="G229" s="220" t="s">
        <v>57</v>
      </c>
      <c r="H229" s="220"/>
      <c r="I229" s="220"/>
      <c r="J229" s="217" t="s">
        <v>57</v>
      </c>
      <c r="K229" s="217"/>
      <c r="L229" s="220"/>
      <c r="M229" s="220"/>
    </row>
  </sheetData>
  <mergeCells count="348">
    <mergeCell ref="L6:L7"/>
    <mergeCell ref="M6:M7"/>
    <mergeCell ref="A12:A13"/>
    <mergeCell ref="B12:B13"/>
    <mergeCell ref="C12:C13"/>
    <mergeCell ref="D12:D13"/>
    <mergeCell ref="E12:E13"/>
    <mergeCell ref="F12:F13"/>
    <mergeCell ref="G12:G13"/>
    <mergeCell ref="E6:E7"/>
    <mergeCell ref="F6:F7"/>
    <mergeCell ref="G6:G7"/>
    <mergeCell ref="I6:I7"/>
    <mergeCell ref="J6:J7"/>
    <mergeCell ref="K6:K7"/>
    <mergeCell ref="A6:A7"/>
    <mergeCell ref="B6:B7"/>
    <mergeCell ref="C6:C7"/>
    <mergeCell ref="D6:D7"/>
    <mergeCell ref="I12:I13"/>
    <mergeCell ref="J12:J13"/>
    <mergeCell ref="K12:K13"/>
    <mergeCell ref="L12:L13"/>
    <mergeCell ref="M12:M13"/>
    <mergeCell ref="A14:A15"/>
    <mergeCell ref="B14:B15"/>
    <mergeCell ref="C14:C15"/>
    <mergeCell ref="D14:D15"/>
    <mergeCell ref="L14:L15"/>
    <mergeCell ref="M14:M15"/>
    <mergeCell ref="A21:A22"/>
    <mergeCell ref="B21:B22"/>
    <mergeCell ref="C21:C22"/>
    <mergeCell ref="D21:D22"/>
    <mergeCell ref="E21:E22"/>
    <mergeCell ref="F21:F22"/>
    <mergeCell ref="G21:G22"/>
    <mergeCell ref="E14:E15"/>
    <mergeCell ref="F14:F15"/>
    <mergeCell ref="G14:G15"/>
    <mergeCell ref="I14:I15"/>
    <mergeCell ref="J14:J15"/>
    <mergeCell ref="K14:K15"/>
    <mergeCell ref="I21:I22"/>
    <mergeCell ref="J21:J22"/>
    <mergeCell ref="K21:K22"/>
    <mergeCell ref="L21:L22"/>
    <mergeCell ref="M21:M22"/>
    <mergeCell ref="A28:A29"/>
    <mergeCell ref="B28:B29"/>
    <mergeCell ref="C28:C29"/>
    <mergeCell ref="D28:D29"/>
    <mergeCell ref="L28:L29"/>
    <mergeCell ref="M28:M29"/>
    <mergeCell ref="A30:A33"/>
    <mergeCell ref="B30:B33"/>
    <mergeCell ref="C30:C33"/>
    <mergeCell ref="D30:D33"/>
    <mergeCell ref="E30:E33"/>
    <mergeCell ref="F30:F33"/>
    <mergeCell ref="G30:G33"/>
    <mergeCell ref="E28:E29"/>
    <mergeCell ref="F28:F29"/>
    <mergeCell ref="G28:G29"/>
    <mergeCell ref="I28:I29"/>
    <mergeCell ref="J28:J29"/>
    <mergeCell ref="K28:K29"/>
    <mergeCell ref="I30:I33"/>
    <mergeCell ref="J30:J33"/>
    <mergeCell ref="K30:K33"/>
    <mergeCell ref="L30:L33"/>
    <mergeCell ref="M30:M33"/>
    <mergeCell ref="A36:A38"/>
    <mergeCell ref="B36:B38"/>
    <mergeCell ref="C36:C38"/>
    <mergeCell ref="D36:D38"/>
    <mergeCell ref="L36:L38"/>
    <mergeCell ref="M36:M38"/>
    <mergeCell ref="A40:A42"/>
    <mergeCell ref="B40:B42"/>
    <mergeCell ref="C40:C42"/>
    <mergeCell ref="D40:D42"/>
    <mergeCell ref="E40:E42"/>
    <mergeCell ref="F40:F42"/>
    <mergeCell ref="G40:G42"/>
    <mergeCell ref="E36:E38"/>
    <mergeCell ref="F36:F38"/>
    <mergeCell ref="G36:G38"/>
    <mergeCell ref="I36:I38"/>
    <mergeCell ref="J36:J38"/>
    <mergeCell ref="K36:K38"/>
    <mergeCell ref="I40:I42"/>
    <mergeCell ref="J40:J42"/>
    <mergeCell ref="K40:K42"/>
    <mergeCell ref="L40:L42"/>
    <mergeCell ref="M40:M42"/>
    <mergeCell ref="A43:A45"/>
    <mergeCell ref="B43:B45"/>
    <mergeCell ref="C43:C45"/>
    <mergeCell ref="D43:D45"/>
    <mergeCell ref="L43:L45"/>
    <mergeCell ref="M43:M45"/>
    <mergeCell ref="A46:A48"/>
    <mergeCell ref="B46:B48"/>
    <mergeCell ref="C46:C48"/>
    <mergeCell ref="D46:D48"/>
    <mergeCell ref="E46:E48"/>
    <mergeCell ref="F46:F48"/>
    <mergeCell ref="G46:G48"/>
    <mergeCell ref="E43:E45"/>
    <mergeCell ref="F43:F45"/>
    <mergeCell ref="G43:G45"/>
    <mergeCell ref="I43:I45"/>
    <mergeCell ref="J43:J45"/>
    <mergeCell ref="K43:K45"/>
    <mergeCell ref="I46:I48"/>
    <mergeCell ref="J46:J48"/>
    <mergeCell ref="K46:K48"/>
    <mergeCell ref="L46:L48"/>
    <mergeCell ref="M46:M48"/>
    <mergeCell ref="A49:A51"/>
    <mergeCell ref="B49:B51"/>
    <mergeCell ref="C49:C51"/>
    <mergeCell ref="D49:D51"/>
    <mergeCell ref="L49:L51"/>
    <mergeCell ref="M49:M51"/>
    <mergeCell ref="A52:A53"/>
    <mergeCell ref="B52:B53"/>
    <mergeCell ref="C52:C53"/>
    <mergeCell ref="D52:D53"/>
    <mergeCell ref="E52:E53"/>
    <mergeCell ref="F52:F53"/>
    <mergeCell ref="G52:G53"/>
    <mergeCell ref="E49:E51"/>
    <mergeCell ref="F49:F51"/>
    <mergeCell ref="G49:G51"/>
    <mergeCell ref="I49:I51"/>
    <mergeCell ref="J49:J51"/>
    <mergeCell ref="K49:K51"/>
    <mergeCell ref="I52:I53"/>
    <mergeCell ref="J52:J53"/>
    <mergeCell ref="K52:K53"/>
    <mergeCell ref="L52:L53"/>
    <mergeCell ref="M52:M53"/>
    <mergeCell ref="A54:A55"/>
    <mergeCell ref="B54:B55"/>
    <mergeCell ref="C54:C55"/>
    <mergeCell ref="D54:D55"/>
    <mergeCell ref="L54:L55"/>
    <mergeCell ref="M54:M55"/>
    <mergeCell ref="A56:A57"/>
    <mergeCell ref="B56:B57"/>
    <mergeCell ref="C56:C57"/>
    <mergeCell ref="D56:D57"/>
    <mergeCell ref="E56:E57"/>
    <mergeCell ref="F56:F57"/>
    <mergeCell ref="G56:G57"/>
    <mergeCell ref="E54:E55"/>
    <mergeCell ref="F54:F55"/>
    <mergeCell ref="G54:G55"/>
    <mergeCell ref="I54:I55"/>
    <mergeCell ref="J54:J55"/>
    <mergeCell ref="K54:K55"/>
    <mergeCell ref="I56:I57"/>
    <mergeCell ref="J56:J57"/>
    <mergeCell ref="K56:K57"/>
    <mergeCell ref="L56:L57"/>
    <mergeCell ref="M56:M57"/>
    <mergeCell ref="A58:A64"/>
    <mergeCell ref="B58:B64"/>
    <mergeCell ref="C58:C64"/>
    <mergeCell ref="D58:D64"/>
    <mergeCell ref="L58:L64"/>
    <mergeCell ref="M58:M64"/>
    <mergeCell ref="A65:A67"/>
    <mergeCell ref="B65:B67"/>
    <mergeCell ref="C65:C67"/>
    <mergeCell ref="D65:D67"/>
    <mergeCell ref="E65:E67"/>
    <mergeCell ref="F65:F67"/>
    <mergeCell ref="G65:G67"/>
    <mergeCell ref="E58:E64"/>
    <mergeCell ref="F58:F64"/>
    <mergeCell ref="G58:G64"/>
    <mergeCell ref="I58:I64"/>
    <mergeCell ref="J58:J64"/>
    <mergeCell ref="K58:K64"/>
    <mergeCell ref="I65:I67"/>
    <mergeCell ref="J65:J67"/>
    <mergeCell ref="K65:K67"/>
    <mergeCell ref="L65:L67"/>
    <mergeCell ref="M65:M67"/>
    <mergeCell ref="A68:A70"/>
    <mergeCell ref="B68:B70"/>
    <mergeCell ref="C68:C70"/>
    <mergeCell ref="D68:D70"/>
    <mergeCell ref="L68:L70"/>
    <mergeCell ref="M68:M70"/>
    <mergeCell ref="A71:A73"/>
    <mergeCell ref="B71:B73"/>
    <mergeCell ref="C71:C73"/>
    <mergeCell ref="D71:D73"/>
    <mergeCell ref="E71:E73"/>
    <mergeCell ref="F71:F73"/>
    <mergeCell ref="G71:G73"/>
    <mergeCell ref="E68:E70"/>
    <mergeCell ref="F68:F70"/>
    <mergeCell ref="G68:G70"/>
    <mergeCell ref="I68:I70"/>
    <mergeCell ref="J68:J70"/>
    <mergeCell ref="K68:K70"/>
    <mergeCell ref="I71:I73"/>
    <mergeCell ref="J71:J73"/>
    <mergeCell ref="K71:K73"/>
    <mergeCell ref="L71:L73"/>
    <mergeCell ref="M71:M73"/>
    <mergeCell ref="A74:A76"/>
    <mergeCell ref="B74:B76"/>
    <mergeCell ref="C74:C76"/>
    <mergeCell ref="D74:D76"/>
    <mergeCell ref="L74:L76"/>
    <mergeCell ref="M74:M76"/>
    <mergeCell ref="A77:A79"/>
    <mergeCell ref="B77:B79"/>
    <mergeCell ref="C77:C79"/>
    <mergeCell ref="D77:D79"/>
    <mergeCell ref="E77:E79"/>
    <mergeCell ref="F77:F79"/>
    <mergeCell ref="G77:G79"/>
    <mergeCell ref="E74:E76"/>
    <mergeCell ref="F74:F76"/>
    <mergeCell ref="G74:G76"/>
    <mergeCell ref="I74:I76"/>
    <mergeCell ref="J74:J76"/>
    <mergeCell ref="K74:K76"/>
    <mergeCell ref="I77:I79"/>
    <mergeCell ref="J77:J79"/>
    <mergeCell ref="K77:K79"/>
    <mergeCell ref="L77:L79"/>
    <mergeCell ref="M77:M79"/>
    <mergeCell ref="A120:A121"/>
    <mergeCell ref="B120:B121"/>
    <mergeCell ref="C120:C121"/>
    <mergeCell ref="D120:D121"/>
    <mergeCell ref="L120:L121"/>
    <mergeCell ref="M120:M121"/>
    <mergeCell ref="A122:A123"/>
    <mergeCell ref="B122:B123"/>
    <mergeCell ref="C122:C123"/>
    <mergeCell ref="D122:D123"/>
    <mergeCell ref="E122:E123"/>
    <mergeCell ref="F122:F123"/>
    <mergeCell ref="G122:G123"/>
    <mergeCell ref="E120:E121"/>
    <mergeCell ref="F120:F121"/>
    <mergeCell ref="G120:G121"/>
    <mergeCell ref="I120:I121"/>
    <mergeCell ref="J120:J121"/>
    <mergeCell ref="K120:K121"/>
    <mergeCell ref="I122:I123"/>
    <mergeCell ref="J122:J123"/>
    <mergeCell ref="K122:K123"/>
    <mergeCell ref="L122:L123"/>
    <mergeCell ref="M122:M123"/>
    <mergeCell ref="A124:A125"/>
    <mergeCell ref="B124:B125"/>
    <mergeCell ref="C124:C125"/>
    <mergeCell ref="D124:D125"/>
    <mergeCell ref="L124:L125"/>
    <mergeCell ref="M124:M125"/>
    <mergeCell ref="A126:A127"/>
    <mergeCell ref="B126:B127"/>
    <mergeCell ref="C126:C127"/>
    <mergeCell ref="D126:D127"/>
    <mergeCell ref="E126:E127"/>
    <mergeCell ref="F126:F127"/>
    <mergeCell ref="G126:G127"/>
    <mergeCell ref="E124:E125"/>
    <mergeCell ref="F124:F125"/>
    <mergeCell ref="G124:G125"/>
    <mergeCell ref="I124:I125"/>
    <mergeCell ref="J124:J125"/>
    <mergeCell ref="K124:K125"/>
    <mergeCell ref="I126:I127"/>
    <mergeCell ref="J126:J127"/>
    <mergeCell ref="K126:K127"/>
    <mergeCell ref="L126:L127"/>
    <mergeCell ref="M126:M127"/>
    <mergeCell ref="M143:M148"/>
    <mergeCell ref="A184:A185"/>
    <mergeCell ref="B184:B185"/>
    <mergeCell ref="C184:C185"/>
    <mergeCell ref="D184:D185"/>
    <mergeCell ref="E184:E185"/>
    <mergeCell ref="F184:F185"/>
    <mergeCell ref="H184:H185"/>
    <mergeCell ref="E143:E148"/>
    <mergeCell ref="F143:F148"/>
    <mergeCell ref="G143:G148"/>
    <mergeCell ref="I143:I148"/>
    <mergeCell ref="J143:J148"/>
    <mergeCell ref="K143:K148"/>
    <mergeCell ref="I184:I185"/>
    <mergeCell ref="J184:J185"/>
    <mergeCell ref="K184:K185"/>
    <mergeCell ref="L184:L185"/>
    <mergeCell ref="M184:M185"/>
    <mergeCell ref="A206:A207"/>
    <mergeCell ref="B206:B207"/>
    <mergeCell ref="C206:C207"/>
    <mergeCell ref="D206:D207"/>
    <mergeCell ref="L186:L187"/>
    <mergeCell ref="L206:L207"/>
    <mergeCell ref="A143:A148"/>
    <mergeCell ref="B143:B148"/>
    <mergeCell ref="C143:C148"/>
    <mergeCell ref="D143:D148"/>
    <mergeCell ref="L143:L148"/>
    <mergeCell ref="M186:M187"/>
    <mergeCell ref="A204:A205"/>
    <mergeCell ref="B204:B205"/>
    <mergeCell ref="C204:C205"/>
    <mergeCell ref="D204:D205"/>
    <mergeCell ref="E204:E205"/>
    <mergeCell ref="F204:F205"/>
    <mergeCell ref="H204:H205"/>
    <mergeCell ref="E186:E187"/>
    <mergeCell ref="F186:F187"/>
    <mergeCell ref="H186:H187"/>
    <mergeCell ref="I186:I187"/>
    <mergeCell ref="J186:J187"/>
    <mergeCell ref="K186:K187"/>
    <mergeCell ref="A186:A187"/>
    <mergeCell ref="B186:B187"/>
    <mergeCell ref="C186:C187"/>
    <mergeCell ref="D186:D187"/>
    <mergeCell ref="M206:M207"/>
    <mergeCell ref="E206:E207"/>
    <mergeCell ref="F206:F207"/>
    <mergeCell ref="H206:H207"/>
    <mergeCell ref="I206:I207"/>
    <mergeCell ref="J206:J207"/>
    <mergeCell ref="K206:K207"/>
    <mergeCell ref="I204:I205"/>
    <mergeCell ref="J204:J205"/>
    <mergeCell ref="K204:K205"/>
    <mergeCell ref="L204:L205"/>
    <mergeCell ref="M204:M205"/>
  </mergeCell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7D8B-84C2-48EF-9721-545D1B01205F}">
  <dimension ref="A1:XFC141"/>
  <sheetViews>
    <sheetView zoomScale="145" zoomScaleNormal="145" workbookViewId="0">
      <pane xSplit="3" ySplit="1" topLeftCell="E16" activePane="bottomRight" state="frozen"/>
      <selection pane="bottomRight" activeCell="E18" sqref="E18"/>
      <selection pane="bottomLeft" activeCell="A2" sqref="A2"/>
      <selection pane="topRight" activeCell="D1" sqref="D1"/>
    </sheetView>
  </sheetViews>
  <sheetFormatPr defaultRowHeight="14.45"/>
  <cols>
    <col min="1" max="1" width="11.5703125" bestFit="1" customWidth="1"/>
    <col min="2" max="2" width="9" bestFit="1" customWidth="1"/>
    <col min="3" max="3" width="40.5703125" customWidth="1"/>
    <col min="4" max="4" width="12" style="120" bestFit="1" customWidth="1"/>
    <col min="5" max="5" width="35.28515625" customWidth="1"/>
    <col min="6" max="6" width="17.7109375" customWidth="1"/>
    <col min="7" max="7" width="12.7109375" bestFit="1" customWidth="1"/>
    <col min="8" max="8" width="62.5703125" customWidth="1"/>
    <col min="9" max="9" width="17.85546875" customWidth="1"/>
    <col min="10" max="10" width="60.85546875" bestFit="1" customWidth="1"/>
  </cols>
  <sheetData>
    <row r="1" spans="1:16383" ht="15.95">
      <c r="A1" s="216" t="s">
        <v>2715</v>
      </c>
      <c r="B1" s="217" t="s">
        <v>35</v>
      </c>
      <c r="C1" s="217" t="s">
        <v>3</v>
      </c>
      <c r="D1" s="217" t="s">
        <v>15</v>
      </c>
      <c r="E1" s="220" t="s">
        <v>39</v>
      </c>
      <c r="F1" s="220" t="s">
        <v>42</v>
      </c>
      <c r="G1" s="220" t="s">
        <v>2716</v>
      </c>
      <c r="H1" s="220" t="s">
        <v>44</v>
      </c>
      <c r="I1" s="220" t="s">
        <v>46</v>
      </c>
      <c r="J1" s="217" t="s">
        <v>47</v>
      </c>
      <c r="K1" s="220"/>
      <c r="L1" s="216"/>
      <c r="M1" s="217"/>
      <c r="N1" s="217"/>
      <c r="O1" s="220"/>
      <c r="P1" s="216"/>
      <c r="Q1" s="217"/>
      <c r="R1" s="217"/>
      <c r="S1" s="220"/>
      <c r="T1" s="216"/>
      <c r="U1" s="217"/>
      <c r="V1" s="217"/>
      <c r="W1" s="220"/>
      <c r="X1" s="216"/>
      <c r="Y1" s="217"/>
      <c r="Z1" s="217"/>
      <c r="AA1" s="220"/>
      <c r="AB1" s="216"/>
      <c r="AC1" s="217"/>
      <c r="AD1" s="217"/>
      <c r="AE1" s="220"/>
      <c r="AF1" s="216"/>
      <c r="AG1" s="217"/>
      <c r="AH1" s="217"/>
      <c r="AI1" s="220"/>
      <c r="AJ1" s="216"/>
      <c r="AK1" s="217"/>
      <c r="AL1" s="217"/>
      <c r="AM1" s="220"/>
      <c r="AN1" s="216"/>
      <c r="AO1" s="217"/>
      <c r="AP1" s="217"/>
      <c r="AQ1" s="220"/>
      <c r="AR1" s="216"/>
      <c r="AS1" s="217"/>
      <c r="AT1" s="217"/>
      <c r="AU1" s="220"/>
      <c r="AV1" s="216"/>
      <c r="AW1" s="217"/>
      <c r="AX1" s="217"/>
      <c r="AY1" s="220"/>
      <c r="AZ1" s="216"/>
      <c r="BA1" s="217"/>
      <c r="BB1" s="217"/>
      <c r="BC1" s="220"/>
      <c r="BD1" s="216"/>
      <c r="BE1" s="217"/>
      <c r="BF1" s="217"/>
      <c r="BG1" s="220"/>
      <c r="BH1" s="216"/>
      <c r="BI1" s="217"/>
      <c r="BJ1" s="217"/>
      <c r="BK1" s="220"/>
      <c r="BL1" s="216"/>
      <c r="BM1" s="217"/>
      <c r="BN1" s="217"/>
      <c r="BO1" s="220"/>
      <c r="BP1" s="216"/>
      <c r="BQ1" s="217"/>
      <c r="BR1" s="217"/>
      <c r="BS1" s="220"/>
      <c r="BT1" s="216"/>
      <c r="BU1" s="217"/>
      <c r="BV1" s="217"/>
      <c r="BW1" s="220"/>
      <c r="BX1" s="216"/>
      <c r="BY1" s="217"/>
      <c r="BZ1" s="217"/>
      <c r="CA1" s="220"/>
      <c r="CB1" s="216"/>
      <c r="CC1" s="217"/>
      <c r="CD1" s="217"/>
      <c r="CE1" s="220"/>
      <c r="CF1" s="216"/>
      <c r="CG1" s="217"/>
      <c r="CH1" s="217"/>
      <c r="CI1" s="220"/>
      <c r="CJ1" s="216"/>
      <c r="CK1" s="217"/>
      <c r="CL1" s="217"/>
      <c r="CM1" s="220"/>
      <c r="CN1" s="216"/>
      <c r="CO1" s="217"/>
      <c r="CP1" s="217"/>
      <c r="CQ1" s="220"/>
      <c r="CR1" s="216"/>
      <c r="CS1" s="217"/>
      <c r="CT1" s="217"/>
      <c r="CU1" s="220"/>
      <c r="CV1" s="216"/>
      <c r="CW1" s="217"/>
      <c r="CX1" s="217"/>
      <c r="CY1" s="220"/>
      <c r="CZ1" s="216"/>
      <c r="DA1" s="217"/>
      <c r="DB1" s="217"/>
      <c r="DC1" s="220"/>
      <c r="DD1" s="216"/>
      <c r="DE1" s="217"/>
      <c r="DF1" s="217"/>
      <c r="DG1" s="220"/>
      <c r="DH1" s="216"/>
      <c r="DI1" s="217"/>
      <c r="DJ1" s="217"/>
      <c r="DK1" s="220"/>
      <c r="DL1" s="216"/>
      <c r="DM1" s="217"/>
      <c r="DN1" s="217"/>
      <c r="DO1" s="220"/>
      <c r="DP1" s="216"/>
      <c r="DQ1" s="217"/>
      <c r="DR1" s="217"/>
      <c r="DS1" s="220"/>
      <c r="DT1" s="216"/>
      <c r="DU1" s="217"/>
      <c r="DV1" s="217"/>
      <c r="DW1" s="220"/>
      <c r="DX1" s="216"/>
      <c r="DY1" s="217"/>
      <c r="DZ1" s="217"/>
      <c r="EA1" s="220"/>
      <c r="EB1" s="216"/>
      <c r="EC1" s="217"/>
      <c r="ED1" s="217"/>
      <c r="EE1" s="220"/>
      <c r="EF1" s="216"/>
      <c r="EG1" s="217"/>
      <c r="EH1" s="217"/>
      <c r="EI1" s="220"/>
      <c r="EJ1" s="216"/>
      <c r="EK1" s="217"/>
      <c r="EL1" s="217"/>
      <c r="EM1" s="220"/>
      <c r="EN1" s="216"/>
      <c r="EO1" s="217"/>
      <c r="EP1" s="217"/>
      <c r="EQ1" s="220"/>
      <c r="ER1" s="216"/>
      <c r="ES1" s="217"/>
      <c r="ET1" s="217"/>
      <c r="EU1" s="220"/>
      <c r="EV1" s="216"/>
      <c r="EW1" s="217"/>
      <c r="EX1" s="217"/>
      <c r="EY1" s="220"/>
      <c r="EZ1" s="216"/>
      <c r="FA1" s="217"/>
      <c r="FB1" s="217"/>
      <c r="FC1" s="220"/>
      <c r="FD1" s="216"/>
      <c r="FE1" s="217"/>
      <c r="FF1" s="217"/>
      <c r="FG1" s="220"/>
      <c r="FH1" s="216"/>
      <c r="FI1" s="217"/>
      <c r="FJ1" s="217"/>
      <c r="FK1" s="220"/>
      <c r="FL1" s="216"/>
      <c r="FM1" s="217"/>
      <c r="FN1" s="217"/>
      <c r="FO1" s="220"/>
      <c r="FP1" s="216"/>
      <c r="FQ1" s="217"/>
      <c r="FR1" s="217"/>
      <c r="FS1" s="220"/>
      <c r="FT1" s="216"/>
      <c r="FU1" s="217"/>
      <c r="FV1" s="217"/>
      <c r="FW1" s="220"/>
      <c r="FX1" s="216"/>
      <c r="FY1" s="217"/>
      <c r="FZ1" s="217"/>
      <c r="GA1" s="220"/>
      <c r="GB1" s="216"/>
      <c r="GC1" s="217"/>
      <c r="GD1" s="217"/>
      <c r="GE1" s="220"/>
      <c r="GF1" s="216"/>
      <c r="GG1" s="217"/>
      <c r="GH1" s="217"/>
      <c r="GI1" s="220"/>
      <c r="GJ1" s="216"/>
      <c r="GK1" s="217"/>
      <c r="GL1" s="217"/>
      <c r="GM1" s="220"/>
      <c r="GN1" s="216"/>
      <c r="GO1" s="217"/>
      <c r="GP1" s="217"/>
      <c r="GQ1" s="220"/>
      <c r="GR1" s="216"/>
      <c r="GS1" s="217"/>
      <c r="GT1" s="217"/>
      <c r="GU1" s="220"/>
      <c r="GV1" s="216"/>
      <c r="GW1" s="217"/>
      <c r="GX1" s="217"/>
      <c r="GY1" s="220"/>
      <c r="GZ1" s="216"/>
      <c r="HA1" s="217"/>
      <c r="HB1" s="217"/>
      <c r="HC1" s="220"/>
      <c r="HD1" s="216"/>
      <c r="HE1" s="217"/>
      <c r="HF1" s="217"/>
      <c r="HG1" s="220"/>
      <c r="HH1" s="216"/>
      <c r="HI1" s="217"/>
      <c r="HJ1" s="217"/>
      <c r="HK1" s="220"/>
      <c r="HL1" s="216"/>
      <c r="HM1" s="217"/>
      <c r="HN1" s="217"/>
      <c r="HO1" s="220"/>
      <c r="HP1" s="216"/>
      <c r="HQ1" s="217"/>
      <c r="HR1" s="217"/>
      <c r="HS1" s="220"/>
      <c r="HT1" s="216"/>
      <c r="HU1" s="217"/>
      <c r="HV1" s="217"/>
      <c r="HW1" s="220"/>
      <c r="HX1" s="216"/>
      <c r="HY1" s="217"/>
      <c r="HZ1" s="217"/>
      <c r="IA1" s="220"/>
      <c r="IB1" s="216"/>
      <c r="IC1" s="217"/>
      <c r="ID1" s="217"/>
      <c r="IE1" s="220"/>
      <c r="IF1" s="216"/>
      <c r="IG1" s="217"/>
      <c r="IH1" s="217"/>
      <c r="II1" s="220"/>
      <c r="IJ1" s="216"/>
      <c r="IK1" s="217"/>
      <c r="IL1" s="217"/>
      <c r="IM1" s="220"/>
      <c r="IN1" s="216"/>
      <c r="IO1" s="217"/>
      <c r="IP1" s="217"/>
      <c r="IQ1" s="220"/>
      <c r="IR1" s="216"/>
      <c r="IS1" s="217"/>
      <c r="IT1" s="217"/>
      <c r="IU1" s="220"/>
      <c r="IV1" s="216"/>
      <c r="IW1" s="217"/>
      <c r="IX1" s="217"/>
      <c r="IY1" s="220"/>
      <c r="IZ1" s="216"/>
      <c r="JA1" s="217"/>
      <c r="JB1" s="217"/>
      <c r="JC1" s="220"/>
      <c r="JD1" s="216"/>
      <c r="JE1" s="217"/>
      <c r="JF1" s="217"/>
      <c r="JG1" s="220"/>
      <c r="JH1" s="216"/>
      <c r="JI1" s="217"/>
      <c r="JJ1" s="217"/>
      <c r="JK1" s="220"/>
      <c r="JL1" s="216"/>
      <c r="JM1" s="217"/>
      <c r="JN1" s="217"/>
      <c r="JO1" s="220"/>
      <c r="JP1" s="216"/>
      <c r="JQ1" s="217"/>
      <c r="JR1" s="217"/>
      <c r="JS1" s="220"/>
      <c r="JT1" s="216"/>
      <c r="JU1" s="217"/>
      <c r="JV1" s="217"/>
      <c r="JW1" s="220"/>
      <c r="JX1" s="216"/>
      <c r="JY1" s="217"/>
      <c r="JZ1" s="217"/>
      <c r="KA1" s="220"/>
      <c r="KB1" s="216"/>
      <c r="KC1" s="217"/>
      <c r="KD1" s="217"/>
      <c r="KE1" s="220"/>
      <c r="KF1" s="216"/>
      <c r="KG1" s="217"/>
      <c r="KH1" s="217"/>
      <c r="KI1" s="220"/>
      <c r="KJ1" s="216"/>
      <c r="KK1" s="217"/>
      <c r="KL1" s="217"/>
      <c r="KM1" s="220"/>
      <c r="KN1" s="216"/>
      <c r="KO1" s="217"/>
      <c r="KP1" s="217"/>
      <c r="KQ1" s="220"/>
      <c r="KR1" s="216"/>
      <c r="KS1" s="217"/>
      <c r="KT1" s="217"/>
      <c r="KU1" s="220"/>
      <c r="KV1" s="216"/>
      <c r="KW1" s="217"/>
      <c r="KX1" s="217"/>
      <c r="KY1" s="220"/>
      <c r="KZ1" s="216"/>
      <c r="LA1" s="217"/>
      <c r="LB1" s="217"/>
      <c r="LC1" s="220"/>
      <c r="LD1" s="216"/>
      <c r="LE1" s="217"/>
      <c r="LF1" s="217"/>
      <c r="LG1" s="220"/>
      <c r="LH1" s="216"/>
      <c r="LI1" s="217"/>
      <c r="LJ1" s="217"/>
      <c r="LK1" s="220"/>
      <c r="LL1" s="216"/>
      <c r="LM1" s="217"/>
      <c r="LN1" s="217"/>
      <c r="LO1" s="220"/>
      <c r="LP1" s="216"/>
      <c r="LQ1" s="217"/>
      <c r="LR1" s="217"/>
      <c r="LS1" s="220"/>
      <c r="LT1" s="216"/>
      <c r="LU1" s="217"/>
      <c r="LV1" s="217"/>
      <c r="LW1" s="220"/>
      <c r="LX1" s="216"/>
      <c r="LY1" s="217"/>
      <c r="LZ1" s="217"/>
      <c r="MA1" s="220"/>
      <c r="MB1" s="216"/>
      <c r="MC1" s="217"/>
      <c r="MD1" s="217"/>
      <c r="ME1" s="220"/>
      <c r="MF1" s="216"/>
      <c r="MG1" s="217"/>
      <c r="MH1" s="217"/>
      <c r="MI1" s="220"/>
      <c r="MJ1" s="216"/>
      <c r="MK1" s="217"/>
      <c r="ML1" s="217"/>
      <c r="MM1" s="220"/>
      <c r="MN1" s="216"/>
      <c r="MO1" s="217"/>
      <c r="MP1" s="217"/>
      <c r="MQ1" s="220"/>
      <c r="MR1" s="216"/>
      <c r="MS1" s="217"/>
      <c r="MT1" s="217"/>
      <c r="MU1" s="220"/>
      <c r="MV1" s="216"/>
      <c r="MW1" s="217"/>
      <c r="MX1" s="217"/>
      <c r="MY1" s="220"/>
      <c r="MZ1" s="216"/>
      <c r="NA1" s="217"/>
      <c r="NB1" s="217"/>
      <c r="NC1" s="220"/>
      <c r="ND1" s="216"/>
      <c r="NE1" s="217"/>
      <c r="NF1" s="217"/>
      <c r="NG1" s="220"/>
      <c r="NH1" s="216"/>
      <c r="NI1" s="217"/>
      <c r="NJ1" s="217"/>
      <c r="NK1" s="220"/>
      <c r="NL1" s="216"/>
      <c r="NM1" s="217"/>
      <c r="NN1" s="217"/>
      <c r="NO1" s="220"/>
      <c r="NP1" s="216"/>
      <c r="NQ1" s="217"/>
      <c r="NR1" s="217"/>
      <c r="NS1" s="220"/>
      <c r="NT1" s="216"/>
      <c r="NU1" s="217"/>
      <c r="NV1" s="217"/>
      <c r="NW1" s="220"/>
      <c r="NX1" s="216"/>
      <c r="NY1" s="217"/>
      <c r="NZ1" s="217"/>
      <c r="OA1" s="220"/>
      <c r="OB1" s="216"/>
      <c r="OC1" s="217"/>
      <c r="OD1" s="217"/>
      <c r="OE1" s="220"/>
      <c r="OF1" s="216"/>
      <c r="OG1" s="217"/>
      <c r="OH1" s="217"/>
      <c r="OI1" s="220"/>
      <c r="OJ1" s="216"/>
      <c r="OK1" s="217"/>
      <c r="OL1" s="217"/>
      <c r="OM1" s="220"/>
      <c r="ON1" s="216"/>
      <c r="OO1" s="217"/>
      <c r="OP1" s="217"/>
      <c r="OQ1" s="220"/>
      <c r="OR1" s="216"/>
      <c r="OS1" s="217"/>
      <c r="OT1" s="217"/>
      <c r="OU1" s="220"/>
      <c r="OV1" s="216"/>
      <c r="OW1" s="217"/>
      <c r="OX1" s="217"/>
      <c r="OY1" s="220"/>
      <c r="OZ1" s="216"/>
      <c r="PA1" s="217"/>
      <c r="PB1" s="217"/>
      <c r="PC1" s="220"/>
      <c r="PD1" s="216"/>
      <c r="PE1" s="217"/>
      <c r="PF1" s="217"/>
      <c r="PG1" s="220"/>
      <c r="PH1" s="216"/>
      <c r="PI1" s="217"/>
      <c r="PJ1" s="217"/>
      <c r="PK1" s="220"/>
      <c r="PL1" s="216"/>
      <c r="PM1" s="217"/>
      <c r="PN1" s="217"/>
      <c r="PO1" s="220"/>
      <c r="PP1" s="216"/>
      <c r="PQ1" s="217"/>
      <c r="PR1" s="217"/>
      <c r="PS1" s="220"/>
      <c r="PT1" s="216"/>
      <c r="PU1" s="217"/>
      <c r="PV1" s="217"/>
      <c r="PW1" s="220"/>
      <c r="PX1" s="216"/>
      <c r="PY1" s="217"/>
      <c r="PZ1" s="217"/>
      <c r="QA1" s="220"/>
      <c r="QB1" s="216"/>
      <c r="QC1" s="217"/>
      <c r="QD1" s="217"/>
      <c r="QE1" s="220"/>
      <c r="QF1" s="216"/>
      <c r="QG1" s="217"/>
      <c r="QH1" s="217"/>
      <c r="QI1" s="220"/>
      <c r="QJ1" s="216"/>
      <c r="QK1" s="217"/>
      <c r="QL1" s="217"/>
      <c r="QM1" s="220"/>
      <c r="QN1" s="216"/>
      <c r="QO1" s="217"/>
      <c r="QP1" s="217"/>
      <c r="QQ1" s="220"/>
      <c r="QR1" s="216"/>
      <c r="QS1" s="217"/>
      <c r="QT1" s="217"/>
      <c r="QU1" s="220"/>
      <c r="QV1" s="216"/>
      <c r="QW1" s="217"/>
      <c r="QX1" s="217"/>
      <c r="QY1" s="220"/>
      <c r="QZ1" s="216"/>
      <c r="RA1" s="217"/>
      <c r="RB1" s="217"/>
      <c r="RC1" s="220"/>
      <c r="RD1" s="216"/>
      <c r="RE1" s="217"/>
      <c r="RF1" s="217"/>
      <c r="RG1" s="220"/>
      <c r="RH1" s="216"/>
      <c r="RI1" s="217"/>
      <c r="RJ1" s="217"/>
      <c r="RK1" s="220"/>
      <c r="RL1" s="216"/>
      <c r="RM1" s="217"/>
      <c r="RN1" s="217"/>
      <c r="RO1" s="220"/>
      <c r="RP1" s="216"/>
      <c r="RQ1" s="217"/>
      <c r="RR1" s="217"/>
      <c r="RS1" s="220"/>
      <c r="RT1" s="216"/>
      <c r="RU1" s="217"/>
      <c r="RV1" s="217"/>
      <c r="RW1" s="220"/>
      <c r="RX1" s="216"/>
      <c r="RY1" s="217"/>
      <c r="RZ1" s="217"/>
      <c r="SA1" s="220"/>
      <c r="SB1" s="216"/>
      <c r="SC1" s="217"/>
      <c r="SD1" s="217"/>
      <c r="SE1" s="220"/>
      <c r="SF1" s="216"/>
      <c r="SG1" s="217"/>
      <c r="SH1" s="217"/>
      <c r="SI1" s="220"/>
      <c r="SJ1" s="216"/>
      <c r="SK1" s="217"/>
      <c r="SL1" s="217"/>
      <c r="SM1" s="220"/>
      <c r="SN1" s="216"/>
      <c r="SO1" s="217"/>
      <c r="SP1" s="217"/>
      <c r="SQ1" s="220"/>
      <c r="SR1" s="216"/>
      <c r="SS1" s="217"/>
      <c r="ST1" s="217"/>
      <c r="SU1" s="220"/>
      <c r="SV1" s="216"/>
      <c r="SW1" s="217"/>
      <c r="SX1" s="217"/>
      <c r="SY1" s="220"/>
      <c r="SZ1" s="216"/>
      <c r="TA1" s="217"/>
      <c r="TB1" s="217"/>
      <c r="TC1" s="220"/>
      <c r="TD1" s="216"/>
      <c r="TE1" s="217"/>
      <c r="TF1" s="217"/>
      <c r="TG1" s="220"/>
      <c r="TH1" s="216"/>
      <c r="TI1" s="217"/>
      <c r="TJ1" s="217"/>
      <c r="TK1" s="220"/>
      <c r="TL1" s="216"/>
      <c r="TM1" s="217"/>
      <c r="TN1" s="217"/>
      <c r="TO1" s="220"/>
      <c r="TP1" s="216"/>
      <c r="TQ1" s="217"/>
      <c r="TR1" s="217"/>
      <c r="TS1" s="220"/>
      <c r="TT1" s="216"/>
      <c r="TU1" s="217"/>
      <c r="TV1" s="217"/>
      <c r="TW1" s="220"/>
      <c r="TX1" s="216"/>
      <c r="TY1" s="217"/>
      <c r="TZ1" s="217"/>
      <c r="UA1" s="220"/>
      <c r="UB1" s="216"/>
      <c r="UC1" s="217"/>
      <c r="UD1" s="217"/>
      <c r="UE1" s="220"/>
      <c r="UF1" s="216"/>
      <c r="UG1" s="217"/>
      <c r="UH1" s="217"/>
      <c r="UI1" s="220"/>
      <c r="UJ1" s="216"/>
      <c r="UK1" s="217"/>
      <c r="UL1" s="217"/>
      <c r="UM1" s="220"/>
      <c r="UN1" s="216"/>
      <c r="UO1" s="217"/>
      <c r="UP1" s="217"/>
      <c r="UQ1" s="220"/>
      <c r="UR1" s="216"/>
      <c r="US1" s="217"/>
      <c r="UT1" s="217"/>
      <c r="UU1" s="220"/>
      <c r="UV1" s="216"/>
      <c r="UW1" s="217"/>
      <c r="UX1" s="217"/>
      <c r="UY1" s="220"/>
      <c r="UZ1" s="216"/>
      <c r="VA1" s="217"/>
      <c r="VB1" s="217"/>
      <c r="VC1" s="220"/>
      <c r="VD1" s="216"/>
      <c r="VE1" s="217"/>
      <c r="VF1" s="217"/>
      <c r="VG1" s="220"/>
      <c r="VH1" s="216"/>
      <c r="VI1" s="217"/>
      <c r="VJ1" s="217"/>
      <c r="VK1" s="220"/>
      <c r="VL1" s="216"/>
      <c r="VM1" s="217"/>
      <c r="VN1" s="217"/>
      <c r="VO1" s="220"/>
      <c r="VP1" s="216"/>
      <c r="VQ1" s="217"/>
      <c r="VR1" s="217"/>
      <c r="VS1" s="220"/>
      <c r="VT1" s="216"/>
      <c r="VU1" s="217"/>
      <c r="VV1" s="217"/>
      <c r="VW1" s="220"/>
      <c r="VX1" s="216"/>
      <c r="VY1" s="217"/>
      <c r="VZ1" s="217"/>
      <c r="WA1" s="220"/>
      <c r="WB1" s="216"/>
      <c r="WC1" s="217"/>
      <c r="WD1" s="217"/>
      <c r="WE1" s="220"/>
      <c r="WF1" s="216"/>
      <c r="WG1" s="217"/>
      <c r="WH1" s="217"/>
      <c r="WI1" s="220"/>
      <c r="WJ1" s="216"/>
      <c r="WK1" s="217"/>
      <c r="WL1" s="217"/>
      <c r="WM1" s="220"/>
      <c r="WN1" s="216"/>
      <c r="WO1" s="217"/>
      <c r="WP1" s="217"/>
      <c r="WQ1" s="220"/>
      <c r="WR1" s="216"/>
      <c r="WS1" s="217"/>
      <c r="WT1" s="217"/>
      <c r="WU1" s="220"/>
      <c r="WV1" s="216"/>
      <c r="WW1" s="217"/>
      <c r="WX1" s="217"/>
      <c r="WY1" s="220"/>
      <c r="WZ1" s="216"/>
      <c r="XA1" s="217"/>
      <c r="XB1" s="217"/>
      <c r="XC1" s="220"/>
      <c r="XD1" s="216"/>
      <c r="XE1" s="217"/>
      <c r="XF1" s="217"/>
      <c r="XG1" s="220"/>
      <c r="XH1" s="216"/>
      <c r="XI1" s="217"/>
      <c r="XJ1" s="217"/>
      <c r="XK1" s="220"/>
      <c r="XL1" s="216"/>
      <c r="XM1" s="217"/>
      <c r="XN1" s="217"/>
      <c r="XO1" s="220"/>
      <c r="XP1" s="216"/>
      <c r="XQ1" s="217"/>
      <c r="XR1" s="217"/>
      <c r="XS1" s="220"/>
      <c r="XT1" s="216"/>
      <c r="XU1" s="217"/>
      <c r="XV1" s="217"/>
      <c r="XW1" s="220"/>
      <c r="XX1" s="216"/>
      <c r="XY1" s="217"/>
      <c r="XZ1" s="217"/>
      <c r="YA1" s="220"/>
      <c r="YB1" s="216"/>
      <c r="YC1" s="217"/>
      <c r="YD1" s="217"/>
      <c r="YE1" s="220"/>
      <c r="YF1" s="216"/>
      <c r="YG1" s="217"/>
      <c r="YH1" s="217"/>
      <c r="YI1" s="220"/>
      <c r="YJ1" s="216"/>
      <c r="YK1" s="217"/>
      <c r="YL1" s="217"/>
      <c r="YM1" s="220"/>
      <c r="YN1" s="216"/>
      <c r="YO1" s="217"/>
      <c r="YP1" s="217"/>
      <c r="YQ1" s="220"/>
      <c r="YR1" s="216"/>
      <c r="YS1" s="217"/>
      <c r="YT1" s="217"/>
      <c r="YU1" s="220"/>
      <c r="YV1" s="216"/>
      <c r="YW1" s="217"/>
      <c r="YX1" s="217"/>
      <c r="YY1" s="220"/>
      <c r="YZ1" s="216"/>
      <c r="ZA1" s="217"/>
      <c r="ZB1" s="217"/>
      <c r="ZC1" s="220"/>
      <c r="ZD1" s="216"/>
      <c r="ZE1" s="217"/>
      <c r="ZF1" s="217"/>
      <c r="ZG1" s="220"/>
      <c r="ZH1" s="216"/>
      <c r="ZI1" s="217"/>
      <c r="ZJ1" s="217"/>
      <c r="ZK1" s="220"/>
      <c r="ZL1" s="216"/>
      <c r="ZM1" s="217"/>
      <c r="ZN1" s="217"/>
      <c r="ZO1" s="220"/>
      <c r="ZP1" s="216"/>
      <c r="ZQ1" s="217"/>
      <c r="ZR1" s="217"/>
      <c r="ZS1" s="220"/>
      <c r="ZT1" s="216"/>
      <c r="ZU1" s="217"/>
      <c r="ZV1" s="217"/>
      <c r="ZW1" s="220"/>
      <c r="ZX1" s="216"/>
      <c r="ZY1" s="217"/>
      <c r="ZZ1" s="217"/>
      <c r="AAA1" s="220"/>
      <c r="AAB1" s="216"/>
      <c r="AAC1" s="217"/>
      <c r="AAD1" s="217"/>
      <c r="AAE1" s="220"/>
      <c r="AAF1" s="216"/>
      <c r="AAG1" s="217"/>
      <c r="AAH1" s="217"/>
      <c r="AAI1" s="220"/>
      <c r="AAJ1" s="216"/>
      <c r="AAK1" s="217"/>
      <c r="AAL1" s="217"/>
      <c r="AAM1" s="220"/>
      <c r="AAN1" s="216"/>
      <c r="AAO1" s="217"/>
      <c r="AAP1" s="217"/>
      <c r="AAQ1" s="220"/>
      <c r="AAR1" s="216"/>
      <c r="AAS1" s="217"/>
      <c r="AAT1" s="217"/>
      <c r="AAU1" s="220"/>
      <c r="AAV1" s="216"/>
      <c r="AAW1" s="217"/>
      <c r="AAX1" s="217"/>
      <c r="AAY1" s="220"/>
      <c r="AAZ1" s="216"/>
      <c r="ABA1" s="217"/>
      <c r="ABB1" s="217"/>
      <c r="ABC1" s="220"/>
      <c r="ABD1" s="216"/>
      <c r="ABE1" s="217"/>
      <c r="ABF1" s="217"/>
      <c r="ABG1" s="220"/>
      <c r="ABH1" s="216"/>
      <c r="ABI1" s="217"/>
      <c r="ABJ1" s="217"/>
      <c r="ABK1" s="220"/>
      <c r="ABL1" s="216"/>
      <c r="ABM1" s="217"/>
      <c r="ABN1" s="217"/>
      <c r="ABO1" s="220"/>
      <c r="ABP1" s="216"/>
      <c r="ABQ1" s="217"/>
      <c r="ABR1" s="217"/>
      <c r="ABS1" s="220"/>
      <c r="ABT1" s="216"/>
      <c r="ABU1" s="217"/>
      <c r="ABV1" s="217"/>
      <c r="ABW1" s="220"/>
      <c r="ABX1" s="216"/>
      <c r="ABY1" s="217"/>
      <c r="ABZ1" s="217"/>
      <c r="ACA1" s="220"/>
      <c r="ACB1" s="216"/>
      <c r="ACC1" s="217"/>
      <c r="ACD1" s="217"/>
      <c r="ACE1" s="220"/>
      <c r="ACF1" s="216"/>
      <c r="ACG1" s="217"/>
      <c r="ACH1" s="217"/>
      <c r="ACI1" s="220"/>
      <c r="ACJ1" s="216"/>
      <c r="ACK1" s="217"/>
      <c r="ACL1" s="217"/>
      <c r="ACM1" s="220"/>
      <c r="ACN1" s="216"/>
      <c r="ACO1" s="217"/>
      <c r="ACP1" s="217"/>
      <c r="ACQ1" s="220"/>
      <c r="ACR1" s="216"/>
      <c r="ACS1" s="217"/>
      <c r="ACT1" s="217"/>
      <c r="ACU1" s="220"/>
      <c r="ACV1" s="216"/>
      <c r="ACW1" s="217"/>
      <c r="ACX1" s="217"/>
      <c r="ACY1" s="220"/>
      <c r="ACZ1" s="216"/>
      <c r="ADA1" s="217"/>
      <c r="ADB1" s="217"/>
      <c r="ADC1" s="220"/>
      <c r="ADD1" s="216"/>
      <c r="ADE1" s="217"/>
      <c r="ADF1" s="217"/>
      <c r="ADG1" s="220"/>
      <c r="ADH1" s="216"/>
      <c r="ADI1" s="217"/>
      <c r="ADJ1" s="217"/>
      <c r="ADK1" s="220"/>
      <c r="ADL1" s="216"/>
      <c r="ADM1" s="217"/>
      <c r="ADN1" s="217"/>
      <c r="ADO1" s="220"/>
      <c r="ADP1" s="216"/>
      <c r="ADQ1" s="217"/>
      <c r="ADR1" s="217"/>
      <c r="ADS1" s="220"/>
      <c r="ADT1" s="216"/>
      <c r="ADU1" s="217"/>
      <c r="ADV1" s="217"/>
      <c r="ADW1" s="220"/>
      <c r="ADX1" s="216"/>
      <c r="ADY1" s="217"/>
      <c r="ADZ1" s="217"/>
      <c r="AEA1" s="220"/>
      <c r="AEB1" s="216"/>
      <c r="AEC1" s="217"/>
      <c r="AED1" s="217"/>
      <c r="AEE1" s="220"/>
      <c r="AEF1" s="216"/>
      <c r="AEG1" s="217"/>
      <c r="AEH1" s="217"/>
      <c r="AEI1" s="220"/>
      <c r="AEJ1" s="216"/>
      <c r="AEK1" s="217"/>
      <c r="AEL1" s="217"/>
      <c r="AEM1" s="220"/>
      <c r="AEN1" s="216"/>
      <c r="AEO1" s="217"/>
      <c r="AEP1" s="217"/>
      <c r="AEQ1" s="220"/>
      <c r="AER1" s="216"/>
      <c r="AES1" s="217"/>
      <c r="AET1" s="217"/>
      <c r="AEU1" s="220"/>
      <c r="AEV1" s="216"/>
      <c r="AEW1" s="217"/>
      <c r="AEX1" s="217"/>
      <c r="AEY1" s="220"/>
      <c r="AEZ1" s="216"/>
      <c r="AFA1" s="217"/>
      <c r="AFB1" s="217"/>
      <c r="AFC1" s="220"/>
      <c r="AFD1" s="216"/>
      <c r="AFE1" s="217"/>
      <c r="AFF1" s="217"/>
      <c r="AFG1" s="220"/>
      <c r="AFH1" s="216"/>
      <c r="AFI1" s="217"/>
      <c r="AFJ1" s="217"/>
      <c r="AFK1" s="220"/>
      <c r="AFL1" s="216"/>
      <c r="AFM1" s="217"/>
      <c r="AFN1" s="217"/>
      <c r="AFO1" s="220"/>
      <c r="AFP1" s="216"/>
      <c r="AFQ1" s="217"/>
      <c r="AFR1" s="217"/>
      <c r="AFS1" s="220"/>
      <c r="AFT1" s="216"/>
      <c r="AFU1" s="217"/>
      <c r="AFV1" s="217"/>
      <c r="AFW1" s="220"/>
      <c r="AFX1" s="216"/>
      <c r="AFY1" s="217"/>
      <c r="AFZ1" s="217"/>
      <c r="AGA1" s="220"/>
      <c r="AGB1" s="216"/>
      <c r="AGC1" s="217"/>
      <c r="AGD1" s="217"/>
      <c r="AGE1" s="220"/>
      <c r="AGF1" s="216"/>
      <c r="AGG1" s="217"/>
      <c r="AGH1" s="217"/>
      <c r="AGI1" s="220"/>
      <c r="AGJ1" s="216"/>
      <c r="AGK1" s="217"/>
      <c r="AGL1" s="217"/>
      <c r="AGM1" s="220"/>
      <c r="AGN1" s="216"/>
      <c r="AGO1" s="217"/>
      <c r="AGP1" s="217"/>
      <c r="AGQ1" s="220"/>
      <c r="AGR1" s="216"/>
      <c r="AGS1" s="217"/>
      <c r="AGT1" s="217"/>
      <c r="AGU1" s="220"/>
      <c r="AGV1" s="216"/>
      <c r="AGW1" s="217"/>
      <c r="AGX1" s="217"/>
      <c r="AGY1" s="220"/>
      <c r="AGZ1" s="216"/>
      <c r="AHA1" s="217"/>
      <c r="AHB1" s="217"/>
      <c r="AHC1" s="220"/>
      <c r="AHD1" s="216"/>
      <c r="AHE1" s="217"/>
      <c r="AHF1" s="217"/>
      <c r="AHG1" s="220"/>
      <c r="AHH1" s="216"/>
      <c r="AHI1" s="217"/>
      <c r="AHJ1" s="217"/>
      <c r="AHK1" s="220"/>
      <c r="AHL1" s="216"/>
      <c r="AHM1" s="217"/>
      <c r="AHN1" s="217"/>
      <c r="AHO1" s="220"/>
      <c r="AHP1" s="216"/>
      <c r="AHQ1" s="217"/>
      <c r="AHR1" s="217"/>
      <c r="AHS1" s="220"/>
      <c r="AHT1" s="216"/>
      <c r="AHU1" s="217"/>
      <c r="AHV1" s="217"/>
      <c r="AHW1" s="220"/>
      <c r="AHX1" s="216"/>
      <c r="AHY1" s="217"/>
      <c r="AHZ1" s="217"/>
      <c r="AIA1" s="220"/>
      <c r="AIB1" s="216"/>
      <c r="AIC1" s="217"/>
      <c r="AID1" s="217"/>
      <c r="AIE1" s="220"/>
      <c r="AIF1" s="216"/>
      <c r="AIG1" s="217"/>
      <c r="AIH1" s="217"/>
      <c r="AII1" s="220"/>
      <c r="AIJ1" s="216"/>
      <c r="AIK1" s="217"/>
      <c r="AIL1" s="217"/>
      <c r="AIM1" s="220"/>
      <c r="AIN1" s="216"/>
      <c r="AIO1" s="217"/>
      <c r="AIP1" s="217"/>
      <c r="AIQ1" s="220"/>
      <c r="AIR1" s="216"/>
      <c r="AIS1" s="217"/>
      <c r="AIT1" s="217"/>
      <c r="AIU1" s="220"/>
      <c r="AIV1" s="216"/>
      <c r="AIW1" s="217"/>
      <c r="AIX1" s="217"/>
      <c r="AIY1" s="220"/>
      <c r="AIZ1" s="216"/>
      <c r="AJA1" s="217"/>
      <c r="AJB1" s="217"/>
      <c r="AJC1" s="220"/>
      <c r="AJD1" s="216"/>
      <c r="AJE1" s="217"/>
      <c r="AJF1" s="217"/>
      <c r="AJG1" s="220"/>
      <c r="AJH1" s="216"/>
      <c r="AJI1" s="217"/>
      <c r="AJJ1" s="217"/>
      <c r="AJK1" s="220"/>
      <c r="AJL1" s="216"/>
      <c r="AJM1" s="217"/>
      <c r="AJN1" s="217"/>
      <c r="AJO1" s="220"/>
      <c r="AJP1" s="216"/>
      <c r="AJQ1" s="217"/>
      <c r="AJR1" s="217"/>
      <c r="AJS1" s="220"/>
      <c r="AJT1" s="216"/>
      <c r="AJU1" s="217"/>
      <c r="AJV1" s="217"/>
      <c r="AJW1" s="220"/>
      <c r="AJX1" s="216"/>
      <c r="AJY1" s="217"/>
      <c r="AJZ1" s="217"/>
      <c r="AKA1" s="220"/>
      <c r="AKB1" s="216"/>
      <c r="AKC1" s="217"/>
      <c r="AKD1" s="217"/>
      <c r="AKE1" s="220"/>
      <c r="AKF1" s="216"/>
      <c r="AKG1" s="217"/>
      <c r="AKH1" s="217"/>
      <c r="AKI1" s="220"/>
      <c r="AKJ1" s="216"/>
      <c r="AKK1" s="217"/>
      <c r="AKL1" s="217"/>
      <c r="AKM1" s="220"/>
      <c r="AKN1" s="216"/>
      <c r="AKO1" s="217"/>
      <c r="AKP1" s="217"/>
      <c r="AKQ1" s="220"/>
      <c r="AKR1" s="216"/>
      <c r="AKS1" s="217"/>
      <c r="AKT1" s="217"/>
      <c r="AKU1" s="220"/>
      <c r="AKV1" s="216"/>
      <c r="AKW1" s="217"/>
      <c r="AKX1" s="217"/>
      <c r="AKY1" s="220"/>
      <c r="AKZ1" s="216"/>
      <c r="ALA1" s="217"/>
      <c r="ALB1" s="217"/>
      <c r="ALC1" s="220"/>
      <c r="ALD1" s="216"/>
      <c r="ALE1" s="217"/>
      <c r="ALF1" s="217"/>
      <c r="ALG1" s="220"/>
      <c r="ALH1" s="216"/>
      <c r="ALI1" s="217"/>
      <c r="ALJ1" s="217"/>
      <c r="ALK1" s="220"/>
      <c r="ALL1" s="216"/>
      <c r="ALM1" s="217"/>
      <c r="ALN1" s="217"/>
      <c r="ALO1" s="220"/>
      <c r="ALP1" s="216"/>
      <c r="ALQ1" s="217"/>
      <c r="ALR1" s="217"/>
      <c r="ALS1" s="220"/>
      <c r="ALT1" s="216"/>
      <c r="ALU1" s="217"/>
      <c r="ALV1" s="217"/>
      <c r="ALW1" s="220"/>
      <c r="ALX1" s="216"/>
      <c r="ALY1" s="217"/>
      <c r="ALZ1" s="217"/>
      <c r="AMA1" s="220"/>
      <c r="AMB1" s="216"/>
      <c r="AMC1" s="217"/>
      <c r="AMD1" s="217"/>
      <c r="AME1" s="220"/>
      <c r="AMF1" s="216"/>
      <c r="AMG1" s="217"/>
      <c r="AMH1" s="217"/>
      <c r="AMI1" s="220"/>
      <c r="AMJ1" s="216"/>
      <c r="AMK1" s="217"/>
      <c r="AML1" s="217"/>
      <c r="AMM1" s="220"/>
      <c r="AMN1" s="216"/>
      <c r="AMO1" s="217"/>
      <c r="AMP1" s="217"/>
      <c r="AMQ1" s="220"/>
      <c r="AMR1" s="216"/>
      <c r="AMS1" s="217"/>
      <c r="AMT1" s="217"/>
      <c r="AMU1" s="220"/>
      <c r="AMV1" s="216"/>
      <c r="AMW1" s="217"/>
      <c r="AMX1" s="217"/>
      <c r="AMY1" s="220"/>
      <c r="AMZ1" s="216"/>
      <c r="ANA1" s="217"/>
      <c r="ANB1" s="217"/>
      <c r="ANC1" s="220"/>
      <c r="AND1" s="216"/>
      <c r="ANE1" s="217"/>
      <c r="ANF1" s="217"/>
      <c r="ANG1" s="220"/>
      <c r="ANH1" s="216"/>
      <c r="ANI1" s="217"/>
      <c r="ANJ1" s="217"/>
      <c r="ANK1" s="220"/>
      <c r="ANL1" s="216"/>
      <c r="ANM1" s="217"/>
      <c r="ANN1" s="217"/>
      <c r="ANO1" s="220"/>
      <c r="ANP1" s="216"/>
      <c r="ANQ1" s="217"/>
      <c r="ANR1" s="217"/>
      <c r="ANS1" s="220"/>
      <c r="ANT1" s="216"/>
      <c r="ANU1" s="217"/>
      <c r="ANV1" s="217"/>
      <c r="ANW1" s="220"/>
      <c r="ANX1" s="216"/>
      <c r="ANY1" s="217"/>
      <c r="ANZ1" s="217"/>
      <c r="AOA1" s="220"/>
      <c r="AOB1" s="216"/>
      <c r="AOC1" s="217"/>
      <c r="AOD1" s="217"/>
      <c r="AOE1" s="220"/>
      <c r="AOF1" s="216"/>
      <c r="AOG1" s="217"/>
      <c r="AOH1" s="217"/>
      <c r="AOI1" s="220"/>
      <c r="AOJ1" s="216"/>
      <c r="AOK1" s="217"/>
      <c r="AOL1" s="217"/>
      <c r="AOM1" s="220"/>
      <c r="AON1" s="216"/>
      <c r="AOO1" s="217"/>
      <c r="AOP1" s="217"/>
      <c r="AOQ1" s="220"/>
      <c r="AOR1" s="216"/>
      <c r="AOS1" s="217"/>
      <c r="AOT1" s="217"/>
      <c r="AOU1" s="220"/>
      <c r="AOV1" s="216"/>
      <c r="AOW1" s="217"/>
      <c r="AOX1" s="217"/>
      <c r="AOY1" s="220"/>
      <c r="AOZ1" s="216"/>
      <c r="APA1" s="217"/>
      <c r="APB1" s="217"/>
      <c r="APC1" s="220"/>
      <c r="APD1" s="216"/>
      <c r="APE1" s="217"/>
      <c r="APF1" s="217"/>
      <c r="APG1" s="220"/>
      <c r="APH1" s="216"/>
      <c r="API1" s="217"/>
      <c r="APJ1" s="217"/>
      <c r="APK1" s="220"/>
      <c r="APL1" s="216"/>
      <c r="APM1" s="217"/>
      <c r="APN1" s="217"/>
      <c r="APO1" s="220"/>
      <c r="APP1" s="216"/>
      <c r="APQ1" s="217"/>
      <c r="APR1" s="217"/>
      <c r="APS1" s="220"/>
      <c r="APT1" s="216"/>
      <c r="APU1" s="217"/>
      <c r="APV1" s="217"/>
      <c r="APW1" s="220"/>
      <c r="APX1" s="216"/>
      <c r="APY1" s="217"/>
      <c r="APZ1" s="217"/>
      <c r="AQA1" s="220"/>
      <c r="AQB1" s="216"/>
      <c r="AQC1" s="217"/>
      <c r="AQD1" s="217"/>
      <c r="AQE1" s="220"/>
      <c r="AQF1" s="216"/>
      <c r="AQG1" s="217"/>
      <c r="AQH1" s="217"/>
      <c r="AQI1" s="220"/>
      <c r="AQJ1" s="216"/>
      <c r="AQK1" s="217"/>
      <c r="AQL1" s="217"/>
      <c r="AQM1" s="220"/>
      <c r="AQN1" s="216"/>
      <c r="AQO1" s="217"/>
      <c r="AQP1" s="217"/>
      <c r="AQQ1" s="220"/>
      <c r="AQR1" s="216"/>
      <c r="AQS1" s="217"/>
      <c r="AQT1" s="217"/>
      <c r="AQU1" s="220"/>
      <c r="AQV1" s="216"/>
      <c r="AQW1" s="217"/>
      <c r="AQX1" s="217"/>
      <c r="AQY1" s="220"/>
      <c r="AQZ1" s="216"/>
      <c r="ARA1" s="217"/>
      <c r="ARB1" s="217"/>
      <c r="ARC1" s="220"/>
      <c r="ARD1" s="216"/>
      <c r="ARE1" s="217"/>
      <c r="ARF1" s="217"/>
      <c r="ARG1" s="220"/>
      <c r="ARH1" s="216"/>
      <c r="ARI1" s="217"/>
      <c r="ARJ1" s="217"/>
      <c r="ARK1" s="220"/>
      <c r="ARL1" s="216"/>
      <c r="ARM1" s="217"/>
      <c r="ARN1" s="217"/>
      <c r="ARO1" s="220"/>
      <c r="ARP1" s="216"/>
      <c r="ARQ1" s="217"/>
      <c r="ARR1" s="217"/>
      <c r="ARS1" s="220"/>
      <c r="ART1" s="216"/>
      <c r="ARU1" s="217"/>
      <c r="ARV1" s="217"/>
      <c r="ARW1" s="220"/>
      <c r="ARX1" s="216"/>
      <c r="ARY1" s="217"/>
      <c r="ARZ1" s="217"/>
      <c r="ASA1" s="220"/>
      <c r="ASB1" s="216"/>
      <c r="ASC1" s="217"/>
      <c r="ASD1" s="217"/>
      <c r="ASE1" s="220"/>
      <c r="ASF1" s="216"/>
      <c r="ASG1" s="217"/>
      <c r="ASH1" s="217"/>
      <c r="ASI1" s="220"/>
      <c r="ASJ1" s="216"/>
      <c r="ASK1" s="217"/>
      <c r="ASL1" s="217"/>
      <c r="ASM1" s="220"/>
      <c r="ASN1" s="216"/>
      <c r="ASO1" s="217"/>
      <c r="ASP1" s="217"/>
      <c r="ASQ1" s="220"/>
      <c r="ASR1" s="216"/>
      <c r="ASS1" s="217"/>
      <c r="AST1" s="217"/>
      <c r="ASU1" s="220"/>
      <c r="ASV1" s="216"/>
      <c r="ASW1" s="217"/>
      <c r="ASX1" s="217"/>
      <c r="ASY1" s="220"/>
      <c r="ASZ1" s="216"/>
      <c r="ATA1" s="217"/>
      <c r="ATB1" s="217"/>
      <c r="ATC1" s="220"/>
      <c r="ATD1" s="216"/>
      <c r="ATE1" s="217"/>
      <c r="ATF1" s="217"/>
      <c r="ATG1" s="220"/>
      <c r="ATH1" s="216"/>
      <c r="ATI1" s="217"/>
      <c r="ATJ1" s="217"/>
      <c r="ATK1" s="220"/>
      <c r="ATL1" s="216"/>
      <c r="ATM1" s="217"/>
      <c r="ATN1" s="217"/>
      <c r="ATO1" s="220"/>
      <c r="ATP1" s="216"/>
      <c r="ATQ1" s="217"/>
      <c r="ATR1" s="217"/>
      <c r="ATS1" s="220"/>
      <c r="ATT1" s="216"/>
      <c r="ATU1" s="217"/>
      <c r="ATV1" s="217"/>
      <c r="ATW1" s="220"/>
      <c r="ATX1" s="216"/>
      <c r="ATY1" s="217"/>
      <c r="ATZ1" s="217"/>
      <c r="AUA1" s="220"/>
      <c r="AUB1" s="216"/>
      <c r="AUC1" s="217"/>
      <c r="AUD1" s="217"/>
      <c r="AUE1" s="220"/>
      <c r="AUF1" s="216"/>
      <c r="AUG1" s="217"/>
      <c r="AUH1" s="217"/>
      <c r="AUI1" s="220"/>
      <c r="AUJ1" s="216"/>
      <c r="AUK1" s="217"/>
      <c r="AUL1" s="217"/>
      <c r="AUM1" s="220"/>
      <c r="AUN1" s="216"/>
      <c r="AUO1" s="217"/>
      <c r="AUP1" s="217"/>
      <c r="AUQ1" s="220"/>
      <c r="AUR1" s="216"/>
      <c r="AUS1" s="217"/>
      <c r="AUT1" s="217"/>
      <c r="AUU1" s="220"/>
      <c r="AUV1" s="216"/>
      <c r="AUW1" s="217"/>
      <c r="AUX1" s="217"/>
      <c r="AUY1" s="220"/>
      <c r="AUZ1" s="216"/>
      <c r="AVA1" s="217"/>
      <c r="AVB1" s="217"/>
      <c r="AVC1" s="220"/>
      <c r="AVD1" s="216"/>
      <c r="AVE1" s="217"/>
      <c r="AVF1" s="217"/>
      <c r="AVG1" s="220"/>
      <c r="AVH1" s="216"/>
      <c r="AVI1" s="217"/>
      <c r="AVJ1" s="217"/>
      <c r="AVK1" s="220"/>
      <c r="AVL1" s="216"/>
      <c r="AVM1" s="217"/>
      <c r="AVN1" s="217"/>
      <c r="AVO1" s="220"/>
      <c r="AVP1" s="216"/>
      <c r="AVQ1" s="217"/>
      <c r="AVR1" s="217"/>
      <c r="AVS1" s="220"/>
      <c r="AVT1" s="216"/>
      <c r="AVU1" s="217"/>
      <c r="AVV1" s="217"/>
      <c r="AVW1" s="220"/>
      <c r="AVX1" s="216"/>
      <c r="AVY1" s="217"/>
      <c r="AVZ1" s="217"/>
      <c r="AWA1" s="220"/>
      <c r="AWB1" s="216"/>
      <c r="AWC1" s="217"/>
      <c r="AWD1" s="217"/>
      <c r="AWE1" s="220"/>
      <c r="AWF1" s="216"/>
      <c r="AWG1" s="217"/>
      <c r="AWH1" s="217"/>
      <c r="AWI1" s="220"/>
      <c r="AWJ1" s="216"/>
      <c r="AWK1" s="217"/>
      <c r="AWL1" s="217"/>
      <c r="AWM1" s="220"/>
      <c r="AWN1" s="216"/>
      <c r="AWO1" s="217"/>
      <c r="AWP1" s="217"/>
      <c r="AWQ1" s="220"/>
      <c r="AWR1" s="216"/>
      <c r="AWS1" s="217"/>
      <c r="AWT1" s="217"/>
      <c r="AWU1" s="220"/>
      <c r="AWV1" s="216"/>
      <c r="AWW1" s="217"/>
      <c r="AWX1" s="217"/>
      <c r="AWY1" s="220"/>
      <c r="AWZ1" s="216"/>
      <c r="AXA1" s="217"/>
      <c r="AXB1" s="217"/>
      <c r="AXC1" s="220"/>
      <c r="AXD1" s="216"/>
      <c r="AXE1" s="217"/>
      <c r="AXF1" s="217"/>
      <c r="AXG1" s="220"/>
      <c r="AXH1" s="216"/>
      <c r="AXI1" s="217"/>
      <c r="AXJ1" s="217"/>
      <c r="AXK1" s="220"/>
      <c r="AXL1" s="216"/>
      <c r="AXM1" s="217"/>
      <c r="AXN1" s="217"/>
      <c r="AXO1" s="220"/>
      <c r="AXP1" s="216"/>
      <c r="AXQ1" s="217"/>
      <c r="AXR1" s="217"/>
      <c r="AXS1" s="220"/>
      <c r="AXT1" s="216"/>
      <c r="AXU1" s="217"/>
      <c r="AXV1" s="217"/>
      <c r="AXW1" s="220"/>
      <c r="AXX1" s="216"/>
      <c r="AXY1" s="217"/>
      <c r="AXZ1" s="217"/>
      <c r="AYA1" s="220"/>
      <c r="AYB1" s="216"/>
      <c r="AYC1" s="217"/>
      <c r="AYD1" s="217"/>
      <c r="AYE1" s="220"/>
      <c r="AYF1" s="216"/>
      <c r="AYG1" s="217"/>
      <c r="AYH1" s="217"/>
      <c r="AYI1" s="220"/>
      <c r="AYJ1" s="216"/>
      <c r="AYK1" s="217"/>
      <c r="AYL1" s="217"/>
      <c r="AYM1" s="220"/>
      <c r="AYN1" s="216"/>
      <c r="AYO1" s="217"/>
      <c r="AYP1" s="217"/>
      <c r="AYQ1" s="220"/>
      <c r="AYR1" s="216"/>
      <c r="AYS1" s="217"/>
      <c r="AYT1" s="217"/>
      <c r="AYU1" s="220"/>
      <c r="AYV1" s="216"/>
      <c r="AYW1" s="217"/>
      <c r="AYX1" s="217"/>
      <c r="AYY1" s="220"/>
      <c r="AYZ1" s="216"/>
      <c r="AZA1" s="217"/>
      <c r="AZB1" s="217"/>
      <c r="AZC1" s="220"/>
      <c r="AZD1" s="216"/>
      <c r="AZE1" s="217"/>
      <c r="AZF1" s="217"/>
      <c r="AZG1" s="220"/>
      <c r="AZH1" s="216"/>
      <c r="AZI1" s="217"/>
      <c r="AZJ1" s="217"/>
      <c r="AZK1" s="220"/>
      <c r="AZL1" s="216"/>
      <c r="AZM1" s="217"/>
      <c r="AZN1" s="217"/>
      <c r="AZO1" s="220"/>
      <c r="AZP1" s="216"/>
      <c r="AZQ1" s="217"/>
      <c r="AZR1" s="217"/>
      <c r="AZS1" s="220"/>
      <c r="AZT1" s="216"/>
      <c r="AZU1" s="217"/>
      <c r="AZV1" s="217"/>
      <c r="AZW1" s="220"/>
      <c r="AZX1" s="216"/>
      <c r="AZY1" s="217"/>
      <c r="AZZ1" s="217"/>
      <c r="BAA1" s="220"/>
      <c r="BAB1" s="216"/>
      <c r="BAC1" s="217"/>
      <c r="BAD1" s="217"/>
      <c r="BAE1" s="220"/>
      <c r="BAF1" s="216"/>
      <c r="BAG1" s="217"/>
      <c r="BAH1" s="217"/>
      <c r="BAI1" s="220"/>
      <c r="BAJ1" s="216"/>
      <c r="BAK1" s="217"/>
      <c r="BAL1" s="217"/>
      <c r="BAM1" s="220"/>
      <c r="BAN1" s="216"/>
      <c r="BAO1" s="217"/>
      <c r="BAP1" s="217"/>
      <c r="BAQ1" s="220"/>
      <c r="BAR1" s="216"/>
      <c r="BAS1" s="217"/>
      <c r="BAT1" s="217"/>
      <c r="BAU1" s="220"/>
      <c r="BAV1" s="216"/>
      <c r="BAW1" s="217"/>
      <c r="BAX1" s="217"/>
      <c r="BAY1" s="220"/>
      <c r="BAZ1" s="216"/>
      <c r="BBA1" s="217"/>
      <c r="BBB1" s="217"/>
      <c r="BBC1" s="220"/>
      <c r="BBD1" s="216"/>
      <c r="BBE1" s="217"/>
      <c r="BBF1" s="217"/>
      <c r="BBG1" s="220"/>
      <c r="BBH1" s="216"/>
      <c r="BBI1" s="217"/>
      <c r="BBJ1" s="217"/>
      <c r="BBK1" s="220"/>
      <c r="BBL1" s="216"/>
      <c r="BBM1" s="217"/>
      <c r="BBN1" s="217"/>
      <c r="BBO1" s="220"/>
      <c r="BBP1" s="216"/>
      <c r="BBQ1" s="217"/>
      <c r="BBR1" s="217"/>
      <c r="BBS1" s="220"/>
      <c r="BBT1" s="216"/>
      <c r="BBU1" s="217"/>
      <c r="BBV1" s="217"/>
      <c r="BBW1" s="220"/>
      <c r="BBX1" s="216"/>
      <c r="BBY1" s="217"/>
      <c r="BBZ1" s="217"/>
      <c r="BCA1" s="220"/>
      <c r="BCB1" s="216"/>
      <c r="BCC1" s="217"/>
      <c r="BCD1" s="217"/>
      <c r="BCE1" s="220"/>
      <c r="BCF1" s="216"/>
      <c r="BCG1" s="217"/>
      <c r="BCH1" s="217"/>
      <c r="BCI1" s="220"/>
      <c r="BCJ1" s="216"/>
      <c r="BCK1" s="217"/>
      <c r="BCL1" s="217"/>
      <c r="BCM1" s="220"/>
      <c r="BCN1" s="216"/>
      <c r="BCO1" s="217"/>
      <c r="BCP1" s="217"/>
      <c r="BCQ1" s="220"/>
      <c r="BCR1" s="216"/>
      <c r="BCS1" s="217"/>
      <c r="BCT1" s="217"/>
      <c r="BCU1" s="220"/>
      <c r="BCV1" s="216"/>
      <c r="BCW1" s="217"/>
      <c r="BCX1" s="217"/>
      <c r="BCY1" s="220"/>
      <c r="BCZ1" s="216"/>
      <c r="BDA1" s="217"/>
      <c r="BDB1" s="217"/>
      <c r="BDC1" s="220"/>
      <c r="BDD1" s="216"/>
      <c r="BDE1" s="217"/>
      <c r="BDF1" s="217"/>
      <c r="BDG1" s="220"/>
      <c r="BDH1" s="216"/>
      <c r="BDI1" s="217"/>
      <c r="BDJ1" s="217"/>
      <c r="BDK1" s="220"/>
      <c r="BDL1" s="216"/>
      <c r="BDM1" s="217"/>
      <c r="BDN1" s="217"/>
      <c r="BDO1" s="220"/>
      <c r="BDP1" s="216"/>
      <c r="BDQ1" s="217"/>
      <c r="BDR1" s="217"/>
      <c r="BDS1" s="220"/>
      <c r="BDT1" s="216"/>
      <c r="BDU1" s="217"/>
      <c r="BDV1" s="217"/>
      <c r="BDW1" s="220"/>
      <c r="BDX1" s="216"/>
      <c r="BDY1" s="217"/>
      <c r="BDZ1" s="217"/>
      <c r="BEA1" s="220"/>
      <c r="BEB1" s="216"/>
      <c r="BEC1" s="217"/>
      <c r="BED1" s="217"/>
      <c r="BEE1" s="220"/>
      <c r="BEF1" s="216"/>
      <c r="BEG1" s="217"/>
      <c r="BEH1" s="217"/>
      <c r="BEI1" s="220"/>
      <c r="BEJ1" s="216"/>
      <c r="BEK1" s="217"/>
      <c r="BEL1" s="217"/>
      <c r="BEM1" s="220"/>
      <c r="BEN1" s="216"/>
      <c r="BEO1" s="217"/>
      <c r="BEP1" s="217"/>
      <c r="BEQ1" s="220"/>
      <c r="BER1" s="216"/>
      <c r="BES1" s="217"/>
      <c r="BET1" s="217"/>
      <c r="BEU1" s="220"/>
      <c r="BEV1" s="216"/>
      <c r="BEW1" s="217"/>
      <c r="BEX1" s="217"/>
      <c r="BEY1" s="220"/>
      <c r="BEZ1" s="216"/>
      <c r="BFA1" s="217"/>
      <c r="BFB1" s="217"/>
      <c r="BFC1" s="220"/>
      <c r="BFD1" s="216"/>
      <c r="BFE1" s="217"/>
      <c r="BFF1" s="217"/>
      <c r="BFG1" s="220"/>
      <c r="BFH1" s="216"/>
      <c r="BFI1" s="217"/>
      <c r="BFJ1" s="217"/>
      <c r="BFK1" s="220"/>
      <c r="BFL1" s="216"/>
      <c r="BFM1" s="217"/>
      <c r="BFN1" s="217"/>
      <c r="BFO1" s="220"/>
      <c r="BFP1" s="216"/>
      <c r="BFQ1" s="217"/>
      <c r="BFR1" s="217"/>
      <c r="BFS1" s="220"/>
      <c r="BFT1" s="216"/>
      <c r="BFU1" s="217"/>
      <c r="BFV1" s="217"/>
      <c r="BFW1" s="220"/>
      <c r="BFX1" s="216"/>
      <c r="BFY1" s="217"/>
      <c r="BFZ1" s="217"/>
      <c r="BGA1" s="220"/>
      <c r="BGB1" s="216"/>
      <c r="BGC1" s="217"/>
      <c r="BGD1" s="217"/>
      <c r="BGE1" s="220"/>
      <c r="BGF1" s="216"/>
      <c r="BGG1" s="217"/>
      <c r="BGH1" s="217"/>
      <c r="BGI1" s="220"/>
      <c r="BGJ1" s="216"/>
      <c r="BGK1" s="217"/>
      <c r="BGL1" s="217"/>
      <c r="BGM1" s="220"/>
      <c r="BGN1" s="216"/>
      <c r="BGO1" s="217"/>
      <c r="BGP1" s="217"/>
      <c r="BGQ1" s="220"/>
      <c r="BGR1" s="216"/>
      <c r="BGS1" s="217"/>
      <c r="BGT1" s="217"/>
      <c r="BGU1" s="220"/>
      <c r="BGV1" s="216"/>
      <c r="BGW1" s="217"/>
      <c r="BGX1" s="217"/>
      <c r="BGY1" s="220"/>
      <c r="BGZ1" s="216"/>
      <c r="BHA1" s="217"/>
      <c r="BHB1" s="217"/>
      <c r="BHC1" s="220"/>
      <c r="BHD1" s="216"/>
      <c r="BHE1" s="217"/>
      <c r="BHF1" s="217"/>
      <c r="BHG1" s="220"/>
      <c r="BHH1" s="216"/>
      <c r="BHI1" s="217"/>
      <c r="BHJ1" s="217"/>
      <c r="BHK1" s="220"/>
      <c r="BHL1" s="216"/>
      <c r="BHM1" s="217"/>
      <c r="BHN1" s="217"/>
      <c r="BHO1" s="220"/>
      <c r="BHP1" s="216"/>
      <c r="BHQ1" s="217"/>
      <c r="BHR1" s="217"/>
      <c r="BHS1" s="220"/>
      <c r="BHT1" s="216"/>
      <c r="BHU1" s="217"/>
      <c r="BHV1" s="217"/>
      <c r="BHW1" s="220"/>
      <c r="BHX1" s="216"/>
      <c r="BHY1" s="217"/>
      <c r="BHZ1" s="217"/>
      <c r="BIA1" s="220"/>
      <c r="BIB1" s="216"/>
      <c r="BIC1" s="217"/>
      <c r="BID1" s="217"/>
      <c r="BIE1" s="220"/>
      <c r="BIF1" s="216"/>
      <c r="BIG1" s="217"/>
      <c r="BIH1" s="217"/>
      <c r="BII1" s="220"/>
      <c r="BIJ1" s="216"/>
      <c r="BIK1" s="217"/>
      <c r="BIL1" s="217"/>
      <c r="BIM1" s="220"/>
      <c r="BIN1" s="216"/>
      <c r="BIO1" s="217"/>
      <c r="BIP1" s="217"/>
      <c r="BIQ1" s="220"/>
      <c r="BIR1" s="216"/>
      <c r="BIS1" s="217"/>
      <c r="BIT1" s="217"/>
      <c r="BIU1" s="220"/>
      <c r="BIV1" s="216"/>
      <c r="BIW1" s="217"/>
      <c r="BIX1" s="217"/>
      <c r="BIY1" s="220"/>
      <c r="BIZ1" s="216"/>
      <c r="BJA1" s="217"/>
      <c r="BJB1" s="217"/>
      <c r="BJC1" s="220"/>
      <c r="BJD1" s="216"/>
      <c r="BJE1" s="217"/>
      <c r="BJF1" s="217"/>
      <c r="BJG1" s="220"/>
      <c r="BJH1" s="216"/>
      <c r="BJI1" s="217"/>
      <c r="BJJ1" s="217"/>
      <c r="BJK1" s="220"/>
      <c r="BJL1" s="216"/>
      <c r="BJM1" s="217"/>
      <c r="BJN1" s="217"/>
      <c r="BJO1" s="220"/>
      <c r="BJP1" s="216"/>
      <c r="BJQ1" s="217"/>
      <c r="BJR1" s="217"/>
      <c r="BJS1" s="220"/>
      <c r="BJT1" s="216"/>
      <c r="BJU1" s="217"/>
      <c r="BJV1" s="217"/>
      <c r="BJW1" s="220"/>
      <c r="BJX1" s="216"/>
      <c r="BJY1" s="217"/>
      <c r="BJZ1" s="217"/>
      <c r="BKA1" s="220"/>
      <c r="BKB1" s="216"/>
      <c r="BKC1" s="217"/>
      <c r="BKD1" s="217"/>
      <c r="BKE1" s="220"/>
      <c r="BKF1" s="216"/>
      <c r="BKG1" s="217"/>
      <c r="BKH1" s="217"/>
      <c r="BKI1" s="220"/>
      <c r="BKJ1" s="216"/>
      <c r="BKK1" s="217"/>
      <c r="BKL1" s="217"/>
      <c r="BKM1" s="220"/>
      <c r="BKN1" s="216"/>
      <c r="BKO1" s="217"/>
      <c r="BKP1" s="217"/>
      <c r="BKQ1" s="220"/>
      <c r="BKR1" s="216"/>
      <c r="BKS1" s="217"/>
      <c r="BKT1" s="217"/>
      <c r="BKU1" s="220"/>
      <c r="BKV1" s="216"/>
      <c r="BKW1" s="217"/>
      <c r="BKX1" s="217"/>
      <c r="BKY1" s="220"/>
      <c r="BKZ1" s="216"/>
      <c r="BLA1" s="217"/>
      <c r="BLB1" s="217"/>
      <c r="BLC1" s="220"/>
      <c r="BLD1" s="216"/>
      <c r="BLE1" s="217"/>
      <c r="BLF1" s="217"/>
      <c r="BLG1" s="220"/>
      <c r="BLH1" s="216"/>
      <c r="BLI1" s="217"/>
      <c r="BLJ1" s="217"/>
      <c r="BLK1" s="220"/>
      <c r="BLL1" s="216"/>
      <c r="BLM1" s="217"/>
      <c r="BLN1" s="217"/>
      <c r="BLO1" s="220"/>
      <c r="BLP1" s="216"/>
      <c r="BLQ1" s="217"/>
      <c r="BLR1" s="217"/>
      <c r="BLS1" s="220"/>
      <c r="BLT1" s="216"/>
      <c r="BLU1" s="217"/>
      <c r="BLV1" s="217"/>
      <c r="BLW1" s="220"/>
      <c r="BLX1" s="216"/>
      <c r="BLY1" s="217"/>
      <c r="BLZ1" s="217"/>
      <c r="BMA1" s="220"/>
      <c r="BMB1" s="216"/>
      <c r="BMC1" s="217"/>
      <c r="BMD1" s="217"/>
      <c r="BME1" s="220"/>
      <c r="BMF1" s="216"/>
      <c r="BMG1" s="217"/>
      <c r="BMH1" s="217"/>
      <c r="BMI1" s="220"/>
      <c r="BMJ1" s="216"/>
      <c r="BMK1" s="217"/>
      <c r="BML1" s="217"/>
      <c r="BMM1" s="220"/>
      <c r="BMN1" s="216"/>
      <c r="BMO1" s="217"/>
      <c r="BMP1" s="217"/>
      <c r="BMQ1" s="220"/>
      <c r="BMR1" s="216"/>
      <c r="BMS1" s="217"/>
      <c r="BMT1" s="217"/>
      <c r="BMU1" s="220"/>
      <c r="BMV1" s="216"/>
      <c r="BMW1" s="217"/>
      <c r="BMX1" s="217"/>
      <c r="BMY1" s="220"/>
      <c r="BMZ1" s="216"/>
      <c r="BNA1" s="217"/>
      <c r="BNB1" s="217"/>
      <c r="BNC1" s="220"/>
      <c r="BND1" s="216"/>
      <c r="BNE1" s="217"/>
      <c r="BNF1" s="217"/>
      <c r="BNG1" s="220"/>
      <c r="BNH1" s="216"/>
      <c r="BNI1" s="217"/>
      <c r="BNJ1" s="217"/>
      <c r="BNK1" s="220"/>
      <c r="BNL1" s="216"/>
      <c r="BNM1" s="217"/>
      <c r="BNN1" s="217"/>
      <c r="BNO1" s="220"/>
      <c r="BNP1" s="216"/>
      <c r="BNQ1" s="217"/>
      <c r="BNR1" s="217"/>
      <c r="BNS1" s="220"/>
      <c r="BNT1" s="216"/>
      <c r="BNU1" s="217"/>
      <c r="BNV1" s="217"/>
      <c r="BNW1" s="220"/>
      <c r="BNX1" s="216"/>
      <c r="BNY1" s="217"/>
      <c r="BNZ1" s="217"/>
      <c r="BOA1" s="220"/>
      <c r="BOB1" s="216"/>
      <c r="BOC1" s="217"/>
      <c r="BOD1" s="217"/>
      <c r="BOE1" s="220"/>
      <c r="BOF1" s="216"/>
      <c r="BOG1" s="217"/>
      <c r="BOH1" s="217"/>
      <c r="BOI1" s="220"/>
      <c r="BOJ1" s="216"/>
      <c r="BOK1" s="217"/>
      <c r="BOL1" s="217"/>
      <c r="BOM1" s="220"/>
      <c r="BON1" s="216"/>
      <c r="BOO1" s="217"/>
      <c r="BOP1" s="217"/>
      <c r="BOQ1" s="220"/>
      <c r="BOR1" s="216"/>
      <c r="BOS1" s="217"/>
      <c r="BOT1" s="217"/>
      <c r="BOU1" s="220"/>
      <c r="BOV1" s="216"/>
      <c r="BOW1" s="217"/>
      <c r="BOX1" s="217"/>
      <c r="BOY1" s="220"/>
      <c r="BOZ1" s="216"/>
      <c r="BPA1" s="217"/>
      <c r="BPB1" s="217"/>
      <c r="BPC1" s="220"/>
      <c r="BPD1" s="216"/>
      <c r="BPE1" s="217"/>
      <c r="BPF1" s="217"/>
      <c r="BPG1" s="220"/>
      <c r="BPH1" s="216"/>
      <c r="BPI1" s="217"/>
      <c r="BPJ1" s="217"/>
      <c r="BPK1" s="220"/>
      <c r="BPL1" s="216"/>
      <c r="BPM1" s="217"/>
      <c r="BPN1" s="217"/>
      <c r="BPO1" s="220"/>
      <c r="BPP1" s="216"/>
      <c r="BPQ1" s="217"/>
      <c r="BPR1" s="217"/>
      <c r="BPS1" s="220"/>
      <c r="BPT1" s="216"/>
      <c r="BPU1" s="217"/>
      <c r="BPV1" s="217"/>
      <c r="BPW1" s="220"/>
      <c r="BPX1" s="216"/>
      <c r="BPY1" s="217"/>
      <c r="BPZ1" s="217"/>
      <c r="BQA1" s="220"/>
      <c r="BQB1" s="216"/>
      <c r="BQC1" s="217"/>
      <c r="BQD1" s="217"/>
      <c r="BQE1" s="220"/>
      <c r="BQF1" s="216"/>
      <c r="BQG1" s="217"/>
      <c r="BQH1" s="217"/>
      <c r="BQI1" s="220"/>
      <c r="BQJ1" s="216"/>
      <c r="BQK1" s="217"/>
      <c r="BQL1" s="217"/>
      <c r="BQM1" s="220"/>
      <c r="BQN1" s="216"/>
      <c r="BQO1" s="217"/>
      <c r="BQP1" s="217"/>
      <c r="BQQ1" s="220"/>
      <c r="BQR1" s="216"/>
      <c r="BQS1" s="217"/>
      <c r="BQT1" s="217"/>
      <c r="BQU1" s="220"/>
      <c r="BQV1" s="216"/>
      <c r="BQW1" s="217"/>
      <c r="BQX1" s="217"/>
      <c r="BQY1" s="220"/>
      <c r="BQZ1" s="216"/>
      <c r="BRA1" s="217"/>
      <c r="BRB1" s="217"/>
      <c r="BRC1" s="220"/>
      <c r="BRD1" s="216"/>
      <c r="BRE1" s="217"/>
      <c r="BRF1" s="217"/>
      <c r="BRG1" s="220"/>
      <c r="BRH1" s="216"/>
      <c r="BRI1" s="217"/>
      <c r="BRJ1" s="217"/>
      <c r="BRK1" s="220"/>
      <c r="BRL1" s="216"/>
      <c r="BRM1" s="217"/>
      <c r="BRN1" s="217"/>
      <c r="BRO1" s="220"/>
      <c r="BRP1" s="216"/>
      <c r="BRQ1" s="217"/>
      <c r="BRR1" s="217"/>
      <c r="BRS1" s="220"/>
      <c r="BRT1" s="216"/>
      <c r="BRU1" s="217"/>
      <c r="BRV1" s="217"/>
      <c r="BRW1" s="220"/>
      <c r="BRX1" s="216"/>
      <c r="BRY1" s="217"/>
      <c r="BRZ1" s="217"/>
      <c r="BSA1" s="220"/>
      <c r="BSB1" s="216"/>
      <c r="BSC1" s="217"/>
      <c r="BSD1" s="217"/>
      <c r="BSE1" s="220"/>
      <c r="BSF1" s="216"/>
      <c r="BSG1" s="217"/>
      <c r="BSH1" s="217"/>
      <c r="BSI1" s="220"/>
      <c r="BSJ1" s="216"/>
      <c r="BSK1" s="217"/>
      <c r="BSL1" s="217"/>
      <c r="BSM1" s="220"/>
      <c r="BSN1" s="216"/>
      <c r="BSO1" s="217"/>
      <c r="BSP1" s="217"/>
      <c r="BSQ1" s="220"/>
      <c r="BSR1" s="216"/>
      <c r="BSS1" s="217"/>
      <c r="BST1" s="217"/>
      <c r="BSU1" s="220"/>
      <c r="BSV1" s="216"/>
      <c r="BSW1" s="217"/>
      <c r="BSX1" s="217"/>
      <c r="BSY1" s="220"/>
      <c r="BSZ1" s="216"/>
      <c r="BTA1" s="217"/>
      <c r="BTB1" s="217"/>
      <c r="BTC1" s="220"/>
      <c r="BTD1" s="216"/>
      <c r="BTE1" s="217"/>
      <c r="BTF1" s="217"/>
      <c r="BTG1" s="220"/>
      <c r="BTH1" s="216"/>
      <c r="BTI1" s="217"/>
      <c r="BTJ1" s="217"/>
      <c r="BTK1" s="220"/>
      <c r="BTL1" s="216"/>
      <c r="BTM1" s="217"/>
      <c r="BTN1" s="217"/>
      <c r="BTO1" s="220"/>
      <c r="BTP1" s="216"/>
      <c r="BTQ1" s="217"/>
      <c r="BTR1" s="217"/>
      <c r="BTS1" s="220"/>
      <c r="BTT1" s="216"/>
      <c r="BTU1" s="217"/>
      <c r="BTV1" s="217"/>
      <c r="BTW1" s="220"/>
      <c r="BTX1" s="216"/>
      <c r="BTY1" s="217"/>
      <c r="BTZ1" s="217"/>
      <c r="BUA1" s="220"/>
      <c r="BUB1" s="216"/>
      <c r="BUC1" s="217"/>
      <c r="BUD1" s="217"/>
      <c r="BUE1" s="220"/>
      <c r="BUF1" s="216"/>
      <c r="BUG1" s="217"/>
      <c r="BUH1" s="217"/>
      <c r="BUI1" s="220"/>
      <c r="BUJ1" s="216"/>
      <c r="BUK1" s="217"/>
      <c r="BUL1" s="217"/>
      <c r="BUM1" s="220"/>
      <c r="BUN1" s="216"/>
      <c r="BUO1" s="217"/>
      <c r="BUP1" s="217"/>
      <c r="BUQ1" s="220"/>
      <c r="BUR1" s="216"/>
      <c r="BUS1" s="217"/>
      <c r="BUT1" s="217"/>
      <c r="BUU1" s="220"/>
      <c r="BUV1" s="216"/>
      <c r="BUW1" s="217"/>
      <c r="BUX1" s="217"/>
      <c r="BUY1" s="220"/>
      <c r="BUZ1" s="216"/>
      <c r="BVA1" s="217"/>
      <c r="BVB1" s="217"/>
      <c r="BVC1" s="220"/>
      <c r="BVD1" s="216"/>
      <c r="BVE1" s="217"/>
      <c r="BVF1" s="217"/>
      <c r="BVG1" s="220"/>
      <c r="BVH1" s="216"/>
      <c r="BVI1" s="217"/>
      <c r="BVJ1" s="217"/>
      <c r="BVK1" s="220"/>
      <c r="BVL1" s="216"/>
      <c r="BVM1" s="217"/>
      <c r="BVN1" s="217"/>
      <c r="BVO1" s="220"/>
      <c r="BVP1" s="216"/>
      <c r="BVQ1" s="217"/>
      <c r="BVR1" s="217"/>
      <c r="BVS1" s="220"/>
      <c r="BVT1" s="216"/>
      <c r="BVU1" s="217"/>
      <c r="BVV1" s="217"/>
      <c r="BVW1" s="220"/>
      <c r="BVX1" s="216"/>
      <c r="BVY1" s="217"/>
      <c r="BVZ1" s="217"/>
      <c r="BWA1" s="220"/>
      <c r="BWB1" s="216"/>
      <c r="BWC1" s="217"/>
      <c r="BWD1" s="217"/>
      <c r="BWE1" s="220"/>
      <c r="BWF1" s="216"/>
      <c r="BWG1" s="217"/>
      <c r="BWH1" s="217"/>
      <c r="BWI1" s="220"/>
      <c r="BWJ1" s="216"/>
      <c r="BWK1" s="217"/>
      <c r="BWL1" s="217"/>
      <c r="BWM1" s="220"/>
      <c r="BWN1" s="216"/>
      <c r="BWO1" s="217"/>
      <c r="BWP1" s="217"/>
      <c r="BWQ1" s="220"/>
      <c r="BWR1" s="216"/>
      <c r="BWS1" s="217"/>
      <c r="BWT1" s="217"/>
      <c r="BWU1" s="220"/>
      <c r="BWV1" s="216"/>
      <c r="BWW1" s="217"/>
      <c r="BWX1" s="217"/>
      <c r="BWY1" s="220"/>
      <c r="BWZ1" s="216"/>
      <c r="BXA1" s="217"/>
      <c r="BXB1" s="217"/>
      <c r="BXC1" s="220"/>
      <c r="BXD1" s="216"/>
      <c r="BXE1" s="217"/>
      <c r="BXF1" s="217"/>
      <c r="BXG1" s="220"/>
      <c r="BXH1" s="216"/>
      <c r="BXI1" s="217"/>
      <c r="BXJ1" s="217"/>
      <c r="BXK1" s="220"/>
      <c r="BXL1" s="216"/>
      <c r="BXM1" s="217"/>
      <c r="BXN1" s="217"/>
      <c r="BXO1" s="220"/>
      <c r="BXP1" s="216"/>
      <c r="BXQ1" s="217"/>
      <c r="BXR1" s="217"/>
      <c r="BXS1" s="220"/>
      <c r="BXT1" s="216"/>
      <c r="BXU1" s="217"/>
      <c r="BXV1" s="217"/>
      <c r="BXW1" s="220"/>
      <c r="BXX1" s="216"/>
      <c r="BXY1" s="217"/>
      <c r="BXZ1" s="217"/>
      <c r="BYA1" s="220"/>
      <c r="BYB1" s="216"/>
      <c r="BYC1" s="217"/>
      <c r="BYD1" s="217"/>
      <c r="BYE1" s="220"/>
      <c r="BYF1" s="216"/>
      <c r="BYG1" s="217"/>
      <c r="BYH1" s="217"/>
      <c r="BYI1" s="220"/>
      <c r="BYJ1" s="216"/>
      <c r="BYK1" s="217"/>
      <c r="BYL1" s="217"/>
      <c r="BYM1" s="220"/>
      <c r="BYN1" s="216"/>
      <c r="BYO1" s="217"/>
      <c r="BYP1" s="217"/>
      <c r="BYQ1" s="220"/>
      <c r="BYR1" s="216"/>
      <c r="BYS1" s="217"/>
      <c r="BYT1" s="217"/>
      <c r="BYU1" s="220"/>
      <c r="BYV1" s="216"/>
      <c r="BYW1" s="217"/>
      <c r="BYX1" s="217"/>
      <c r="BYY1" s="220"/>
      <c r="BYZ1" s="216"/>
      <c r="BZA1" s="217"/>
      <c r="BZB1" s="217"/>
      <c r="BZC1" s="220"/>
      <c r="BZD1" s="216"/>
      <c r="BZE1" s="217"/>
      <c r="BZF1" s="217"/>
      <c r="BZG1" s="220"/>
      <c r="BZH1" s="216"/>
      <c r="BZI1" s="217"/>
      <c r="BZJ1" s="217"/>
      <c r="BZK1" s="220"/>
      <c r="BZL1" s="216"/>
      <c r="BZM1" s="217"/>
      <c r="BZN1" s="217"/>
      <c r="BZO1" s="220"/>
      <c r="BZP1" s="216"/>
      <c r="BZQ1" s="217"/>
      <c r="BZR1" s="217"/>
      <c r="BZS1" s="220"/>
      <c r="BZT1" s="216"/>
      <c r="BZU1" s="217"/>
      <c r="BZV1" s="217"/>
      <c r="BZW1" s="220"/>
      <c r="BZX1" s="216"/>
      <c r="BZY1" s="217"/>
      <c r="BZZ1" s="217"/>
      <c r="CAA1" s="220"/>
      <c r="CAB1" s="216"/>
      <c r="CAC1" s="217"/>
      <c r="CAD1" s="217"/>
      <c r="CAE1" s="220"/>
      <c r="CAF1" s="216"/>
      <c r="CAG1" s="217"/>
      <c r="CAH1" s="217"/>
      <c r="CAI1" s="220"/>
      <c r="CAJ1" s="216"/>
      <c r="CAK1" s="217"/>
      <c r="CAL1" s="217"/>
      <c r="CAM1" s="220"/>
      <c r="CAN1" s="216"/>
      <c r="CAO1" s="217"/>
      <c r="CAP1" s="217"/>
      <c r="CAQ1" s="220"/>
      <c r="CAR1" s="216"/>
      <c r="CAS1" s="217"/>
      <c r="CAT1" s="217"/>
      <c r="CAU1" s="220"/>
      <c r="CAV1" s="216"/>
      <c r="CAW1" s="217"/>
      <c r="CAX1" s="217"/>
      <c r="CAY1" s="220"/>
      <c r="CAZ1" s="216"/>
      <c r="CBA1" s="217"/>
      <c r="CBB1" s="217"/>
      <c r="CBC1" s="220"/>
      <c r="CBD1" s="216"/>
      <c r="CBE1" s="217"/>
      <c r="CBF1" s="217"/>
      <c r="CBG1" s="220"/>
      <c r="CBH1" s="216"/>
      <c r="CBI1" s="217"/>
      <c r="CBJ1" s="217"/>
      <c r="CBK1" s="220"/>
      <c r="CBL1" s="216"/>
      <c r="CBM1" s="217"/>
      <c r="CBN1" s="217"/>
      <c r="CBO1" s="220"/>
      <c r="CBP1" s="216"/>
      <c r="CBQ1" s="217"/>
      <c r="CBR1" s="217"/>
      <c r="CBS1" s="220"/>
      <c r="CBT1" s="216"/>
      <c r="CBU1" s="217"/>
      <c r="CBV1" s="217"/>
      <c r="CBW1" s="220"/>
      <c r="CBX1" s="216"/>
      <c r="CBY1" s="217"/>
      <c r="CBZ1" s="217"/>
      <c r="CCA1" s="220"/>
      <c r="CCB1" s="216"/>
      <c r="CCC1" s="217"/>
      <c r="CCD1" s="217"/>
      <c r="CCE1" s="220"/>
      <c r="CCF1" s="216"/>
      <c r="CCG1" s="217"/>
      <c r="CCH1" s="217"/>
      <c r="CCI1" s="220"/>
      <c r="CCJ1" s="216"/>
      <c r="CCK1" s="217"/>
      <c r="CCL1" s="217"/>
      <c r="CCM1" s="220"/>
      <c r="CCN1" s="216"/>
      <c r="CCO1" s="217"/>
      <c r="CCP1" s="217"/>
      <c r="CCQ1" s="220"/>
      <c r="CCR1" s="216"/>
      <c r="CCS1" s="217"/>
      <c r="CCT1" s="217"/>
      <c r="CCU1" s="220"/>
      <c r="CCV1" s="216"/>
      <c r="CCW1" s="217"/>
      <c r="CCX1" s="217"/>
      <c r="CCY1" s="220"/>
      <c r="CCZ1" s="216"/>
      <c r="CDA1" s="217"/>
      <c r="CDB1" s="217"/>
      <c r="CDC1" s="220"/>
      <c r="CDD1" s="216"/>
      <c r="CDE1" s="217"/>
      <c r="CDF1" s="217"/>
      <c r="CDG1" s="220"/>
      <c r="CDH1" s="216"/>
      <c r="CDI1" s="217"/>
      <c r="CDJ1" s="217"/>
      <c r="CDK1" s="220"/>
      <c r="CDL1" s="216"/>
      <c r="CDM1" s="217"/>
      <c r="CDN1" s="217"/>
      <c r="CDO1" s="220"/>
      <c r="CDP1" s="216"/>
      <c r="CDQ1" s="217"/>
      <c r="CDR1" s="217"/>
      <c r="CDS1" s="220"/>
      <c r="CDT1" s="216"/>
      <c r="CDU1" s="217"/>
      <c r="CDV1" s="217"/>
      <c r="CDW1" s="220"/>
      <c r="CDX1" s="216"/>
      <c r="CDY1" s="217"/>
      <c r="CDZ1" s="217"/>
      <c r="CEA1" s="220"/>
      <c r="CEB1" s="216"/>
      <c r="CEC1" s="217"/>
      <c r="CED1" s="217"/>
      <c r="CEE1" s="220"/>
      <c r="CEF1" s="216"/>
      <c r="CEG1" s="217"/>
      <c r="CEH1" s="217"/>
      <c r="CEI1" s="220"/>
      <c r="CEJ1" s="216"/>
      <c r="CEK1" s="217"/>
      <c r="CEL1" s="217"/>
      <c r="CEM1" s="220"/>
      <c r="CEN1" s="216"/>
      <c r="CEO1" s="217"/>
      <c r="CEP1" s="217"/>
      <c r="CEQ1" s="220"/>
      <c r="CER1" s="216"/>
      <c r="CES1" s="217"/>
      <c r="CET1" s="217"/>
      <c r="CEU1" s="220"/>
      <c r="CEV1" s="216"/>
      <c r="CEW1" s="217"/>
      <c r="CEX1" s="217"/>
      <c r="CEY1" s="220"/>
      <c r="CEZ1" s="216"/>
      <c r="CFA1" s="217"/>
      <c r="CFB1" s="217"/>
      <c r="CFC1" s="220"/>
      <c r="CFD1" s="216"/>
      <c r="CFE1" s="217"/>
      <c r="CFF1" s="217"/>
      <c r="CFG1" s="220"/>
      <c r="CFH1" s="216"/>
      <c r="CFI1" s="217"/>
      <c r="CFJ1" s="217"/>
      <c r="CFK1" s="220"/>
      <c r="CFL1" s="216"/>
      <c r="CFM1" s="217"/>
      <c r="CFN1" s="217"/>
      <c r="CFO1" s="220"/>
      <c r="CFP1" s="216"/>
      <c r="CFQ1" s="217"/>
      <c r="CFR1" s="217"/>
      <c r="CFS1" s="220"/>
      <c r="CFT1" s="216"/>
      <c r="CFU1" s="217"/>
      <c r="CFV1" s="217"/>
      <c r="CFW1" s="220"/>
      <c r="CFX1" s="216"/>
      <c r="CFY1" s="217"/>
      <c r="CFZ1" s="217"/>
      <c r="CGA1" s="220"/>
      <c r="CGB1" s="216"/>
      <c r="CGC1" s="217"/>
      <c r="CGD1" s="217"/>
      <c r="CGE1" s="220"/>
      <c r="CGF1" s="216"/>
      <c r="CGG1" s="217"/>
      <c r="CGH1" s="217"/>
      <c r="CGI1" s="220"/>
      <c r="CGJ1" s="216"/>
      <c r="CGK1" s="217"/>
      <c r="CGL1" s="217"/>
      <c r="CGM1" s="220"/>
      <c r="CGN1" s="216"/>
      <c r="CGO1" s="217"/>
      <c r="CGP1" s="217"/>
      <c r="CGQ1" s="220"/>
      <c r="CGR1" s="216"/>
      <c r="CGS1" s="217"/>
      <c r="CGT1" s="217"/>
      <c r="CGU1" s="220"/>
      <c r="CGV1" s="216"/>
      <c r="CGW1" s="217"/>
      <c r="CGX1" s="217"/>
      <c r="CGY1" s="220"/>
      <c r="CGZ1" s="216"/>
      <c r="CHA1" s="217"/>
      <c r="CHB1" s="217"/>
      <c r="CHC1" s="220"/>
      <c r="CHD1" s="216"/>
      <c r="CHE1" s="217"/>
      <c r="CHF1" s="217"/>
      <c r="CHG1" s="220"/>
      <c r="CHH1" s="216"/>
      <c r="CHI1" s="217"/>
      <c r="CHJ1" s="217"/>
      <c r="CHK1" s="220"/>
      <c r="CHL1" s="216"/>
      <c r="CHM1" s="217"/>
      <c r="CHN1" s="217"/>
      <c r="CHO1" s="220"/>
      <c r="CHP1" s="216"/>
      <c r="CHQ1" s="217"/>
      <c r="CHR1" s="217"/>
      <c r="CHS1" s="220"/>
      <c r="CHT1" s="216"/>
      <c r="CHU1" s="217"/>
      <c r="CHV1" s="217"/>
      <c r="CHW1" s="220"/>
      <c r="CHX1" s="216"/>
      <c r="CHY1" s="217"/>
      <c r="CHZ1" s="217"/>
      <c r="CIA1" s="220"/>
      <c r="CIB1" s="216"/>
      <c r="CIC1" s="217"/>
      <c r="CID1" s="217"/>
      <c r="CIE1" s="220"/>
      <c r="CIF1" s="216"/>
      <c r="CIG1" s="217"/>
      <c r="CIH1" s="217"/>
      <c r="CII1" s="220"/>
      <c r="CIJ1" s="216"/>
      <c r="CIK1" s="217"/>
      <c r="CIL1" s="217"/>
      <c r="CIM1" s="220"/>
      <c r="CIN1" s="216"/>
      <c r="CIO1" s="217"/>
      <c r="CIP1" s="217"/>
      <c r="CIQ1" s="220"/>
      <c r="CIR1" s="216"/>
      <c r="CIS1" s="217"/>
      <c r="CIT1" s="217"/>
      <c r="CIU1" s="220"/>
      <c r="CIV1" s="216"/>
      <c r="CIW1" s="217"/>
      <c r="CIX1" s="217"/>
      <c r="CIY1" s="220"/>
      <c r="CIZ1" s="216"/>
      <c r="CJA1" s="217"/>
      <c r="CJB1" s="217"/>
      <c r="CJC1" s="220"/>
      <c r="CJD1" s="216"/>
      <c r="CJE1" s="217"/>
      <c r="CJF1" s="217"/>
      <c r="CJG1" s="220"/>
      <c r="CJH1" s="216"/>
      <c r="CJI1" s="217"/>
      <c r="CJJ1" s="217"/>
      <c r="CJK1" s="220"/>
      <c r="CJL1" s="216"/>
      <c r="CJM1" s="217"/>
      <c r="CJN1" s="217"/>
      <c r="CJO1" s="220"/>
      <c r="CJP1" s="216"/>
      <c r="CJQ1" s="217"/>
      <c r="CJR1" s="217"/>
      <c r="CJS1" s="220"/>
      <c r="CJT1" s="216"/>
      <c r="CJU1" s="217"/>
      <c r="CJV1" s="217"/>
      <c r="CJW1" s="220"/>
      <c r="CJX1" s="216"/>
      <c r="CJY1" s="217"/>
      <c r="CJZ1" s="217"/>
      <c r="CKA1" s="220"/>
      <c r="CKB1" s="216"/>
      <c r="CKC1" s="217"/>
      <c r="CKD1" s="217"/>
      <c r="CKE1" s="220"/>
      <c r="CKF1" s="216"/>
      <c r="CKG1" s="217"/>
      <c r="CKH1" s="217"/>
      <c r="CKI1" s="220"/>
      <c r="CKJ1" s="216"/>
      <c r="CKK1" s="217"/>
      <c r="CKL1" s="217"/>
      <c r="CKM1" s="220"/>
      <c r="CKN1" s="216"/>
      <c r="CKO1" s="217"/>
      <c r="CKP1" s="217"/>
      <c r="CKQ1" s="220"/>
      <c r="CKR1" s="216"/>
      <c r="CKS1" s="217"/>
      <c r="CKT1" s="217"/>
      <c r="CKU1" s="220"/>
      <c r="CKV1" s="216"/>
      <c r="CKW1" s="217"/>
      <c r="CKX1" s="217"/>
      <c r="CKY1" s="220"/>
      <c r="CKZ1" s="216"/>
      <c r="CLA1" s="217"/>
      <c r="CLB1" s="217"/>
      <c r="CLC1" s="220"/>
      <c r="CLD1" s="216"/>
      <c r="CLE1" s="217"/>
      <c r="CLF1" s="217"/>
      <c r="CLG1" s="220"/>
      <c r="CLH1" s="216"/>
      <c r="CLI1" s="217"/>
      <c r="CLJ1" s="217"/>
      <c r="CLK1" s="220"/>
      <c r="CLL1" s="216"/>
      <c r="CLM1" s="217"/>
      <c r="CLN1" s="217"/>
      <c r="CLO1" s="220"/>
      <c r="CLP1" s="216"/>
      <c r="CLQ1" s="217"/>
      <c r="CLR1" s="217"/>
      <c r="CLS1" s="220"/>
      <c r="CLT1" s="216"/>
      <c r="CLU1" s="217"/>
      <c r="CLV1" s="217"/>
      <c r="CLW1" s="220"/>
      <c r="CLX1" s="216"/>
      <c r="CLY1" s="217"/>
      <c r="CLZ1" s="217"/>
      <c r="CMA1" s="220"/>
      <c r="CMB1" s="216"/>
      <c r="CMC1" s="217"/>
      <c r="CMD1" s="217"/>
      <c r="CME1" s="220"/>
      <c r="CMF1" s="216"/>
      <c r="CMG1" s="217"/>
      <c r="CMH1" s="217"/>
      <c r="CMI1" s="220"/>
      <c r="CMJ1" s="216"/>
      <c r="CMK1" s="217"/>
      <c r="CML1" s="217"/>
      <c r="CMM1" s="220"/>
      <c r="CMN1" s="216"/>
      <c r="CMO1" s="217"/>
      <c r="CMP1" s="217"/>
      <c r="CMQ1" s="220"/>
      <c r="CMR1" s="216"/>
      <c r="CMS1" s="217"/>
      <c r="CMT1" s="217"/>
      <c r="CMU1" s="220"/>
      <c r="CMV1" s="216"/>
      <c r="CMW1" s="217"/>
      <c r="CMX1" s="217"/>
      <c r="CMY1" s="220"/>
      <c r="CMZ1" s="216"/>
      <c r="CNA1" s="217"/>
      <c r="CNB1" s="217"/>
      <c r="CNC1" s="220"/>
      <c r="CND1" s="216"/>
      <c r="CNE1" s="217"/>
      <c r="CNF1" s="217"/>
      <c r="CNG1" s="220"/>
      <c r="CNH1" s="216"/>
      <c r="CNI1" s="217"/>
      <c r="CNJ1" s="217"/>
      <c r="CNK1" s="220"/>
      <c r="CNL1" s="216"/>
      <c r="CNM1" s="217"/>
      <c r="CNN1" s="217"/>
      <c r="CNO1" s="220"/>
      <c r="CNP1" s="216"/>
      <c r="CNQ1" s="217"/>
      <c r="CNR1" s="217"/>
      <c r="CNS1" s="220"/>
      <c r="CNT1" s="216"/>
      <c r="CNU1" s="217"/>
      <c r="CNV1" s="217"/>
      <c r="CNW1" s="220"/>
      <c r="CNX1" s="216"/>
      <c r="CNY1" s="217"/>
      <c r="CNZ1" s="217"/>
      <c r="COA1" s="220"/>
      <c r="COB1" s="216"/>
      <c r="COC1" s="217"/>
      <c r="COD1" s="217"/>
      <c r="COE1" s="220"/>
      <c r="COF1" s="216"/>
      <c r="COG1" s="217"/>
      <c r="COH1" s="217"/>
      <c r="COI1" s="220"/>
      <c r="COJ1" s="216"/>
      <c r="COK1" s="217"/>
      <c r="COL1" s="217"/>
      <c r="COM1" s="220"/>
      <c r="CON1" s="216"/>
      <c r="COO1" s="217"/>
      <c r="COP1" s="217"/>
      <c r="COQ1" s="220"/>
      <c r="COR1" s="216"/>
      <c r="COS1" s="217"/>
      <c r="COT1" s="217"/>
      <c r="COU1" s="220"/>
      <c r="COV1" s="216"/>
      <c r="COW1" s="217"/>
      <c r="COX1" s="217"/>
      <c r="COY1" s="220"/>
      <c r="COZ1" s="216"/>
      <c r="CPA1" s="217"/>
      <c r="CPB1" s="217"/>
      <c r="CPC1" s="220"/>
      <c r="CPD1" s="216"/>
      <c r="CPE1" s="217"/>
      <c r="CPF1" s="217"/>
      <c r="CPG1" s="220"/>
      <c r="CPH1" s="216"/>
      <c r="CPI1" s="217"/>
      <c r="CPJ1" s="217"/>
      <c r="CPK1" s="220"/>
      <c r="CPL1" s="216"/>
      <c r="CPM1" s="217"/>
      <c r="CPN1" s="217"/>
      <c r="CPO1" s="220"/>
      <c r="CPP1" s="216"/>
      <c r="CPQ1" s="217"/>
      <c r="CPR1" s="217"/>
      <c r="CPS1" s="220"/>
      <c r="CPT1" s="216"/>
      <c r="CPU1" s="217"/>
      <c r="CPV1" s="217"/>
      <c r="CPW1" s="220"/>
      <c r="CPX1" s="216"/>
      <c r="CPY1" s="217"/>
      <c r="CPZ1" s="217"/>
      <c r="CQA1" s="220"/>
      <c r="CQB1" s="216"/>
      <c r="CQC1" s="217"/>
      <c r="CQD1" s="217"/>
      <c r="CQE1" s="220"/>
      <c r="CQF1" s="216"/>
      <c r="CQG1" s="217"/>
      <c r="CQH1" s="217"/>
      <c r="CQI1" s="220"/>
      <c r="CQJ1" s="216"/>
      <c r="CQK1" s="217"/>
      <c r="CQL1" s="217"/>
      <c r="CQM1" s="220"/>
      <c r="CQN1" s="216"/>
      <c r="CQO1" s="217"/>
      <c r="CQP1" s="217"/>
      <c r="CQQ1" s="220"/>
      <c r="CQR1" s="216"/>
      <c r="CQS1" s="217"/>
      <c r="CQT1" s="217"/>
      <c r="CQU1" s="220"/>
      <c r="CQV1" s="216"/>
      <c r="CQW1" s="217"/>
      <c r="CQX1" s="217"/>
      <c r="CQY1" s="220"/>
      <c r="CQZ1" s="216"/>
      <c r="CRA1" s="217"/>
      <c r="CRB1" s="217"/>
      <c r="CRC1" s="220"/>
      <c r="CRD1" s="216"/>
      <c r="CRE1" s="217"/>
      <c r="CRF1" s="217"/>
      <c r="CRG1" s="220"/>
      <c r="CRH1" s="216"/>
      <c r="CRI1" s="217"/>
      <c r="CRJ1" s="217"/>
      <c r="CRK1" s="220"/>
      <c r="CRL1" s="216"/>
      <c r="CRM1" s="217"/>
      <c r="CRN1" s="217"/>
      <c r="CRO1" s="220"/>
      <c r="CRP1" s="216"/>
      <c r="CRQ1" s="217"/>
      <c r="CRR1" s="217"/>
      <c r="CRS1" s="220"/>
      <c r="CRT1" s="216"/>
      <c r="CRU1" s="217"/>
      <c r="CRV1" s="217"/>
      <c r="CRW1" s="220"/>
      <c r="CRX1" s="216"/>
      <c r="CRY1" s="217"/>
      <c r="CRZ1" s="217"/>
      <c r="CSA1" s="220"/>
      <c r="CSB1" s="216"/>
      <c r="CSC1" s="217"/>
      <c r="CSD1" s="217"/>
      <c r="CSE1" s="220"/>
      <c r="CSF1" s="216"/>
      <c r="CSG1" s="217"/>
      <c r="CSH1" s="217"/>
      <c r="CSI1" s="220"/>
      <c r="CSJ1" s="216"/>
      <c r="CSK1" s="217"/>
      <c r="CSL1" s="217"/>
      <c r="CSM1" s="220"/>
      <c r="CSN1" s="216"/>
      <c r="CSO1" s="217"/>
      <c r="CSP1" s="217"/>
      <c r="CSQ1" s="220"/>
      <c r="CSR1" s="216"/>
      <c r="CSS1" s="217"/>
      <c r="CST1" s="217"/>
      <c r="CSU1" s="220"/>
      <c r="CSV1" s="216"/>
      <c r="CSW1" s="217"/>
      <c r="CSX1" s="217"/>
      <c r="CSY1" s="220"/>
      <c r="CSZ1" s="216"/>
      <c r="CTA1" s="217"/>
      <c r="CTB1" s="217"/>
      <c r="CTC1" s="220"/>
      <c r="CTD1" s="216"/>
      <c r="CTE1" s="217"/>
      <c r="CTF1" s="217"/>
      <c r="CTG1" s="220"/>
      <c r="CTH1" s="216"/>
      <c r="CTI1" s="217"/>
      <c r="CTJ1" s="217"/>
      <c r="CTK1" s="220"/>
      <c r="CTL1" s="216"/>
      <c r="CTM1" s="217"/>
      <c r="CTN1" s="217"/>
      <c r="CTO1" s="220"/>
      <c r="CTP1" s="216"/>
      <c r="CTQ1" s="217"/>
      <c r="CTR1" s="217"/>
      <c r="CTS1" s="220"/>
      <c r="CTT1" s="216"/>
      <c r="CTU1" s="217"/>
      <c r="CTV1" s="217"/>
      <c r="CTW1" s="220"/>
      <c r="CTX1" s="216"/>
      <c r="CTY1" s="217"/>
      <c r="CTZ1" s="217"/>
      <c r="CUA1" s="220"/>
      <c r="CUB1" s="216"/>
      <c r="CUC1" s="217"/>
      <c r="CUD1" s="217"/>
      <c r="CUE1" s="220"/>
      <c r="CUF1" s="216"/>
      <c r="CUG1" s="217"/>
      <c r="CUH1" s="217"/>
      <c r="CUI1" s="220"/>
      <c r="CUJ1" s="216"/>
      <c r="CUK1" s="217"/>
      <c r="CUL1" s="217"/>
      <c r="CUM1" s="220"/>
      <c r="CUN1" s="216"/>
      <c r="CUO1" s="217"/>
      <c r="CUP1" s="217"/>
      <c r="CUQ1" s="220"/>
      <c r="CUR1" s="216"/>
      <c r="CUS1" s="217"/>
      <c r="CUT1" s="217"/>
      <c r="CUU1" s="220"/>
      <c r="CUV1" s="216"/>
      <c r="CUW1" s="217"/>
      <c r="CUX1" s="217"/>
      <c r="CUY1" s="220"/>
      <c r="CUZ1" s="216"/>
      <c r="CVA1" s="217"/>
      <c r="CVB1" s="217"/>
      <c r="CVC1" s="220"/>
      <c r="CVD1" s="216"/>
      <c r="CVE1" s="217"/>
      <c r="CVF1" s="217"/>
      <c r="CVG1" s="220"/>
      <c r="CVH1" s="216"/>
      <c r="CVI1" s="217"/>
      <c r="CVJ1" s="217"/>
      <c r="CVK1" s="220"/>
      <c r="CVL1" s="216"/>
      <c r="CVM1" s="217"/>
      <c r="CVN1" s="217"/>
      <c r="CVO1" s="220"/>
      <c r="CVP1" s="216"/>
      <c r="CVQ1" s="217"/>
      <c r="CVR1" s="217"/>
      <c r="CVS1" s="220"/>
      <c r="CVT1" s="216"/>
      <c r="CVU1" s="217"/>
      <c r="CVV1" s="217"/>
      <c r="CVW1" s="220"/>
      <c r="CVX1" s="216"/>
      <c r="CVY1" s="217"/>
      <c r="CVZ1" s="217"/>
      <c r="CWA1" s="220"/>
      <c r="CWB1" s="216"/>
      <c r="CWC1" s="217"/>
      <c r="CWD1" s="217"/>
      <c r="CWE1" s="220"/>
      <c r="CWF1" s="216"/>
      <c r="CWG1" s="217"/>
      <c r="CWH1" s="217"/>
      <c r="CWI1" s="220"/>
      <c r="CWJ1" s="216"/>
      <c r="CWK1" s="217"/>
      <c r="CWL1" s="217"/>
      <c r="CWM1" s="220"/>
      <c r="CWN1" s="216"/>
      <c r="CWO1" s="217"/>
      <c r="CWP1" s="217"/>
      <c r="CWQ1" s="220"/>
      <c r="CWR1" s="216"/>
      <c r="CWS1" s="217"/>
      <c r="CWT1" s="217"/>
      <c r="CWU1" s="220"/>
      <c r="CWV1" s="216"/>
      <c r="CWW1" s="217"/>
      <c r="CWX1" s="217"/>
      <c r="CWY1" s="220"/>
      <c r="CWZ1" s="216"/>
      <c r="CXA1" s="217"/>
      <c r="CXB1" s="217"/>
      <c r="CXC1" s="220"/>
      <c r="CXD1" s="216"/>
      <c r="CXE1" s="217"/>
      <c r="CXF1" s="217"/>
      <c r="CXG1" s="220"/>
      <c r="CXH1" s="216"/>
      <c r="CXI1" s="217"/>
      <c r="CXJ1" s="217"/>
      <c r="CXK1" s="220"/>
      <c r="CXL1" s="216"/>
      <c r="CXM1" s="217"/>
      <c r="CXN1" s="217"/>
      <c r="CXO1" s="220"/>
      <c r="CXP1" s="216"/>
      <c r="CXQ1" s="217"/>
      <c r="CXR1" s="217"/>
      <c r="CXS1" s="220"/>
      <c r="CXT1" s="216"/>
      <c r="CXU1" s="217"/>
      <c r="CXV1" s="217"/>
      <c r="CXW1" s="220"/>
      <c r="CXX1" s="216"/>
      <c r="CXY1" s="217"/>
      <c r="CXZ1" s="217"/>
      <c r="CYA1" s="220"/>
      <c r="CYB1" s="216"/>
      <c r="CYC1" s="217"/>
      <c r="CYD1" s="217"/>
      <c r="CYE1" s="220"/>
      <c r="CYF1" s="216"/>
      <c r="CYG1" s="217"/>
      <c r="CYH1" s="217"/>
      <c r="CYI1" s="220"/>
      <c r="CYJ1" s="216"/>
      <c r="CYK1" s="217"/>
      <c r="CYL1" s="217"/>
      <c r="CYM1" s="220"/>
      <c r="CYN1" s="216"/>
      <c r="CYO1" s="217"/>
      <c r="CYP1" s="217"/>
      <c r="CYQ1" s="220"/>
      <c r="CYR1" s="216"/>
      <c r="CYS1" s="217"/>
      <c r="CYT1" s="217"/>
      <c r="CYU1" s="220"/>
      <c r="CYV1" s="216"/>
      <c r="CYW1" s="217"/>
      <c r="CYX1" s="217"/>
      <c r="CYY1" s="220"/>
      <c r="CYZ1" s="216"/>
      <c r="CZA1" s="217"/>
      <c r="CZB1" s="217"/>
      <c r="CZC1" s="220"/>
      <c r="CZD1" s="216"/>
      <c r="CZE1" s="217"/>
      <c r="CZF1" s="217"/>
      <c r="CZG1" s="220"/>
      <c r="CZH1" s="216"/>
      <c r="CZI1" s="217"/>
      <c r="CZJ1" s="217"/>
      <c r="CZK1" s="220"/>
      <c r="CZL1" s="216"/>
      <c r="CZM1" s="217"/>
      <c r="CZN1" s="217"/>
      <c r="CZO1" s="220"/>
      <c r="CZP1" s="216"/>
      <c r="CZQ1" s="217"/>
      <c r="CZR1" s="217"/>
      <c r="CZS1" s="220"/>
      <c r="CZT1" s="216"/>
      <c r="CZU1" s="217"/>
      <c r="CZV1" s="217"/>
      <c r="CZW1" s="220"/>
      <c r="CZX1" s="216"/>
      <c r="CZY1" s="217"/>
      <c r="CZZ1" s="217"/>
      <c r="DAA1" s="220"/>
      <c r="DAB1" s="216"/>
      <c r="DAC1" s="217"/>
      <c r="DAD1" s="217"/>
      <c r="DAE1" s="220"/>
      <c r="DAF1" s="216"/>
      <c r="DAG1" s="217"/>
      <c r="DAH1" s="217"/>
      <c r="DAI1" s="220"/>
      <c r="DAJ1" s="216"/>
      <c r="DAK1" s="217"/>
      <c r="DAL1" s="217"/>
      <c r="DAM1" s="220"/>
      <c r="DAN1" s="216"/>
      <c r="DAO1" s="217"/>
      <c r="DAP1" s="217"/>
      <c r="DAQ1" s="220"/>
      <c r="DAR1" s="216"/>
      <c r="DAS1" s="217"/>
      <c r="DAT1" s="217"/>
      <c r="DAU1" s="220"/>
      <c r="DAV1" s="216"/>
      <c r="DAW1" s="217"/>
      <c r="DAX1" s="217"/>
      <c r="DAY1" s="220"/>
      <c r="DAZ1" s="216"/>
      <c r="DBA1" s="217"/>
      <c r="DBB1" s="217"/>
      <c r="DBC1" s="220"/>
      <c r="DBD1" s="216"/>
      <c r="DBE1" s="217"/>
      <c r="DBF1" s="217"/>
      <c r="DBG1" s="220"/>
      <c r="DBH1" s="216"/>
      <c r="DBI1" s="217"/>
      <c r="DBJ1" s="217"/>
      <c r="DBK1" s="220"/>
      <c r="DBL1" s="216"/>
      <c r="DBM1" s="217"/>
      <c r="DBN1" s="217"/>
      <c r="DBO1" s="220"/>
      <c r="DBP1" s="216"/>
      <c r="DBQ1" s="217"/>
      <c r="DBR1" s="217"/>
      <c r="DBS1" s="220"/>
      <c r="DBT1" s="216"/>
      <c r="DBU1" s="217"/>
      <c r="DBV1" s="217"/>
      <c r="DBW1" s="220"/>
      <c r="DBX1" s="216"/>
      <c r="DBY1" s="217"/>
      <c r="DBZ1" s="217"/>
      <c r="DCA1" s="220"/>
      <c r="DCB1" s="216"/>
      <c r="DCC1" s="217"/>
      <c r="DCD1" s="217"/>
      <c r="DCE1" s="220"/>
      <c r="DCF1" s="216"/>
      <c r="DCG1" s="217"/>
      <c r="DCH1" s="217"/>
      <c r="DCI1" s="220"/>
      <c r="DCJ1" s="216"/>
      <c r="DCK1" s="217"/>
      <c r="DCL1" s="217"/>
      <c r="DCM1" s="220"/>
      <c r="DCN1" s="216"/>
      <c r="DCO1" s="217"/>
      <c r="DCP1" s="217"/>
      <c r="DCQ1" s="220"/>
      <c r="DCR1" s="216"/>
      <c r="DCS1" s="217"/>
      <c r="DCT1" s="217"/>
      <c r="DCU1" s="220"/>
      <c r="DCV1" s="216"/>
      <c r="DCW1" s="217"/>
      <c r="DCX1" s="217"/>
      <c r="DCY1" s="220"/>
      <c r="DCZ1" s="216"/>
      <c r="DDA1" s="217"/>
      <c r="DDB1" s="217"/>
      <c r="DDC1" s="220"/>
      <c r="DDD1" s="216"/>
      <c r="DDE1" s="217"/>
      <c r="DDF1" s="217"/>
      <c r="DDG1" s="220"/>
      <c r="DDH1" s="216"/>
      <c r="DDI1" s="217"/>
      <c r="DDJ1" s="217"/>
      <c r="DDK1" s="220"/>
      <c r="DDL1" s="216"/>
      <c r="DDM1" s="217"/>
      <c r="DDN1" s="217"/>
      <c r="DDO1" s="220"/>
      <c r="DDP1" s="216"/>
      <c r="DDQ1" s="217"/>
      <c r="DDR1" s="217"/>
      <c r="DDS1" s="220"/>
      <c r="DDT1" s="216"/>
      <c r="DDU1" s="217"/>
      <c r="DDV1" s="217"/>
      <c r="DDW1" s="220"/>
      <c r="DDX1" s="216"/>
      <c r="DDY1" s="217"/>
      <c r="DDZ1" s="217"/>
      <c r="DEA1" s="220"/>
      <c r="DEB1" s="216"/>
      <c r="DEC1" s="217"/>
      <c r="DED1" s="217"/>
      <c r="DEE1" s="220"/>
      <c r="DEF1" s="216"/>
      <c r="DEG1" s="217"/>
      <c r="DEH1" s="217"/>
      <c r="DEI1" s="220"/>
      <c r="DEJ1" s="216"/>
      <c r="DEK1" s="217"/>
      <c r="DEL1" s="217"/>
      <c r="DEM1" s="220"/>
      <c r="DEN1" s="216"/>
      <c r="DEO1" s="217"/>
      <c r="DEP1" s="217"/>
      <c r="DEQ1" s="220"/>
      <c r="DER1" s="216"/>
      <c r="DES1" s="217"/>
      <c r="DET1" s="217"/>
      <c r="DEU1" s="220"/>
      <c r="DEV1" s="216"/>
      <c r="DEW1" s="217"/>
      <c r="DEX1" s="217"/>
      <c r="DEY1" s="220"/>
      <c r="DEZ1" s="216"/>
      <c r="DFA1" s="217"/>
      <c r="DFB1" s="217"/>
      <c r="DFC1" s="220"/>
      <c r="DFD1" s="216"/>
      <c r="DFE1" s="217"/>
      <c r="DFF1" s="217"/>
      <c r="DFG1" s="220"/>
      <c r="DFH1" s="216"/>
      <c r="DFI1" s="217"/>
      <c r="DFJ1" s="217"/>
      <c r="DFK1" s="220"/>
      <c r="DFL1" s="216"/>
      <c r="DFM1" s="217"/>
      <c r="DFN1" s="217"/>
      <c r="DFO1" s="220"/>
      <c r="DFP1" s="216"/>
      <c r="DFQ1" s="217"/>
      <c r="DFR1" s="217"/>
      <c r="DFS1" s="220"/>
      <c r="DFT1" s="216"/>
      <c r="DFU1" s="217"/>
      <c r="DFV1" s="217"/>
      <c r="DFW1" s="220"/>
      <c r="DFX1" s="216"/>
      <c r="DFY1" s="217"/>
      <c r="DFZ1" s="217"/>
      <c r="DGA1" s="220"/>
      <c r="DGB1" s="216"/>
      <c r="DGC1" s="217"/>
      <c r="DGD1" s="217"/>
      <c r="DGE1" s="220"/>
      <c r="DGF1" s="216"/>
      <c r="DGG1" s="217"/>
      <c r="DGH1" s="217"/>
      <c r="DGI1" s="220"/>
      <c r="DGJ1" s="216"/>
      <c r="DGK1" s="217"/>
      <c r="DGL1" s="217"/>
      <c r="DGM1" s="220"/>
      <c r="DGN1" s="216"/>
      <c r="DGO1" s="217"/>
      <c r="DGP1" s="217"/>
      <c r="DGQ1" s="220"/>
      <c r="DGR1" s="216"/>
      <c r="DGS1" s="217"/>
      <c r="DGT1" s="217"/>
      <c r="DGU1" s="220"/>
      <c r="DGV1" s="216"/>
      <c r="DGW1" s="217"/>
      <c r="DGX1" s="217"/>
      <c r="DGY1" s="220"/>
      <c r="DGZ1" s="216"/>
      <c r="DHA1" s="217"/>
      <c r="DHB1" s="217"/>
      <c r="DHC1" s="220"/>
      <c r="DHD1" s="216"/>
      <c r="DHE1" s="217"/>
      <c r="DHF1" s="217"/>
      <c r="DHG1" s="220"/>
      <c r="DHH1" s="216"/>
      <c r="DHI1" s="217"/>
      <c r="DHJ1" s="217"/>
      <c r="DHK1" s="220"/>
      <c r="DHL1" s="216"/>
      <c r="DHM1" s="217"/>
      <c r="DHN1" s="217"/>
      <c r="DHO1" s="220"/>
      <c r="DHP1" s="216"/>
      <c r="DHQ1" s="217"/>
      <c r="DHR1" s="217"/>
      <c r="DHS1" s="220"/>
      <c r="DHT1" s="216"/>
      <c r="DHU1" s="217"/>
      <c r="DHV1" s="217"/>
      <c r="DHW1" s="220"/>
      <c r="DHX1" s="216"/>
      <c r="DHY1" s="217"/>
      <c r="DHZ1" s="217"/>
      <c r="DIA1" s="220"/>
      <c r="DIB1" s="216"/>
      <c r="DIC1" s="217"/>
      <c r="DID1" s="217"/>
      <c r="DIE1" s="220"/>
      <c r="DIF1" s="216"/>
      <c r="DIG1" s="217"/>
      <c r="DIH1" s="217"/>
      <c r="DII1" s="220"/>
      <c r="DIJ1" s="216"/>
      <c r="DIK1" s="217"/>
      <c r="DIL1" s="217"/>
      <c r="DIM1" s="220"/>
      <c r="DIN1" s="216"/>
      <c r="DIO1" s="217"/>
      <c r="DIP1" s="217"/>
      <c r="DIQ1" s="220"/>
      <c r="DIR1" s="216"/>
      <c r="DIS1" s="217"/>
      <c r="DIT1" s="217"/>
      <c r="DIU1" s="220"/>
      <c r="DIV1" s="216"/>
      <c r="DIW1" s="217"/>
      <c r="DIX1" s="217"/>
      <c r="DIY1" s="220"/>
      <c r="DIZ1" s="216"/>
      <c r="DJA1" s="217"/>
      <c r="DJB1" s="217"/>
      <c r="DJC1" s="220"/>
      <c r="DJD1" s="216"/>
      <c r="DJE1" s="217"/>
      <c r="DJF1" s="217"/>
      <c r="DJG1" s="220"/>
      <c r="DJH1" s="216"/>
      <c r="DJI1" s="217"/>
      <c r="DJJ1" s="217"/>
      <c r="DJK1" s="220"/>
      <c r="DJL1" s="216"/>
      <c r="DJM1" s="217"/>
      <c r="DJN1" s="217"/>
      <c r="DJO1" s="220"/>
      <c r="DJP1" s="216"/>
      <c r="DJQ1" s="217"/>
      <c r="DJR1" s="217"/>
      <c r="DJS1" s="220"/>
      <c r="DJT1" s="216"/>
      <c r="DJU1" s="217"/>
      <c r="DJV1" s="217"/>
      <c r="DJW1" s="220"/>
      <c r="DJX1" s="216"/>
      <c r="DJY1" s="217"/>
      <c r="DJZ1" s="217"/>
      <c r="DKA1" s="220"/>
      <c r="DKB1" s="216"/>
      <c r="DKC1" s="217"/>
      <c r="DKD1" s="217"/>
      <c r="DKE1" s="220"/>
      <c r="DKF1" s="216"/>
      <c r="DKG1" s="217"/>
      <c r="DKH1" s="217"/>
      <c r="DKI1" s="220"/>
      <c r="DKJ1" s="216"/>
      <c r="DKK1" s="217"/>
      <c r="DKL1" s="217"/>
      <c r="DKM1" s="220"/>
      <c r="DKN1" s="216"/>
      <c r="DKO1" s="217"/>
      <c r="DKP1" s="217"/>
      <c r="DKQ1" s="220"/>
      <c r="DKR1" s="216"/>
      <c r="DKS1" s="217"/>
      <c r="DKT1" s="217"/>
      <c r="DKU1" s="220"/>
      <c r="DKV1" s="216"/>
      <c r="DKW1" s="217"/>
      <c r="DKX1" s="217"/>
      <c r="DKY1" s="220"/>
      <c r="DKZ1" s="216"/>
      <c r="DLA1" s="217"/>
      <c r="DLB1" s="217"/>
      <c r="DLC1" s="220"/>
      <c r="DLD1" s="216"/>
      <c r="DLE1" s="217"/>
      <c r="DLF1" s="217"/>
      <c r="DLG1" s="220"/>
      <c r="DLH1" s="216"/>
      <c r="DLI1" s="217"/>
      <c r="DLJ1" s="217"/>
      <c r="DLK1" s="220"/>
      <c r="DLL1" s="216"/>
      <c r="DLM1" s="217"/>
      <c r="DLN1" s="217"/>
      <c r="DLO1" s="220"/>
      <c r="DLP1" s="216"/>
      <c r="DLQ1" s="217"/>
      <c r="DLR1" s="217"/>
      <c r="DLS1" s="220"/>
      <c r="DLT1" s="216"/>
      <c r="DLU1" s="217"/>
      <c r="DLV1" s="217"/>
      <c r="DLW1" s="220"/>
      <c r="DLX1" s="216"/>
      <c r="DLY1" s="217"/>
      <c r="DLZ1" s="217"/>
      <c r="DMA1" s="220"/>
      <c r="DMB1" s="216"/>
      <c r="DMC1" s="217"/>
      <c r="DMD1" s="217"/>
      <c r="DME1" s="220"/>
      <c r="DMF1" s="216"/>
      <c r="DMG1" s="217"/>
      <c r="DMH1" s="217"/>
      <c r="DMI1" s="220"/>
      <c r="DMJ1" s="216"/>
      <c r="DMK1" s="217"/>
      <c r="DML1" s="217"/>
      <c r="DMM1" s="220"/>
      <c r="DMN1" s="216"/>
      <c r="DMO1" s="217"/>
      <c r="DMP1" s="217"/>
      <c r="DMQ1" s="220"/>
      <c r="DMR1" s="216"/>
      <c r="DMS1" s="217"/>
      <c r="DMT1" s="217"/>
      <c r="DMU1" s="220"/>
      <c r="DMV1" s="216"/>
      <c r="DMW1" s="217"/>
      <c r="DMX1" s="217"/>
      <c r="DMY1" s="220"/>
      <c r="DMZ1" s="216"/>
      <c r="DNA1" s="217"/>
      <c r="DNB1" s="217"/>
      <c r="DNC1" s="220"/>
      <c r="DND1" s="216"/>
      <c r="DNE1" s="217"/>
      <c r="DNF1" s="217"/>
      <c r="DNG1" s="220"/>
      <c r="DNH1" s="216"/>
      <c r="DNI1" s="217"/>
      <c r="DNJ1" s="217"/>
      <c r="DNK1" s="220"/>
      <c r="DNL1" s="216"/>
      <c r="DNM1" s="217"/>
      <c r="DNN1" s="217"/>
      <c r="DNO1" s="220"/>
      <c r="DNP1" s="216"/>
      <c r="DNQ1" s="217"/>
      <c r="DNR1" s="217"/>
      <c r="DNS1" s="220"/>
      <c r="DNT1" s="216"/>
      <c r="DNU1" s="217"/>
      <c r="DNV1" s="217"/>
      <c r="DNW1" s="220"/>
      <c r="DNX1" s="216"/>
      <c r="DNY1" s="217"/>
      <c r="DNZ1" s="217"/>
      <c r="DOA1" s="220"/>
      <c r="DOB1" s="216"/>
      <c r="DOC1" s="217"/>
      <c r="DOD1" s="217"/>
      <c r="DOE1" s="220"/>
      <c r="DOF1" s="216"/>
      <c r="DOG1" s="217"/>
      <c r="DOH1" s="217"/>
      <c r="DOI1" s="220"/>
      <c r="DOJ1" s="216"/>
      <c r="DOK1" s="217"/>
      <c r="DOL1" s="217"/>
      <c r="DOM1" s="220"/>
      <c r="DON1" s="216"/>
      <c r="DOO1" s="217"/>
      <c r="DOP1" s="217"/>
      <c r="DOQ1" s="220"/>
      <c r="DOR1" s="216"/>
      <c r="DOS1" s="217"/>
      <c r="DOT1" s="217"/>
      <c r="DOU1" s="220"/>
      <c r="DOV1" s="216"/>
      <c r="DOW1" s="217"/>
      <c r="DOX1" s="217"/>
      <c r="DOY1" s="220"/>
      <c r="DOZ1" s="216"/>
      <c r="DPA1" s="217"/>
      <c r="DPB1" s="217"/>
      <c r="DPC1" s="220"/>
      <c r="DPD1" s="216"/>
      <c r="DPE1" s="217"/>
      <c r="DPF1" s="217"/>
      <c r="DPG1" s="220"/>
      <c r="DPH1" s="216"/>
      <c r="DPI1" s="217"/>
      <c r="DPJ1" s="217"/>
      <c r="DPK1" s="220"/>
      <c r="DPL1" s="216"/>
      <c r="DPM1" s="217"/>
      <c r="DPN1" s="217"/>
      <c r="DPO1" s="220"/>
      <c r="DPP1" s="216"/>
      <c r="DPQ1" s="217"/>
      <c r="DPR1" s="217"/>
      <c r="DPS1" s="220"/>
      <c r="DPT1" s="216"/>
      <c r="DPU1" s="217"/>
      <c r="DPV1" s="217"/>
      <c r="DPW1" s="220"/>
      <c r="DPX1" s="216"/>
      <c r="DPY1" s="217"/>
      <c r="DPZ1" s="217"/>
      <c r="DQA1" s="220"/>
      <c r="DQB1" s="216"/>
      <c r="DQC1" s="217"/>
      <c r="DQD1" s="217"/>
      <c r="DQE1" s="220"/>
      <c r="DQF1" s="216"/>
      <c r="DQG1" s="217"/>
      <c r="DQH1" s="217"/>
      <c r="DQI1" s="220"/>
      <c r="DQJ1" s="216"/>
      <c r="DQK1" s="217"/>
      <c r="DQL1" s="217"/>
      <c r="DQM1" s="220"/>
      <c r="DQN1" s="216"/>
      <c r="DQO1" s="217"/>
      <c r="DQP1" s="217"/>
      <c r="DQQ1" s="220"/>
      <c r="DQR1" s="216"/>
      <c r="DQS1" s="217"/>
      <c r="DQT1" s="217"/>
      <c r="DQU1" s="220"/>
      <c r="DQV1" s="216"/>
      <c r="DQW1" s="217"/>
      <c r="DQX1" s="217"/>
      <c r="DQY1" s="220"/>
      <c r="DQZ1" s="216"/>
      <c r="DRA1" s="217"/>
      <c r="DRB1" s="217"/>
      <c r="DRC1" s="220"/>
      <c r="DRD1" s="216"/>
      <c r="DRE1" s="217"/>
      <c r="DRF1" s="217"/>
      <c r="DRG1" s="220"/>
      <c r="DRH1" s="216"/>
      <c r="DRI1" s="217"/>
      <c r="DRJ1" s="217"/>
      <c r="DRK1" s="220"/>
      <c r="DRL1" s="216"/>
      <c r="DRM1" s="217"/>
      <c r="DRN1" s="217"/>
      <c r="DRO1" s="220"/>
      <c r="DRP1" s="216"/>
      <c r="DRQ1" s="217"/>
      <c r="DRR1" s="217"/>
      <c r="DRS1" s="220"/>
      <c r="DRT1" s="216"/>
      <c r="DRU1" s="217"/>
      <c r="DRV1" s="217"/>
      <c r="DRW1" s="220"/>
      <c r="DRX1" s="216"/>
      <c r="DRY1" s="217"/>
      <c r="DRZ1" s="217"/>
      <c r="DSA1" s="220"/>
      <c r="DSB1" s="216"/>
      <c r="DSC1" s="217"/>
      <c r="DSD1" s="217"/>
      <c r="DSE1" s="220"/>
      <c r="DSF1" s="216"/>
      <c r="DSG1" s="217"/>
      <c r="DSH1" s="217"/>
      <c r="DSI1" s="220"/>
      <c r="DSJ1" s="216"/>
      <c r="DSK1" s="217"/>
      <c r="DSL1" s="217"/>
      <c r="DSM1" s="220"/>
      <c r="DSN1" s="216"/>
      <c r="DSO1" s="217"/>
      <c r="DSP1" s="217"/>
      <c r="DSQ1" s="220"/>
      <c r="DSR1" s="216"/>
      <c r="DSS1" s="217"/>
      <c r="DST1" s="217"/>
      <c r="DSU1" s="220"/>
      <c r="DSV1" s="216"/>
      <c r="DSW1" s="217"/>
      <c r="DSX1" s="217"/>
      <c r="DSY1" s="220"/>
      <c r="DSZ1" s="216"/>
      <c r="DTA1" s="217"/>
      <c r="DTB1" s="217"/>
      <c r="DTC1" s="220"/>
      <c r="DTD1" s="216"/>
      <c r="DTE1" s="217"/>
      <c r="DTF1" s="217"/>
      <c r="DTG1" s="220"/>
      <c r="DTH1" s="216"/>
      <c r="DTI1" s="217"/>
      <c r="DTJ1" s="217"/>
      <c r="DTK1" s="220"/>
      <c r="DTL1" s="216"/>
      <c r="DTM1" s="217"/>
      <c r="DTN1" s="217"/>
      <c r="DTO1" s="220"/>
      <c r="DTP1" s="216"/>
      <c r="DTQ1" s="217"/>
      <c r="DTR1" s="217"/>
      <c r="DTS1" s="220"/>
      <c r="DTT1" s="216"/>
      <c r="DTU1" s="217"/>
      <c r="DTV1" s="217"/>
      <c r="DTW1" s="220"/>
      <c r="DTX1" s="216"/>
      <c r="DTY1" s="217"/>
      <c r="DTZ1" s="217"/>
      <c r="DUA1" s="220"/>
      <c r="DUB1" s="216"/>
      <c r="DUC1" s="217"/>
      <c r="DUD1" s="217"/>
      <c r="DUE1" s="220"/>
      <c r="DUF1" s="216"/>
      <c r="DUG1" s="217"/>
      <c r="DUH1" s="217"/>
      <c r="DUI1" s="220"/>
      <c r="DUJ1" s="216"/>
      <c r="DUK1" s="217"/>
      <c r="DUL1" s="217"/>
      <c r="DUM1" s="220"/>
      <c r="DUN1" s="216"/>
      <c r="DUO1" s="217"/>
      <c r="DUP1" s="217"/>
      <c r="DUQ1" s="220"/>
      <c r="DUR1" s="216"/>
      <c r="DUS1" s="217"/>
      <c r="DUT1" s="217"/>
      <c r="DUU1" s="220"/>
      <c r="DUV1" s="216"/>
      <c r="DUW1" s="217"/>
      <c r="DUX1" s="217"/>
      <c r="DUY1" s="220"/>
      <c r="DUZ1" s="216"/>
      <c r="DVA1" s="217"/>
      <c r="DVB1" s="217"/>
      <c r="DVC1" s="220"/>
      <c r="DVD1" s="216"/>
      <c r="DVE1" s="217"/>
      <c r="DVF1" s="217"/>
      <c r="DVG1" s="220"/>
      <c r="DVH1" s="216"/>
      <c r="DVI1" s="217"/>
      <c r="DVJ1" s="217"/>
      <c r="DVK1" s="220"/>
      <c r="DVL1" s="216"/>
      <c r="DVM1" s="217"/>
      <c r="DVN1" s="217"/>
      <c r="DVO1" s="220"/>
      <c r="DVP1" s="216"/>
      <c r="DVQ1" s="217"/>
      <c r="DVR1" s="217"/>
      <c r="DVS1" s="220"/>
      <c r="DVT1" s="216"/>
      <c r="DVU1" s="217"/>
      <c r="DVV1" s="217"/>
      <c r="DVW1" s="220"/>
      <c r="DVX1" s="216"/>
      <c r="DVY1" s="217"/>
      <c r="DVZ1" s="217"/>
      <c r="DWA1" s="220"/>
      <c r="DWB1" s="216"/>
      <c r="DWC1" s="217"/>
      <c r="DWD1" s="217"/>
      <c r="DWE1" s="220"/>
      <c r="DWF1" s="216"/>
      <c r="DWG1" s="217"/>
      <c r="DWH1" s="217"/>
      <c r="DWI1" s="220"/>
      <c r="DWJ1" s="216"/>
      <c r="DWK1" s="217"/>
      <c r="DWL1" s="217"/>
      <c r="DWM1" s="220"/>
      <c r="DWN1" s="216"/>
      <c r="DWO1" s="217"/>
      <c r="DWP1" s="217"/>
      <c r="DWQ1" s="220"/>
      <c r="DWR1" s="216"/>
      <c r="DWS1" s="217"/>
      <c r="DWT1" s="217"/>
      <c r="DWU1" s="220"/>
      <c r="DWV1" s="216"/>
      <c r="DWW1" s="217"/>
      <c r="DWX1" s="217"/>
      <c r="DWY1" s="220"/>
      <c r="DWZ1" s="216"/>
      <c r="DXA1" s="217"/>
      <c r="DXB1" s="217"/>
      <c r="DXC1" s="220"/>
      <c r="DXD1" s="216"/>
      <c r="DXE1" s="217"/>
      <c r="DXF1" s="217"/>
      <c r="DXG1" s="220"/>
      <c r="DXH1" s="216"/>
      <c r="DXI1" s="217"/>
      <c r="DXJ1" s="217"/>
      <c r="DXK1" s="220"/>
      <c r="DXL1" s="216"/>
      <c r="DXM1" s="217"/>
      <c r="DXN1" s="217"/>
      <c r="DXO1" s="220"/>
      <c r="DXP1" s="216"/>
      <c r="DXQ1" s="217"/>
      <c r="DXR1" s="217"/>
      <c r="DXS1" s="220"/>
      <c r="DXT1" s="216"/>
      <c r="DXU1" s="217"/>
      <c r="DXV1" s="217"/>
      <c r="DXW1" s="220"/>
      <c r="DXX1" s="216"/>
      <c r="DXY1" s="217"/>
      <c r="DXZ1" s="217"/>
      <c r="DYA1" s="220"/>
      <c r="DYB1" s="216"/>
      <c r="DYC1" s="217"/>
      <c r="DYD1" s="217"/>
      <c r="DYE1" s="220"/>
      <c r="DYF1" s="216"/>
      <c r="DYG1" s="217"/>
      <c r="DYH1" s="217"/>
      <c r="DYI1" s="220"/>
      <c r="DYJ1" s="216"/>
      <c r="DYK1" s="217"/>
      <c r="DYL1" s="217"/>
      <c r="DYM1" s="220"/>
      <c r="DYN1" s="216"/>
      <c r="DYO1" s="217"/>
      <c r="DYP1" s="217"/>
      <c r="DYQ1" s="220"/>
      <c r="DYR1" s="216"/>
      <c r="DYS1" s="217"/>
      <c r="DYT1" s="217"/>
      <c r="DYU1" s="220"/>
      <c r="DYV1" s="216"/>
      <c r="DYW1" s="217"/>
      <c r="DYX1" s="217"/>
      <c r="DYY1" s="220"/>
      <c r="DYZ1" s="216"/>
      <c r="DZA1" s="217"/>
      <c r="DZB1" s="217"/>
      <c r="DZC1" s="220"/>
      <c r="DZD1" s="216"/>
      <c r="DZE1" s="217"/>
      <c r="DZF1" s="217"/>
      <c r="DZG1" s="220"/>
      <c r="DZH1" s="216"/>
      <c r="DZI1" s="217"/>
      <c r="DZJ1" s="217"/>
      <c r="DZK1" s="220"/>
      <c r="DZL1" s="216"/>
      <c r="DZM1" s="217"/>
      <c r="DZN1" s="217"/>
      <c r="DZO1" s="220"/>
      <c r="DZP1" s="216"/>
      <c r="DZQ1" s="217"/>
      <c r="DZR1" s="217"/>
      <c r="DZS1" s="220"/>
      <c r="DZT1" s="216"/>
      <c r="DZU1" s="217"/>
      <c r="DZV1" s="217"/>
      <c r="DZW1" s="220"/>
      <c r="DZX1" s="216"/>
      <c r="DZY1" s="217"/>
      <c r="DZZ1" s="217"/>
      <c r="EAA1" s="220"/>
      <c r="EAB1" s="216"/>
      <c r="EAC1" s="217"/>
      <c r="EAD1" s="217"/>
      <c r="EAE1" s="220"/>
      <c r="EAF1" s="216"/>
      <c r="EAG1" s="217"/>
      <c r="EAH1" s="217"/>
      <c r="EAI1" s="220"/>
      <c r="EAJ1" s="216"/>
      <c r="EAK1" s="217"/>
      <c r="EAL1" s="217"/>
      <c r="EAM1" s="220"/>
      <c r="EAN1" s="216"/>
      <c r="EAO1" s="217"/>
      <c r="EAP1" s="217"/>
      <c r="EAQ1" s="220"/>
      <c r="EAR1" s="216"/>
      <c r="EAS1" s="217"/>
      <c r="EAT1" s="217"/>
      <c r="EAU1" s="220"/>
      <c r="EAV1" s="216"/>
      <c r="EAW1" s="217"/>
      <c r="EAX1" s="217"/>
      <c r="EAY1" s="220"/>
      <c r="EAZ1" s="216"/>
      <c r="EBA1" s="217"/>
      <c r="EBB1" s="217"/>
      <c r="EBC1" s="220"/>
      <c r="EBD1" s="216"/>
      <c r="EBE1" s="217"/>
      <c r="EBF1" s="217"/>
      <c r="EBG1" s="220"/>
      <c r="EBH1" s="216"/>
      <c r="EBI1" s="217"/>
      <c r="EBJ1" s="217"/>
      <c r="EBK1" s="220"/>
      <c r="EBL1" s="216"/>
      <c r="EBM1" s="217"/>
      <c r="EBN1" s="217"/>
      <c r="EBO1" s="220"/>
      <c r="EBP1" s="216"/>
      <c r="EBQ1" s="217"/>
      <c r="EBR1" s="217"/>
      <c r="EBS1" s="220"/>
      <c r="EBT1" s="216"/>
      <c r="EBU1" s="217"/>
      <c r="EBV1" s="217"/>
      <c r="EBW1" s="220"/>
      <c r="EBX1" s="216"/>
      <c r="EBY1" s="217"/>
      <c r="EBZ1" s="217"/>
      <c r="ECA1" s="220"/>
      <c r="ECB1" s="216"/>
      <c r="ECC1" s="217"/>
      <c r="ECD1" s="217"/>
      <c r="ECE1" s="220"/>
      <c r="ECF1" s="216"/>
      <c r="ECG1" s="217"/>
      <c r="ECH1" s="217"/>
      <c r="ECI1" s="220"/>
      <c r="ECJ1" s="216"/>
      <c r="ECK1" s="217"/>
      <c r="ECL1" s="217"/>
      <c r="ECM1" s="220"/>
      <c r="ECN1" s="216"/>
      <c r="ECO1" s="217"/>
      <c r="ECP1" s="217"/>
      <c r="ECQ1" s="220"/>
      <c r="ECR1" s="216"/>
      <c r="ECS1" s="217"/>
      <c r="ECT1" s="217"/>
      <c r="ECU1" s="220"/>
      <c r="ECV1" s="216"/>
      <c r="ECW1" s="217"/>
      <c r="ECX1" s="217"/>
      <c r="ECY1" s="220"/>
      <c r="ECZ1" s="216"/>
      <c r="EDA1" s="217"/>
      <c r="EDB1" s="217"/>
      <c r="EDC1" s="220"/>
      <c r="EDD1" s="216"/>
      <c r="EDE1" s="217"/>
      <c r="EDF1" s="217"/>
      <c r="EDG1" s="220"/>
      <c r="EDH1" s="216"/>
      <c r="EDI1" s="217"/>
      <c r="EDJ1" s="217"/>
      <c r="EDK1" s="220"/>
      <c r="EDL1" s="216"/>
      <c r="EDM1" s="217"/>
      <c r="EDN1" s="217"/>
      <c r="EDO1" s="220"/>
      <c r="EDP1" s="216"/>
      <c r="EDQ1" s="217"/>
      <c r="EDR1" s="217"/>
      <c r="EDS1" s="220"/>
      <c r="EDT1" s="216"/>
      <c r="EDU1" s="217"/>
      <c r="EDV1" s="217"/>
      <c r="EDW1" s="220"/>
      <c r="EDX1" s="216"/>
      <c r="EDY1" s="217"/>
      <c r="EDZ1" s="217"/>
      <c r="EEA1" s="220"/>
      <c r="EEB1" s="216"/>
      <c r="EEC1" s="217"/>
      <c r="EED1" s="217"/>
      <c r="EEE1" s="220"/>
      <c r="EEF1" s="216"/>
      <c r="EEG1" s="217"/>
      <c r="EEH1" s="217"/>
      <c r="EEI1" s="220"/>
      <c r="EEJ1" s="216"/>
      <c r="EEK1" s="217"/>
      <c r="EEL1" s="217"/>
      <c r="EEM1" s="220"/>
      <c r="EEN1" s="216"/>
      <c r="EEO1" s="217"/>
      <c r="EEP1" s="217"/>
      <c r="EEQ1" s="220"/>
      <c r="EER1" s="216"/>
      <c r="EES1" s="217"/>
      <c r="EET1" s="217"/>
      <c r="EEU1" s="220"/>
      <c r="EEV1" s="216"/>
      <c r="EEW1" s="217"/>
      <c r="EEX1" s="217"/>
      <c r="EEY1" s="220"/>
      <c r="EEZ1" s="216"/>
      <c r="EFA1" s="217"/>
      <c r="EFB1" s="217"/>
      <c r="EFC1" s="220"/>
      <c r="EFD1" s="216"/>
      <c r="EFE1" s="217"/>
      <c r="EFF1" s="217"/>
      <c r="EFG1" s="220"/>
      <c r="EFH1" s="216"/>
      <c r="EFI1" s="217"/>
      <c r="EFJ1" s="217"/>
      <c r="EFK1" s="220"/>
      <c r="EFL1" s="216"/>
      <c r="EFM1" s="217"/>
      <c r="EFN1" s="217"/>
      <c r="EFO1" s="220"/>
      <c r="EFP1" s="216"/>
      <c r="EFQ1" s="217"/>
      <c r="EFR1" s="217"/>
      <c r="EFS1" s="220"/>
      <c r="EFT1" s="216"/>
      <c r="EFU1" s="217"/>
      <c r="EFV1" s="217"/>
      <c r="EFW1" s="220"/>
      <c r="EFX1" s="216"/>
      <c r="EFY1" s="217"/>
      <c r="EFZ1" s="217"/>
      <c r="EGA1" s="220"/>
      <c r="EGB1" s="216"/>
      <c r="EGC1" s="217"/>
      <c r="EGD1" s="217"/>
      <c r="EGE1" s="220"/>
      <c r="EGF1" s="216"/>
      <c r="EGG1" s="217"/>
      <c r="EGH1" s="217"/>
      <c r="EGI1" s="220"/>
      <c r="EGJ1" s="216"/>
      <c r="EGK1" s="217"/>
      <c r="EGL1" s="217"/>
      <c r="EGM1" s="220"/>
      <c r="EGN1" s="216"/>
      <c r="EGO1" s="217"/>
      <c r="EGP1" s="217"/>
      <c r="EGQ1" s="220"/>
      <c r="EGR1" s="216"/>
      <c r="EGS1" s="217"/>
      <c r="EGT1" s="217"/>
      <c r="EGU1" s="220"/>
      <c r="EGV1" s="216"/>
      <c r="EGW1" s="217"/>
      <c r="EGX1" s="217"/>
      <c r="EGY1" s="220"/>
      <c r="EGZ1" s="216"/>
      <c r="EHA1" s="217"/>
      <c r="EHB1" s="217"/>
      <c r="EHC1" s="220"/>
      <c r="EHD1" s="216"/>
      <c r="EHE1" s="217"/>
      <c r="EHF1" s="217"/>
      <c r="EHG1" s="220"/>
      <c r="EHH1" s="216"/>
      <c r="EHI1" s="217"/>
      <c r="EHJ1" s="217"/>
      <c r="EHK1" s="220"/>
      <c r="EHL1" s="216"/>
      <c r="EHM1" s="217"/>
      <c r="EHN1" s="217"/>
      <c r="EHO1" s="220"/>
      <c r="EHP1" s="216"/>
      <c r="EHQ1" s="217"/>
      <c r="EHR1" s="217"/>
      <c r="EHS1" s="220"/>
      <c r="EHT1" s="216"/>
      <c r="EHU1" s="217"/>
      <c r="EHV1" s="217"/>
      <c r="EHW1" s="220"/>
      <c r="EHX1" s="216"/>
      <c r="EHY1" s="217"/>
      <c r="EHZ1" s="217"/>
      <c r="EIA1" s="220"/>
      <c r="EIB1" s="216"/>
      <c r="EIC1" s="217"/>
      <c r="EID1" s="217"/>
      <c r="EIE1" s="220"/>
      <c r="EIF1" s="216"/>
      <c r="EIG1" s="217"/>
      <c r="EIH1" s="217"/>
      <c r="EII1" s="220"/>
      <c r="EIJ1" s="216"/>
      <c r="EIK1" s="217"/>
      <c r="EIL1" s="217"/>
      <c r="EIM1" s="220"/>
      <c r="EIN1" s="216"/>
      <c r="EIO1" s="217"/>
      <c r="EIP1" s="217"/>
      <c r="EIQ1" s="220"/>
      <c r="EIR1" s="216"/>
      <c r="EIS1" s="217"/>
      <c r="EIT1" s="217"/>
      <c r="EIU1" s="220"/>
      <c r="EIV1" s="216"/>
      <c r="EIW1" s="217"/>
      <c r="EIX1" s="217"/>
      <c r="EIY1" s="220"/>
      <c r="EIZ1" s="216"/>
      <c r="EJA1" s="217"/>
      <c r="EJB1" s="217"/>
      <c r="EJC1" s="220"/>
      <c r="EJD1" s="216"/>
      <c r="EJE1" s="217"/>
      <c r="EJF1" s="217"/>
      <c r="EJG1" s="220"/>
      <c r="EJH1" s="216"/>
      <c r="EJI1" s="217"/>
      <c r="EJJ1" s="217"/>
      <c r="EJK1" s="220"/>
      <c r="EJL1" s="216"/>
      <c r="EJM1" s="217"/>
      <c r="EJN1" s="217"/>
      <c r="EJO1" s="220"/>
      <c r="EJP1" s="216"/>
      <c r="EJQ1" s="217"/>
      <c r="EJR1" s="217"/>
      <c r="EJS1" s="220"/>
      <c r="EJT1" s="216"/>
      <c r="EJU1" s="217"/>
      <c r="EJV1" s="217"/>
      <c r="EJW1" s="220"/>
      <c r="EJX1" s="216"/>
      <c r="EJY1" s="217"/>
      <c r="EJZ1" s="217"/>
      <c r="EKA1" s="220"/>
      <c r="EKB1" s="216"/>
      <c r="EKC1" s="217"/>
      <c r="EKD1" s="217"/>
      <c r="EKE1" s="220"/>
      <c r="EKF1" s="216"/>
      <c r="EKG1" s="217"/>
      <c r="EKH1" s="217"/>
      <c r="EKI1" s="220"/>
      <c r="EKJ1" s="216"/>
      <c r="EKK1" s="217"/>
      <c r="EKL1" s="217"/>
      <c r="EKM1" s="220"/>
      <c r="EKN1" s="216"/>
      <c r="EKO1" s="217"/>
      <c r="EKP1" s="217"/>
      <c r="EKQ1" s="220"/>
      <c r="EKR1" s="216"/>
      <c r="EKS1" s="217"/>
      <c r="EKT1" s="217"/>
      <c r="EKU1" s="220"/>
      <c r="EKV1" s="216"/>
      <c r="EKW1" s="217"/>
      <c r="EKX1" s="217"/>
      <c r="EKY1" s="220"/>
      <c r="EKZ1" s="216"/>
      <c r="ELA1" s="217"/>
      <c r="ELB1" s="217"/>
      <c r="ELC1" s="220"/>
      <c r="ELD1" s="216"/>
      <c r="ELE1" s="217"/>
      <c r="ELF1" s="217"/>
      <c r="ELG1" s="220"/>
      <c r="ELH1" s="216"/>
      <c r="ELI1" s="217"/>
      <c r="ELJ1" s="217"/>
      <c r="ELK1" s="220"/>
      <c r="ELL1" s="216"/>
      <c r="ELM1" s="217"/>
      <c r="ELN1" s="217"/>
      <c r="ELO1" s="220"/>
      <c r="ELP1" s="216"/>
      <c r="ELQ1" s="217"/>
      <c r="ELR1" s="217"/>
      <c r="ELS1" s="220"/>
      <c r="ELT1" s="216"/>
      <c r="ELU1" s="217"/>
      <c r="ELV1" s="217"/>
      <c r="ELW1" s="220"/>
      <c r="ELX1" s="216"/>
      <c r="ELY1" s="217"/>
      <c r="ELZ1" s="217"/>
      <c r="EMA1" s="220"/>
      <c r="EMB1" s="216"/>
      <c r="EMC1" s="217"/>
      <c r="EMD1" s="217"/>
      <c r="EME1" s="220"/>
      <c r="EMF1" s="216"/>
      <c r="EMG1" s="217"/>
      <c r="EMH1" s="217"/>
      <c r="EMI1" s="220"/>
      <c r="EMJ1" s="216"/>
      <c r="EMK1" s="217"/>
      <c r="EML1" s="217"/>
      <c r="EMM1" s="220"/>
      <c r="EMN1" s="216"/>
      <c r="EMO1" s="217"/>
      <c r="EMP1" s="217"/>
      <c r="EMQ1" s="220"/>
      <c r="EMR1" s="216"/>
      <c r="EMS1" s="217"/>
      <c r="EMT1" s="217"/>
      <c r="EMU1" s="220"/>
      <c r="EMV1" s="216"/>
      <c r="EMW1" s="217"/>
      <c r="EMX1" s="217"/>
      <c r="EMY1" s="220"/>
      <c r="EMZ1" s="216"/>
      <c r="ENA1" s="217"/>
      <c r="ENB1" s="217"/>
      <c r="ENC1" s="220"/>
      <c r="END1" s="216"/>
      <c r="ENE1" s="217"/>
      <c r="ENF1" s="217"/>
      <c r="ENG1" s="220"/>
      <c r="ENH1" s="216"/>
      <c r="ENI1" s="217"/>
      <c r="ENJ1" s="217"/>
      <c r="ENK1" s="220"/>
      <c r="ENL1" s="216"/>
      <c r="ENM1" s="217"/>
      <c r="ENN1" s="217"/>
      <c r="ENO1" s="220"/>
      <c r="ENP1" s="216"/>
      <c r="ENQ1" s="217"/>
      <c r="ENR1" s="217"/>
      <c r="ENS1" s="220"/>
      <c r="ENT1" s="216"/>
      <c r="ENU1" s="217"/>
      <c r="ENV1" s="217"/>
      <c r="ENW1" s="220"/>
      <c r="ENX1" s="216"/>
      <c r="ENY1" s="217"/>
      <c r="ENZ1" s="217"/>
      <c r="EOA1" s="220"/>
      <c r="EOB1" s="216"/>
      <c r="EOC1" s="217"/>
      <c r="EOD1" s="217"/>
      <c r="EOE1" s="220"/>
      <c r="EOF1" s="216"/>
      <c r="EOG1" s="217"/>
      <c r="EOH1" s="217"/>
      <c r="EOI1" s="220"/>
      <c r="EOJ1" s="216"/>
      <c r="EOK1" s="217"/>
      <c r="EOL1" s="217"/>
      <c r="EOM1" s="220"/>
      <c r="EON1" s="216"/>
      <c r="EOO1" s="217"/>
      <c r="EOP1" s="217"/>
      <c r="EOQ1" s="220"/>
      <c r="EOR1" s="216"/>
      <c r="EOS1" s="217"/>
      <c r="EOT1" s="217"/>
      <c r="EOU1" s="220"/>
      <c r="EOV1" s="216"/>
      <c r="EOW1" s="217"/>
      <c r="EOX1" s="217"/>
      <c r="EOY1" s="220"/>
      <c r="EOZ1" s="216"/>
      <c r="EPA1" s="217"/>
      <c r="EPB1" s="217"/>
      <c r="EPC1" s="220"/>
      <c r="EPD1" s="216"/>
      <c r="EPE1" s="217"/>
      <c r="EPF1" s="217"/>
      <c r="EPG1" s="220"/>
      <c r="EPH1" s="216"/>
      <c r="EPI1" s="217"/>
      <c r="EPJ1" s="217"/>
      <c r="EPK1" s="220"/>
      <c r="EPL1" s="216"/>
      <c r="EPM1" s="217"/>
      <c r="EPN1" s="217"/>
      <c r="EPO1" s="220"/>
      <c r="EPP1" s="216"/>
      <c r="EPQ1" s="217"/>
      <c r="EPR1" s="217"/>
      <c r="EPS1" s="220"/>
      <c r="EPT1" s="216"/>
      <c r="EPU1" s="217"/>
      <c r="EPV1" s="217"/>
      <c r="EPW1" s="220"/>
      <c r="EPX1" s="216"/>
      <c r="EPY1" s="217"/>
      <c r="EPZ1" s="217"/>
      <c r="EQA1" s="220"/>
      <c r="EQB1" s="216"/>
      <c r="EQC1" s="217"/>
      <c r="EQD1" s="217"/>
      <c r="EQE1" s="220"/>
      <c r="EQF1" s="216"/>
      <c r="EQG1" s="217"/>
      <c r="EQH1" s="217"/>
      <c r="EQI1" s="220"/>
      <c r="EQJ1" s="216"/>
      <c r="EQK1" s="217"/>
      <c r="EQL1" s="217"/>
      <c r="EQM1" s="220"/>
      <c r="EQN1" s="216"/>
      <c r="EQO1" s="217"/>
      <c r="EQP1" s="217"/>
      <c r="EQQ1" s="220"/>
      <c r="EQR1" s="216"/>
      <c r="EQS1" s="217"/>
      <c r="EQT1" s="217"/>
      <c r="EQU1" s="220"/>
      <c r="EQV1" s="216"/>
      <c r="EQW1" s="217"/>
      <c r="EQX1" s="217"/>
      <c r="EQY1" s="220"/>
      <c r="EQZ1" s="216"/>
      <c r="ERA1" s="217"/>
      <c r="ERB1" s="217"/>
      <c r="ERC1" s="220"/>
      <c r="ERD1" s="216"/>
      <c r="ERE1" s="217"/>
      <c r="ERF1" s="217"/>
      <c r="ERG1" s="220"/>
      <c r="ERH1" s="216"/>
      <c r="ERI1" s="217"/>
      <c r="ERJ1" s="217"/>
      <c r="ERK1" s="220"/>
      <c r="ERL1" s="216"/>
      <c r="ERM1" s="217"/>
      <c r="ERN1" s="217"/>
      <c r="ERO1" s="220"/>
      <c r="ERP1" s="216"/>
      <c r="ERQ1" s="217"/>
      <c r="ERR1" s="217"/>
      <c r="ERS1" s="220"/>
      <c r="ERT1" s="216"/>
      <c r="ERU1" s="217"/>
      <c r="ERV1" s="217"/>
      <c r="ERW1" s="220"/>
      <c r="ERX1" s="216"/>
      <c r="ERY1" s="217"/>
      <c r="ERZ1" s="217"/>
      <c r="ESA1" s="220"/>
      <c r="ESB1" s="216"/>
      <c r="ESC1" s="217"/>
      <c r="ESD1" s="217"/>
      <c r="ESE1" s="220"/>
      <c r="ESF1" s="216"/>
      <c r="ESG1" s="217"/>
      <c r="ESH1" s="217"/>
      <c r="ESI1" s="220"/>
      <c r="ESJ1" s="216"/>
      <c r="ESK1" s="217"/>
      <c r="ESL1" s="217"/>
      <c r="ESM1" s="220"/>
      <c r="ESN1" s="216"/>
      <c r="ESO1" s="217"/>
      <c r="ESP1" s="217"/>
      <c r="ESQ1" s="220"/>
      <c r="ESR1" s="216"/>
      <c r="ESS1" s="217"/>
      <c r="EST1" s="217"/>
      <c r="ESU1" s="220"/>
      <c r="ESV1" s="216"/>
      <c r="ESW1" s="217"/>
      <c r="ESX1" s="217"/>
      <c r="ESY1" s="220"/>
      <c r="ESZ1" s="216"/>
      <c r="ETA1" s="217"/>
      <c r="ETB1" s="217"/>
      <c r="ETC1" s="220"/>
      <c r="ETD1" s="216"/>
      <c r="ETE1" s="217"/>
      <c r="ETF1" s="217"/>
      <c r="ETG1" s="220"/>
      <c r="ETH1" s="216"/>
      <c r="ETI1" s="217"/>
      <c r="ETJ1" s="217"/>
      <c r="ETK1" s="220"/>
      <c r="ETL1" s="216"/>
      <c r="ETM1" s="217"/>
      <c r="ETN1" s="217"/>
      <c r="ETO1" s="220"/>
      <c r="ETP1" s="216"/>
      <c r="ETQ1" s="217"/>
      <c r="ETR1" s="217"/>
      <c r="ETS1" s="220"/>
      <c r="ETT1" s="216"/>
      <c r="ETU1" s="217"/>
      <c r="ETV1" s="217"/>
      <c r="ETW1" s="220"/>
      <c r="ETX1" s="216"/>
      <c r="ETY1" s="217"/>
      <c r="ETZ1" s="217"/>
      <c r="EUA1" s="220"/>
      <c r="EUB1" s="216"/>
      <c r="EUC1" s="217"/>
      <c r="EUD1" s="217"/>
      <c r="EUE1" s="220"/>
      <c r="EUF1" s="216"/>
      <c r="EUG1" s="217"/>
      <c r="EUH1" s="217"/>
      <c r="EUI1" s="220"/>
      <c r="EUJ1" s="216"/>
      <c r="EUK1" s="217"/>
      <c r="EUL1" s="217"/>
      <c r="EUM1" s="220"/>
      <c r="EUN1" s="216"/>
      <c r="EUO1" s="217"/>
      <c r="EUP1" s="217"/>
      <c r="EUQ1" s="220"/>
      <c r="EUR1" s="216"/>
      <c r="EUS1" s="217"/>
      <c r="EUT1" s="217"/>
      <c r="EUU1" s="220"/>
      <c r="EUV1" s="216"/>
      <c r="EUW1" s="217"/>
      <c r="EUX1" s="217"/>
      <c r="EUY1" s="220"/>
      <c r="EUZ1" s="216"/>
      <c r="EVA1" s="217"/>
      <c r="EVB1" s="217"/>
      <c r="EVC1" s="220"/>
      <c r="EVD1" s="216"/>
      <c r="EVE1" s="217"/>
      <c r="EVF1" s="217"/>
      <c r="EVG1" s="220"/>
      <c r="EVH1" s="216"/>
      <c r="EVI1" s="217"/>
      <c r="EVJ1" s="217"/>
      <c r="EVK1" s="220"/>
      <c r="EVL1" s="216"/>
      <c r="EVM1" s="217"/>
      <c r="EVN1" s="217"/>
      <c r="EVO1" s="220"/>
      <c r="EVP1" s="216"/>
      <c r="EVQ1" s="217"/>
      <c r="EVR1" s="217"/>
      <c r="EVS1" s="220"/>
      <c r="EVT1" s="216"/>
      <c r="EVU1" s="217"/>
      <c r="EVV1" s="217"/>
      <c r="EVW1" s="220"/>
      <c r="EVX1" s="216"/>
      <c r="EVY1" s="217"/>
      <c r="EVZ1" s="217"/>
      <c r="EWA1" s="220"/>
      <c r="EWB1" s="216"/>
      <c r="EWC1" s="217"/>
      <c r="EWD1" s="217"/>
      <c r="EWE1" s="220"/>
      <c r="EWF1" s="216"/>
      <c r="EWG1" s="217"/>
      <c r="EWH1" s="217"/>
      <c r="EWI1" s="220"/>
      <c r="EWJ1" s="216"/>
      <c r="EWK1" s="217"/>
      <c r="EWL1" s="217"/>
      <c r="EWM1" s="220"/>
      <c r="EWN1" s="216"/>
      <c r="EWO1" s="217"/>
      <c r="EWP1" s="217"/>
      <c r="EWQ1" s="220"/>
      <c r="EWR1" s="216"/>
      <c r="EWS1" s="217"/>
      <c r="EWT1" s="217"/>
      <c r="EWU1" s="220"/>
      <c r="EWV1" s="216"/>
      <c r="EWW1" s="217"/>
      <c r="EWX1" s="217"/>
      <c r="EWY1" s="220"/>
      <c r="EWZ1" s="216"/>
      <c r="EXA1" s="217"/>
      <c r="EXB1" s="217"/>
      <c r="EXC1" s="220"/>
      <c r="EXD1" s="216"/>
      <c r="EXE1" s="217"/>
      <c r="EXF1" s="217"/>
      <c r="EXG1" s="220"/>
      <c r="EXH1" s="216"/>
      <c r="EXI1" s="217"/>
      <c r="EXJ1" s="217"/>
      <c r="EXK1" s="220"/>
      <c r="EXL1" s="216"/>
      <c r="EXM1" s="217"/>
      <c r="EXN1" s="217"/>
      <c r="EXO1" s="220"/>
      <c r="EXP1" s="216"/>
      <c r="EXQ1" s="217"/>
      <c r="EXR1" s="217"/>
      <c r="EXS1" s="220"/>
      <c r="EXT1" s="216"/>
      <c r="EXU1" s="217"/>
      <c r="EXV1" s="217"/>
      <c r="EXW1" s="220"/>
      <c r="EXX1" s="216"/>
      <c r="EXY1" s="217"/>
      <c r="EXZ1" s="217"/>
      <c r="EYA1" s="220"/>
      <c r="EYB1" s="216"/>
      <c r="EYC1" s="217"/>
      <c r="EYD1" s="217"/>
      <c r="EYE1" s="220"/>
      <c r="EYF1" s="216"/>
      <c r="EYG1" s="217"/>
      <c r="EYH1" s="217"/>
      <c r="EYI1" s="220"/>
      <c r="EYJ1" s="216"/>
      <c r="EYK1" s="217"/>
      <c r="EYL1" s="217"/>
      <c r="EYM1" s="220"/>
      <c r="EYN1" s="216"/>
      <c r="EYO1" s="217"/>
      <c r="EYP1" s="217"/>
      <c r="EYQ1" s="220"/>
      <c r="EYR1" s="216"/>
      <c r="EYS1" s="217"/>
      <c r="EYT1" s="217"/>
      <c r="EYU1" s="220"/>
      <c r="EYV1" s="216"/>
      <c r="EYW1" s="217"/>
      <c r="EYX1" s="217"/>
      <c r="EYY1" s="220"/>
      <c r="EYZ1" s="216"/>
      <c r="EZA1" s="217"/>
      <c r="EZB1" s="217"/>
      <c r="EZC1" s="220"/>
      <c r="EZD1" s="216"/>
      <c r="EZE1" s="217"/>
      <c r="EZF1" s="217"/>
      <c r="EZG1" s="220"/>
      <c r="EZH1" s="216"/>
      <c r="EZI1" s="217"/>
      <c r="EZJ1" s="217"/>
      <c r="EZK1" s="220"/>
      <c r="EZL1" s="216"/>
      <c r="EZM1" s="217"/>
      <c r="EZN1" s="217"/>
      <c r="EZO1" s="220"/>
      <c r="EZP1" s="216"/>
      <c r="EZQ1" s="217"/>
      <c r="EZR1" s="217"/>
      <c r="EZS1" s="220"/>
      <c r="EZT1" s="216"/>
      <c r="EZU1" s="217"/>
      <c r="EZV1" s="217"/>
      <c r="EZW1" s="220"/>
      <c r="EZX1" s="216"/>
      <c r="EZY1" s="217"/>
      <c r="EZZ1" s="217"/>
      <c r="FAA1" s="220"/>
      <c r="FAB1" s="216"/>
      <c r="FAC1" s="217"/>
      <c r="FAD1" s="217"/>
      <c r="FAE1" s="220"/>
      <c r="FAF1" s="216"/>
      <c r="FAG1" s="217"/>
      <c r="FAH1" s="217"/>
      <c r="FAI1" s="220"/>
      <c r="FAJ1" s="216"/>
      <c r="FAK1" s="217"/>
      <c r="FAL1" s="217"/>
      <c r="FAM1" s="220"/>
      <c r="FAN1" s="216"/>
      <c r="FAO1" s="217"/>
      <c r="FAP1" s="217"/>
      <c r="FAQ1" s="220"/>
      <c r="FAR1" s="216"/>
      <c r="FAS1" s="217"/>
      <c r="FAT1" s="217"/>
      <c r="FAU1" s="220"/>
      <c r="FAV1" s="216"/>
      <c r="FAW1" s="217"/>
      <c r="FAX1" s="217"/>
      <c r="FAY1" s="220"/>
      <c r="FAZ1" s="216"/>
      <c r="FBA1" s="217"/>
      <c r="FBB1" s="217"/>
      <c r="FBC1" s="220"/>
      <c r="FBD1" s="216"/>
      <c r="FBE1" s="217"/>
      <c r="FBF1" s="217"/>
      <c r="FBG1" s="220"/>
      <c r="FBH1" s="216"/>
      <c r="FBI1" s="217"/>
      <c r="FBJ1" s="217"/>
      <c r="FBK1" s="220"/>
      <c r="FBL1" s="216"/>
      <c r="FBM1" s="217"/>
      <c r="FBN1" s="217"/>
      <c r="FBO1" s="220"/>
      <c r="FBP1" s="216"/>
      <c r="FBQ1" s="217"/>
      <c r="FBR1" s="217"/>
      <c r="FBS1" s="220"/>
      <c r="FBT1" s="216"/>
      <c r="FBU1" s="217"/>
      <c r="FBV1" s="217"/>
      <c r="FBW1" s="220"/>
      <c r="FBX1" s="216"/>
      <c r="FBY1" s="217"/>
      <c r="FBZ1" s="217"/>
      <c r="FCA1" s="220"/>
      <c r="FCB1" s="216"/>
      <c r="FCC1" s="217"/>
      <c r="FCD1" s="217"/>
      <c r="FCE1" s="220"/>
      <c r="FCF1" s="216"/>
      <c r="FCG1" s="217"/>
      <c r="FCH1" s="217"/>
      <c r="FCI1" s="220"/>
      <c r="FCJ1" s="216"/>
      <c r="FCK1" s="217"/>
      <c r="FCL1" s="217"/>
      <c r="FCM1" s="220"/>
      <c r="FCN1" s="216"/>
      <c r="FCO1" s="217"/>
      <c r="FCP1" s="217"/>
      <c r="FCQ1" s="220"/>
      <c r="FCR1" s="216"/>
      <c r="FCS1" s="217"/>
      <c r="FCT1" s="217"/>
      <c r="FCU1" s="220"/>
      <c r="FCV1" s="216"/>
      <c r="FCW1" s="217"/>
      <c r="FCX1" s="217"/>
      <c r="FCY1" s="220"/>
      <c r="FCZ1" s="216"/>
      <c r="FDA1" s="217"/>
      <c r="FDB1" s="217"/>
      <c r="FDC1" s="220"/>
      <c r="FDD1" s="216"/>
      <c r="FDE1" s="217"/>
      <c r="FDF1" s="217"/>
      <c r="FDG1" s="220"/>
      <c r="FDH1" s="216"/>
      <c r="FDI1" s="217"/>
      <c r="FDJ1" s="217"/>
      <c r="FDK1" s="220"/>
      <c r="FDL1" s="216"/>
      <c r="FDM1" s="217"/>
      <c r="FDN1" s="217"/>
      <c r="FDO1" s="220"/>
      <c r="FDP1" s="216"/>
      <c r="FDQ1" s="217"/>
      <c r="FDR1" s="217"/>
      <c r="FDS1" s="220"/>
      <c r="FDT1" s="216"/>
      <c r="FDU1" s="217"/>
      <c r="FDV1" s="217"/>
      <c r="FDW1" s="220"/>
      <c r="FDX1" s="216"/>
      <c r="FDY1" s="217"/>
      <c r="FDZ1" s="217"/>
      <c r="FEA1" s="220"/>
      <c r="FEB1" s="216"/>
      <c r="FEC1" s="217"/>
      <c r="FED1" s="217"/>
      <c r="FEE1" s="220"/>
      <c r="FEF1" s="216"/>
      <c r="FEG1" s="217"/>
      <c r="FEH1" s="217"/>
      <c r="FEI1" s="220"/>
      <c r="FEJ1" s="216"/>
      <c r="FEK1" s="217"/>
      <c r="FEL1" s="217"/>
      <c r="FEM1" s="220"/>
      <c r="FEN1" s="216"/>
      <c r="FEO1" s="217"/>
      <c r="FEP1" s="217"/>
      <c r="FEQ1" s="220"/>
      <c r="FER1" s="216"/>
      <c r="FES1" s="217"/>
      <c r="FET1" s="217"/>
      <c r="FEU1" s="220"/>
      <c r="FEV1" s="216"/>
      <c r="FEW1" s="217"/>
      <c r="FEX1" s="217"/>
      <c r="FEY1" s="220"/>
      <c r="FEZ1" s="216"/>
      <c r="FFA1" s="217"/>
      <c r="FFB1" s="217"/>
      <c r="FFC1" s="220"/>
      <c r="FFD1" s="216"/>
      <c r="FFE1" s="217"/>
      <c r="FFF1" s="217"/>
      <c r="FFG1" s="220"/>
      <c r="FFH1" s="216"/>
      <c r="FFI1" s="217"/>
      <c r="FFJ1" s="217"/>
      <c r="FFK1" s="220"/>
      <c r="FFL1" s="216"/>
      <c r="FFM1" s="217"/>
      <c r="FFN1" s="217"/>
      <c r="FFO1" s="220"/>
      <c r="FFP1" s="216"/>
      <c r="FFQ1" s="217"/>
      <c r="FFR1" s="217"/>
      <c r="FFS1" s="220"/>
      <c r="FFT1" s="216"/>
      <c r="FFU1" s="217"/>
      <c r="FFV1" s="217"/>
      <c r="FFW1" s="220"/>
      <c r="FFX1" s="216"/>
      <c r="FFY1" s="217"/>
      <c r="FFZ1" s="217"/>
      <c r="FGA1" s="220"/>
      <c r="FGB1" s="216"/>
      <c r="FGC1" s="217"/>
      <c r="FGD1" s="217"/>
      <c r="FGE1" s="220"/>
      <c r="FGF1" s="216"/>
      <c r="FGG1" s="217"/>
      <c r="FGH1" s="217"/>
      <c r="FGI1" s="220"/>
      <c r="FGJ1" s="216"/>
      <c r="FGK1" s="217"/>
      <c r="FGL1" s="217"/>
      <c r="FGM1" s="220"/>
      <c r="FGN1" s="216"/>
      <c r="FGO1" s="217"/>
      <c r="FGP1" s="217"/>
      <c r="FGQ1" s="220"/>
      <c r="FGR1" s="216"/>
      <c r="FGS1" s="217"/>
      <c r="FGT1" s="217"/>
      <c r="FGU1" s="220"/>
      <c r="FGV1" s="216"/>
      <c r="FGW1" s="217"/>
      <c r="FGX1" s="217"/>
      <c r="FGY1" s="220"/>
      <c r="FGZ1" s="216"/>
      <c r="FHA1" s="217"/>
      <c r="FHB1" s="217"/>
      <c r="FHC1" s="220"/>
      <c r="FHD1" s="216"/>
      <c r="FHE1" s="217"/>
      <c r="FHF1" s="217"/>
      <c r="FHG1" s="220"/>
      <c r="FHH1" s="216"/>
      <c r="FHI1" s="217"/>
      <c r="FHJ1" s="217"/>
      <c r="FHK1" s="220"/>
      <c r="FHL1" s="216"/>
      <c r="FHM1" s="217"/>
      <c r="FHN1" s="217"/>
      <c r="FHO1" s="220"/>
      <c r="FHP1" s="216"/>
      <c r="FHQ1" s="217"/>
      <c r="FHR1" s="217"/>
      <c r="FHS1" s="220"/>
      <c r="FHT1" s="216"/>
      <c r="FHU1" s="217"/>
      <c r="FHV1" s="217"/>
      <c r="FHW1" s="220"/>
      <c r="FHX1" s="216"/>
      <c r="FHY1" s="217"/>
      <c r="FHZ1" s="217"/>
      <c r="FIA1" s="220"/>
      <c r="FIB1" s="216"/>
      <c r="FIC1" s="217"/>
      <c r="FID1" s="217"/>
      <c r="FIE1" s="220"/>
      <c r="FIF1" s="216"/>
      <c r="FIG1" s="217"/>
      <c r="FIH1" s="217"/>
      <c r="FII1" s="220"/>
      <c r="FIJ1" s="216"/>
      <c r="FIK1" s="217"/>
      <c r="FIL1" s="217"/>
      <c r="FIM1" s="220"/>
      <c r="FIN1" s="216"/>
      <c r="FIO1" s="217"/>
      <c r="FIP1" s="217"/>
      <c r="FIQ1" s="220"/>
      <c r="FIR1" s="216"/>
      <c r="FIS1" s="217"/>
      <c r="FIT1" s="217"/>
      <c r="FIU1" s="220"/>
      <c r="FIV1" s="216"/>
      <c r="FIW1" s="217"/>
      <c r="FIX1" s="217"/>
      <c r="FIY1" s="220"/>
      <c r="FIZ1" s="216"/>
      <c r="FJA1" s="217"/>
      <c r="FJB1" s="217"/>
      <c r="FJC1" s="220"/>
      <c r="FJD1" s="216"/>
      <c r="FJE1" s="217"/>
      <c r="FJF1" s="217"/>
      <c r="FJG1" s="220"/>
      <c r="FJH1" s="216"/>
      <c r="FJI1" s="217"/>
      <c r="FJJ1" s="217"/>
      <c r="FJK1" s="220"/>
      <c r="FJL1" s="216"/>
      <c r="FJM1" s="217"/>
      <c r="FJN1" s="217"/>
      <c r="FJO1" s="220"/>
      <c r="FJP1" s="216"/>
      <c r="FJQ1" s="217"/>
      <c r="FJR1" s="217"/>
      <c r="FJS1" s="220"/>
      <c r="FJT1" s="216"/>
      <c r="FJU1" s="217"/>
      <c r="FJV1" s="217"/>
      <c r="FJW1" s="220"/>
      <c r="FJX1" s="216"/>
      <c r="FJY1" s="217"/>
      <c r="FJZ1" s="217"/>
      <c r="FKA1" s="220"/>
      <c r="FKB1" s="216"/>
      <c r="FKC1" s="217"/>
      <c r="FKD1" s="217"/>
      <c r="FKE1" s="220"/>
      <c r="FKF1" s="216"/>
      <c r="FKG1" s="217"/>
      <c r="FKH1" s="217"/>
      <c r="FKI1" s="220"/>
      <c r="FKJ1" s="216"/>
      <c r="FKK1" s="217"/>
      <c r="FKL1" s="217"/>
      <c r="FKM1" s="220"/>
      <c r="FKN1" s="216"/>
      <c r="FKO1" s="217"/>
      <c r="FKP1" s="217"/>
      <c r="FKQ1" s="220"/>
      <c r="FKR1" s="216"/>
      <c r="FKS1" s="217"/>
      <c r="FKT1" s="217"/>
      <c r="FKU1" s="220"/>
      <c r="FKV1" s="216"/>
      <c r="FKW1" s="217"/>
      <c r="FKX1" s="217"/>
      <c r="FKY1" s="220"/>
      <c r="FKZ1" s="216"/>
      <c r="FLA1" s="217"/>
      <c r="FLB1" s="217"/>
      <c r="FLC1" s="220"/>
      <c r="FLD1" s="216"/>
      <c r="FLE1" s="217"/>
      <c r="FLF1" s="217"/>
      <c r="FLG1" s="220"/>
      <c r="FLH1" s="216"/>
      <c r="FLI1" s="217"/>
      <c r="FLJ1" s="217"/>
      <c r="FLK1" s="220"/>
      <c r="FLL1" s="216"/>
      <c r="FLM1" s="217"/>
      <c r="FLN1" s="217"/>
      <c r="FLO1" s="220"/>
      <c r="FLP1" s="216"/>
      <c r="FLQ1" s="217"/>
      <c r="FLR1" s="217"/>
      <c r="FLS1" s="220"/>
      <c r="FLT1" s="216"/>
      <c r="FLU1" s="217"/>
      <c r="FLV1" s="217"/>
      <c r="FLW1" s="220"/>
      <c r="FLX1" s="216"/>
      <c r="FLY1" s="217"/>
      <c r="FLZ1" s="217"/>
      <c r="FMA1" s="220"/>
      <c r="FMB1" s="216"/>
      <c r="FMC1" s="217"/>
      <c r="FMD1" s="217"/>
      <c r="FME1" s="220"/>
      <c r="FMF1" s="216"/>
      <c r="FMG1" s="217"/>
      <c r="FMH1" s="217"/>
      <c r="FMI1" s="220"/>
      <c r="FMJ1" s="216"/>
      <c r="FMK1" s="217"/>
      <c r="FML1" s="217"/>
      <c r="FMM1" s="220"/>
      <c r="FMN1" s="216"/>
      <c r="FMO1" s="217"/>
      <c r="FMP1" s="217"/>
      <c r="FMQ1" s="220"/>
      <c r="FMR1" s="216"/>
      <c r="FMS1" s="217"/>
      <c r="FMT1" s="217"/>
      <c r="FMU1" s="220"/>
      <c r="FMV1" s="216"/>
      <c r="FMW1" s="217"/>
      <c r="FMX1" s="217"/>
      <c r="FMY1" s="220"/>
      <c r="FMZ1" s="216"/>
      <c r="FNA1" s="217"/>
      <c r="FNB1" s="217"/>
      <c r="FNC1" s="220"/>
      <c r="FND1" s="216"/>
      <c r="FNE1" s="217"/>
      <c r="FNF1" s="217"/>
      <c r="FNG1" s="220"/>
      <c r="FNH1" s="216"/>
      <c r="FNI1" s="217"/>
      <c r="FNJ1" s="217"/>
      <c r="FNK1" s="220"/>
      <c r="FNL1" s="216"/>
      <c r="FNM1" s="217"/>
      <c r="FNN1" s="217"/>
      <c r="FNO1" s="220"/>
      <c r="FNP1" s="216"/>
      <c r="FNQ1" s="217"/>
      <c r="FNR1" s="217"/>
      <c r="FNS1" s="220"/>
      <c r="FNT1" s="216"/>
      <c r="FNU1" s="217"/>
      <c r="FNV1" s="217"/>
      <c r="FNW1" s="220"/>
      <c r="FNX1" s="216"/>
      <c r="FNY1" s="217"/>
      <c r="FNZ1" s="217"/>
      <c r="FOA1" s="220"/>
      <c r="FOB1" s="216"/>
      <c r="FOC1" s="217"/>
      <c r="FOD1" s="217"/>
      <c r="FOE1" s="220"/>
      <c r="FOF1" s="216"/>
      <c r="FOG1" s="217"/>
      <c r="FOH1" s="217"/>
      <c r="FOI1" s="220"/>
      <c r="FOJ1" s="216"/>
      <c r="FOK1" s="217"/>
      <c r="FOL1" s="217"/>
      <c r="FOM1" s="220"/>
      <c r="FON1" s="216"/>
      <c r="FOO1" s="217"/>
      <c r="FOP1" s="217"/>
      <c r="FOQ1" s="220"/>
      <c r="FOR1" s="216"/>
      <c r="FOS1" s="217"/>
      <c r="FOT1" s="217"/>
      <c r="FOU1" s="220"/>
      <c r="FOV1" s="216"/>
      <c r="FOW1" s="217"/>
      <c r="FOX1" s="217"/>
      <c r="FOY1" s="220"/>
      <c r="FOZ1" s="216"/>
      <c r="FPA1" s="217"/>
      <c r="FPB1" s="217"/>
      <c r="FPC1" s="220"/>
      <c r="FPD1" s="216"/>
      <c r="FPE1" s="217"/>
      <c r="FPF1" s="217"/>
      <c r="FPG1" s="220"/>
      <c r="FPH1" s="216"/>
      <c r="FPI1" s="217"/>
      <c r="FPJ1" s="217"/>
      <c r="FPK1" s="220"/>
      <c r="FPL1" s="216"/>
      <c r="FPM1" s="217"/>
      <c r="FPN1" s="217"/>
      <c r="FPO1" s="220"/>
      <c r="FPP1" s="216"/>
      <c r="FPQ1" s="217"/>
      <c r="FPR1" s="217"/>
      <c r="FPS1" s="220"/>
      <c r="FPT1" s="216"/>
      <c r="FPU1" s="217"/>
      <c r="FPV1" s="217"/>
      <c r="FPW1" s="220"/>
      <c r="FPX1" s="216"/>
      <c r="FPY1" s="217"/>
      <c r="FPZ1" s="217"/>
      <c r="FQA1" s="220"/>
      <c r="FQB1" s="216"/>
      <c r="FQC1" s="217"/>
      <c r="FQD1" s="217"/>
      <c r="FQE1" s="220"/>
      <c r="FQF1" s="216"/>
      <c r="FQG1" s="217"/>
      <c r="FQH1" s="217"/>
      <c r="FQI1" s="220"/>
      <c r="FQJ1" s="216"/>
      <c r="FQK1" s="217"/>
      <c r="FQL1" s="217"/>
      <c r="FQM1" s="220"/>
      <c r="FQN1" s="216"/>
      <c r="FQO1" s="217"/>
      <c r="FQP1" s="217"/>
      <c r="FQQ1" s="220"/>
      <c r="FQR1" s="216"/>
      <c r="FQS1" s="217"/>
      <c r="FQT1" s="217"/>
      <c r="FQU1" s="220"/>
      <c r="FQV1" s="216"/>
      <c r="FQW1" s="217"/>
      <c r="FQX1" s="217"/>
      <c r="FQY1" s="220"/>
      <c r="FQZ1" s="216"/>
      <c r="FRA1" s="217"/>
      <c r="FRB1" s="217"/>
      <c r="FRC1" s="220"/>
      <c r="FRD1" s="216"/>
      <c r="FRE1" s="217"/>
      <c r="FRF1" s="217"/>
      <c r="FRG1" s="220"/>
      <c r="FRH1" s="216"/>
      <c r="FRI1" s="217"/>
      <c r="FRJ1" s="217"/>
      <c r="FRK1" s="220"/>
      <c r="FRL1" s="216"/>
      <c r="FRM1" s="217"/>
      <c r="FRN1" s="217"/>
      <c r="FRO1" s="220"/>
      <c r="FRP1" s="216"/>
      <c r="FRQ1" s="217"/>
      <c r="FRR1" s="217"/>
      <c r="FRS1" s="220"/>
      <c r="FRT1" s="216"/>
      <c r="FRU1" s="217"/>
      <c r="FRV1" s="217"/>
      <c r="FRW1" s="220"/>
      <c r="FRX1" s="216"/>
      <c r="FRY1" s="217"/>
      <c r="FRZ1" s="217"/>
      <c r="FSA1" s="220"/>
      <c r="FSB1" s="216"/>
      <c r="FSC1" s="217"/>
      <c r="FSD1" s="217"/>
      <c r="FSE1" s="220"/>
      <c r="FSF1" s="216"/>
      <c r="FSG1" s="217"/>
      <c r="FSH1" s="217"/>
      <c r="FSI1" s="220"/>
      <c r="FSJ1" s="216"/>
      <c r="FSK1" s="217"/>
      <c r="FSL1" s="217"/>
      <c r="FSM1" s="220"/>
      <c r="FSN1" s="216"/>
      <c r="FSO1" s="217"/>
      <c r="FSP1" s="217"/>
      <c r="FSQ1" s="220"/>
      <c r="FSR1" s="216"/>
      <c r="FSS1" s="217"/>
      <c r="FST1" s="217"/>
      <c r="FSU1" s="220"/>
      <c r="FSV1" s="216"/>
      <c r="FSW1" s="217"/>
      <c r="FSX1" s="217"/>
      <c r="FSY1" s="220"/>
      <c r="FSZ1" s="216"/>
      <c r="FTA1" s="217"/>
      <c r="FTB1" s="217"/>
      <c r="FTC1" s="220"/>
      <c r="FTD1" s="216"/>
      <c r="FTE1" s="217"/>
      <c r="FTF1" s="217"/>
      <c r="FTG1" s="220"/>
      <c r="FTH1" s="216"/>
      <c r="FTI1" s="217"/>
      <c r="FTJ1" s="217"/>
      <c r="FTK1" s="220"/>
      <c r="FTL1" s="216"/>
      <c r="FTM1" s="217"/>
      <c r="FTN1" s="217"/>
      <c r="FTO1" s="220"/>
      <c r="FTP1" s="216"/>
      <c r="FTQ1" s="217"/>
      <c r="FTR1" s="217"/>
      <c r="FTS1" s="220"/>
      <c r="FTT1" s="216"/>
      <c r="FTU1" s="217"/>
      <c r="FTV1" s="217"/>
      <c r="FTW1" s="220"/>
      <c r="FTX1" s="216"/>
      <c r="FTY1" s="217"/>
      <c r="FTZ1" s="217"/>
      <c r="FUA1" s="220"/>
      <c r="FUB1" s="216"/>
      <c r="FUC1" s="217"/>
      <c r="FUD1" s="217"/>
      <c r="FUE1" s="220"/>
      <c r="FUF1" s="216"/>
      <c r="FUG1" s="217"/>
      <c r="FUH1" s="217"/>
      <c r="FUI1" s="220"/>
      <c r="FUJ1" s="216"/>
      <c r="FUK1" s="217"/>
      <c r="FUL1" s="217"/>
      <c r="FUM1" s="220"/>
      <c r="FUN1" s="216"/>
      <c r="FUO1" s="217"/>
      <c r="FUP1" s="217"/>
      <c r="FUQ1" s="220"/>
      <c r="FUR1" s="216"/>
      <c r="FUS1" s="217"/>
      <c r="FUT1" s="217"/>
      <c r="FUU1" s="220"/>
      <c r="FUV1" s="216"/>
      <c r="FUW1" s="217"/>
      <c r="FUX1" s="217"/>
      <c r="FUY1" s="220"/>
      <c r="FUZ1" s="216"/>
      <c r="FVA1" s="217"/>
      <c r="FVB1" s="217"/>
      <c r="FVC1" s="220"/>
      <c r="FVD1" s="216"/>
      <c r="FVE1" s="217"/>
      <c r="FVF1" s="217"/>
      <c r="FVG1" s="220"/>
      <c r="FVH1" s="216"/>
      <c r="FVI1" s="217"/>
      <c r="FVJ1" s="217"/>
      <c r="FVK1" s="220"/>
      <c r="FVL1" s="216"/>
      <c r="FVM1" s="217"/>
      <c r="FVN1" s="217"/>
      <c r="FVO1" s="220"/>
      <c r="FVP1" s="216"/>
      <c r="FVQ1" s="217"/>
      <c r="FVR1" s="217"/>
      <c r="FVS1" s="220"/>
      <c r="FVT1" s="216"/>
      <c r="FVU1" s="217"/>
      <c r="FVV1" s="217"/>
      <c r="FVW1" s="220"/>
      <c r="FVX1" s="216"/>
      <c r="FVY1" s="217"/>
      <c r="FVZ1" s="217"/>
      <c r="FWA1" s="220"/>
      <c r="FWB1" s="216"/>
      <c r="FWC1" s="217"/>
      <c r="FWD1" s="217"/>
      <c r="FWE1" s="220"/>
      <c r="FWF1" s="216"/>
      <c r="FWG1" s="217"/>
      <c r="FWH1" s="217"/>
      <c r="FWI1" s="220"/>
      <c r="FWJ1" s="216"/>
      <c r="FWK1" s="217"/>
      <c r="FWL1" s="217"/>
      <c r="FWM1" s="220"/>
      <c r="FWN1" s="216"/>
      <c r="FWO1" s="217"/>
      <c r="FWP1" s="217"/>
      <c r="FWQ1" s="220"/>
      <c r="FWR1" s="216"/>
      <c r="FWS1" s="217"/>
      <c r="FWT1" s="217"/>
      <c r="FWU1" s="220"/>
      <c r="FWV1" s="216"/>
      <c r="FWW1" s="217"/>
      <c r="FWX1" s="217"/>
      <c r="FWY1" s="220"/>
      <c r="FWZ1" s="216"/>
      <c r="FXA1" s="217"/>
      <c r="FXB1" s="217"/>
      <c r="FXC1" s="220"/>
      <c r="FXD1" s="216"/>
      <c r="FXE1" s="217"/>
      <c r="FXF1" s="217"/>
      <c r="FXG1" s="220"/>
      <c r="FXH1" s="216"/>
      <c r="FXI1" s="217"/>
      <c r="FXJ1" s="217"/>
      <c r="FXK1" s="220"/>
      <c r="FXL1" s="216"/>
      <c r="FXM1" s="217"/>
      <c r="FXN1" s="217"/>
      <c r="FXO1" s="220"/>
      <c r="FXP1" s="216"/>
      <c r="FXQ1" s="217"/>
      <c r="FXR1" s="217"/>
      <c r="FXS1" s="220"/>
      <c r="FXT1" s="216"/>
      <c r="FXU1" s="217"/>
      <c r="FXV1" s="217"/>
      <c r="FXW1" s="220"/>
      <c r="FXX1" s="216"/>
      <c r="FXY1" s="217"/>
      <c r="FXZ1" s="217"/>
      <c r="FYA1" s="220"/>
      <c r="FYB1" s="216"/>
      <c r="FYC1" s="217"/>
      <c r="FYD1" s="217"/>
      <c r="FYE1" s="220"/>
      <c r="FYF1" s="216"/>
      <c r="FYG1" s="217"/>
      <c r="FYH1" s="217"/>
      <c r="FYI1" s="220"/>
      <c r="FYJ1" s="216"/>
      <c r="FYK1" s="217"/>
      <c r="FYL1" s="217"/>
      <c r="FYM1" s="220"/>
      <c r="FYN1" s="216"/>
      <c r="FYO1" s="217"/>
      <c r="FYP1" s="217"/>
      <c r="FYQ1" s="220"/>
      <c r="FYR1" s="216"/>
      <c r="FYS1" s="217"/>
      <c r="FYT1" s="217"/>
      <c r="FYU1" s="220"/>
      <c r="FYV1" s="216"/>
      <c r="FYW1" s="217"/>
      <c r="FYX1" s="217"/>
      <c r="FYY1" s="220"/>
      <c r="FYZ1" s="216"/>
      <c r="FZA1" s="217"/>
      <c r="FZB1" s="217"/>
      <c r="FZC1" s="220"/>
      <c r="FZD1" s="216"/>
      <c r="FZE1" s="217"/>
      <c r="FZF1" s="217"/>
      <c r="FZG1" s="220"/>
      <c r="FZH1" s="216"/>
      <c r="FZI1" s="217"/>
      <c r="FZJ1" s="217"/>
      <c r="FZK1" s="220"/>
      <c r="FZL1" s="216"/>
      <c r="FZM1" s="217"/>
      <c r="FZN1" s="217"/>
      <c r="FZO1" s="220"/>
      <c r="FZP1" s="216"/>
      <c r="FZQ1" s="217"/>
      <c r="FZR1" s="217"/>
      <c r="FZS1" s="220"/>
      <c r="FZT1" s="216"/>
      <c r="FZU1" s="217"/>
      <c r="FZV1" s="217"/>
      <c r="FZW1" s="220"/>
      <c r="FZX1" s="216"/>
      <c r="FZY1" s="217"/>
      <c r="FZZ1" s="217"/>
      <c r="GAA1" s="220"/>
      <c r="GAB1" s="216"/>
      <c r="GAC1" s="217"/>
      <c r="GAD1" s="217"/>
      <c r="GAE1" s="220"/>
      <c r="GAF1" s="216"/>
      <c r="GAG1" s="217"/>
      <c r="GAH1" s="217"/>
      <c r="GAI1" s="220"/>
      <c r="GAJ1" s="216"/>
      <c r="GAK1" s="217"/>
      <c r="GAL1" s="217"/>
      <c r="GAM1" s="220"/>
      <c r="GAN1" s="216"/>
      <c r="GAO1" s="217"/>
      <c r="GAP1" s="217"/>
      <c r="GAQ1" s="220"/>
      <c r="GAR1" s="216"/>
      <c r="GAS1" s="217"/>
      <c r="GAT1" s="217"/>
      <c r="GAU1" s="220"/>
      <c r="GAV1" s="216"/>
      <c r="GAW1" s="217"/>
      <c r="GAX1" s="217"/>
      <c r="GAY1" s="220"/>
      <c r="GAZ1" s="216"/>
      <c r="GBA1" s="217"/>
      <c r="GBB1" s="217"/>
      <c r="GBC1" s="220"/>
      <c r="GBD1" s="216"/>
      <c r="GBE1" s="217"/>
      <c r="GBF1" s="217"/>
      <c r="GBG1" s="220"/>
      <c r="GBH1" s="216"/>
      <c r="GBI1" s="217"/>
      <c r="GBJ1" s="217"/>
      <c r="GBK1" s="220"/>
      <c r="GBL1" s="216"/>
      <c r="GBM1" s="217"/>
      <c r="GBN1" s="217"/>
      <c r="GBO1" s="220"/>
      <c r="GBP1" s="216"/>
      <c r="GBQ1" s="217"/>
      <c r="GBR1" s="217"/>
      <c r="GBS1" s="220"/>
      <c r="GBT1" s="216"/>
      <c r="GBU1" s="217"/>
      <c r="GBV1" s="217"/>
      <c r="GBW1" s="220"/>
      <c r="GBX1" s="216"/>
      <c r="GBY1" s="217"/>
      <c r="GBZ1" s="217"/>
      <c r="GCA1" s="220"/>
      <c r="GCB1" s="216"/>
      <c r="GCC1" s="217"/>
      <c r="GCD1" s="217"/>
      <c r="GCE1" s="220"/>
      <c r="GCF1" s="216"/>
      <c r="GCG1" s="217"/>
      <c r="GCH1" s="217"/>
      <c r="GCI1" s="220"/>
      <c r="GCJ1" s="216"/>
      <c r="GCK1" s="217"/>
      <c r="GCL1" s="217"/>
      <c r="GCM1" s="220"/>
      <c r="GCN1" s="216"/>
      <c r="GCO1" s="217"/>
      <c r="GCP1" s="217"/>
      <c r="GCQ1" s="220"/>
      <c r="GCR1" s="216"/>
      <c r="GCS1" s="217"/>
      <c r="GCT1" s="217"/>
      <c r="GCU1" s="220"/>
      <c r="GCV1" s="216"/>
      <c r="GCW1" s="217"/>
      <c r="GCX1" s="217"/>
      <c r="GCY1" s="220"/>
      <c r="GCZ1" s="216"/>
      <c r="GDA1" s="217"/>
      <c r="GDB1" s="217"/>
      <c r="GDC1" s="220"/>
      <c r="GDD1" s="216"/>
      <c r="GDE1" s="217"/>
      <c r="GDF1" s="217"/>
      <c r="GDG1" s="220"/>
      <c r="GDH1" s="216"/>
      <c r="GDI1" s="217"/>
      <c r="GDJ1" s="217"/>
      <c r="GDK1" s="220"/>
      <c r="GDL1" s="216"/>
      <c r="GDM1" s="217"/>
      <c r="GDN1" s="217"/>
      <c r="GDO1" s="220"/>
      <c r="GDP1" s="216"/>
      <c r="GDQ1" s="217"/>
      <c r="GDR1" s="217"/>
      <c r="GDS1" s="220"/>
      <c r="GDT1" s="216"/>
      <c r="GDU1" s="217"/>
      <c r="GDV1" s="217"/>
      <c r="GDW1" s="220"/>
      <c r="GDX1" s="216"/>
      <c r="GDY1" s="217"/>
      <c r="GDZ1" s="217"/>
      <c r="GEA1" s="220"/>
      <c r="GEB1" s="216"/>
      <c r="GEC1" s="217"/>
      <c r="GED1" s="217"/>
      <c r="GEE1" s="220"/>
      <c r="GEF1" s="216"/>
      <c r="GEG1" s="217"/>
      <c r="GEH1" s="217"/>
      <c r="GEI1" s="220"/>
      <c r="GEJ1" s="216"/>
      <c r="GEK1" s="217"/>
      <c r="GEL1" s="217"/>
      <c r="GEM1" s="220"/>
      <c r="GEN1" s="216"/>
      <c r="GEO1" s="217"/>
      <c r="GEP1" s="217"/>
      <c r="GEQ1" s="220"/>
      <c r="GER1" s="216"/>
      <c r="GES1" s="217"/>
      <c r="GET1" s="217"/>
      <c r="GEU1" s="220"/>
      <c r="GEV1" s="216"/>
      <c r="GEW1" s="217"/>
      <c r="GEX1" s="217"/>
      <c r="GEY1" s="220"/>
      <c r="GEZ1" s="216"/>
      <c r="GFA1" s="217"/>
      <c r="GFB1" s="217"/>
      <c r="GFC1" s="220"/>
      <c r="GFD1" s="216"/>
      <c r="GFE1" s="217"/>
      <c r="GFF1" s="217"/>
      <c r="GFG1" s="220"/>
      <c r="GFH1" s="216"/>
      <c r="GFI1" s="217"/>
      <c r="GFJ1" s="217"/>
      <c r="GFK1" s="220"/>
      <c r="GFL1" s="216"/>
      <c r="GFM1" s="217"/>
      <c r="GFN1" s="217"/>
      <c r="GFO1" s="220"/>
      <c r="GFP1" s="216"/>
      <c r="GFQ1" s="217"/>
      <c r="GFR1" s="217"/>
      <c r="GFS1" s="220"/>
      <c r="GFT1" s="216"/>
      <c r="GFU1" s="217"/>
      <c r="GFV1" s="217"/>
      <c r="GFW1" s="220"/>
      <c r="GFX1" s="216"/>
      <c r="GFY1" s="217"/>
      <c r="GFZ1" s="217"/>
      <c r="GGA1" s="220"/>
      <c r="GGB1" s="216"/>
      <c r="GGC1" s="217"/>
      <c r="GGD1" s="217"/>
      <c r="GGE1" s="220"/>
      <c r="GGF1" s="216"/>
      <c r="GGG1" s="217"/>
      <c r="GGH1" s="217"/>
      <c r="GGI1" s="220"/>
      <c r="GGJ1" s="216"/>
      <c r="GGK1" s="217"/>
      <c r="GGL1" s="217"/>
      <c r="GGM1" s="220"/>
      <c r="GGN1" s="216"/>
      <c r="GGO1" s="217"/>
      <c r="GGP1" s="217"/>
      <c r="GGQ1" s="220"/>
      <c r="GGR1" s="216"/>
      <c r="GGS1" s="217"/>
      <c r="GGT1" s="217"/>
      <c r="GGU1" s="220"/>
      <c r="GGV1" s="216"/>
      <c r="GGW1" s="217"/>
      <c r="GGX1" s="217"/>
      <c r="GGY1" s="220"/>
      <c r="GGZ1" s="216"/>
      <c r="GHA1" s="217"/>
      <c r="GHB1" s="217"/>
      <c r="GHC1" s="220"/>
      <c r="GHD1" s="216"/>
      <c r="GHE1" s="217"/>
      <c r="GHF1" s="217"/>
      <c r="GHG1" s="220"/>
      <c r="GHH1" s="216"/>
      <c r="GHI1" s="217"/>
      <c r="GHJ1" s="217"/>
      <c r="GHK1" s="220"/>
      <c r="GHL1" s="216"/>
      <c r="GHM1" s="217"/>
      <c r="GHN1" s="217"/>
      <c r="GHO1" s="220"/>
      <c r="GHP1" s="216"/>
      <c r="GHQ1" s="217"/>
      <c r="GHR1" s="217"/>
      <c r="GHS1" s="220"/>
      <c r="GHT1" s="216"/>
      <c r="GHU1" s="217"/>
      <c r="GHV1" s="217"/>
      <c r="GHW1" s="220"/>
      <c r="GHX1" s="216"/>
      <c r="GHY1" s="217"/>
      <c r="GHZ1" s="217"/>
      <c r="GIA1" s="220"/>
      <c r="GIB1" s="216"/>
      <c r="GIC1" s="217"/>
      <c r="GID1" s="217"/>
      <c r="GIE1" s="220"/>
      <c r="GIF1" s="216"/>
      <c r="GIG1" s="217"/>
      <c r="GIH1" s="217"/>
      <c r="GII1" s="220"/>
      <c r="GIJ1" s="216"/>
      <c r="GIK1" s="217"/>
      <c r="GIL1" s="217"/>
      <c r="GIM1" s="220"/>
      <c r="GIN1" s="216"/>
      <c r="GIO1" s="217"/>
      <c r="GIP1" s="217"/>
      <c r="GIQ1" s="220"/>
      <c r="GIR1" s="216"/>
      <c r="GIS1" s="217"/>
      <c r="GIT1" s="217"/>
      <c r="GIU1" s="220"/>
      <c r="GIV1" s="216"/>
      <c r="GIW1" s="217"/>
      <c r="GIX1" s="217"/>
      <c r="GIY1" s="220"/>
      <c r="GIZ1" s="216"/>
      <c r="GJA1" s="217"/>
      <c r="GJB1" s="217"/>
      <c r="GJC1" s="220"/>
      <c r="GJD1" s="216"/>
      <c r="GJE1" s="217"/>
      <c r="GJF1" s="217"/>
      <c r="GJG1" s="220"/>
      <c r="GJH1" s="216"/>
      <c r="GJI1" s="217"/>
      <c r="GJJ1" s="217"/>
      <c r="GJK1" s="220"/>
      <c r="GJL1" s="216"/>
      <c r="GJM1" s="217"/>
      <c r="GJN1" s="217"/>
      <c r="GJO1" s="220"/>
      <c r="GJP1" s="216"/>
      <c r="GJQ1" s="217"/>
      <c r="GJR1" s="217"/>
      <c r="GJS1" s="220"/>
      <c r="GJT1" s="216"/>
      <c r="GJU1" s="217"/>
      <c r="GJV1" s="217"/>
      <c r="GJW1" s="220"/>
      <c r="GJX1" s="216"/>
      <c r="GJY1" s="217"/>
      <c r="GJZ1" s="217"/>
      <c r="GKA1" s="220"/>
      <c r="GKB1" s="216"/>
      <c r="GKC1" s="217"/>
      <c r="GKD1" s="217"/>
      <c r="GKE1" s="220"/>
      <c r="GKF1" s="216"/>
      <c r="GKG1" s="217"/>
      <c r="GKH1" s="217"/>
      <c r="GKI1" s="220"/>
      <c r="GKJ1" s="216"/>
      <c r="GKK1" s="217"/>
      <c r="GKL1" s="217"/>
      <c r="GKM1" s="220"/>
      <c r="GKN1" s="216"/>
      <c r="GKO1" s="217"/>
      <c r="GKP1" s="217"/>
      <c r="GKQ1" s="220"/>
      <c r="GKR1" s="216"/>
      <c r="GKS1" s="217"/>
      <c r="GKT1" s="217"/>
      <c r="GKU1" s="220"/>
      <c r="GKV1" s="216"/>
      <c r="GKW1" s="217"/>
      <c r="GKX1" s="217"/>
      <c r="GKY1" s="220"/>
      <c r="GKZ1" s="216"/>
      <c r="GLA1" s="217"/>
      <c r="GLB1" s="217"/>
      <c r="GLC1" s="220"/>
      <c r="GLD1" s="216"/>
      <c r="GLE1" s="217"/>
      <c r="GLF1" s="217"/>
      <c r="GLG1" s="220"/>
      <c r="GLH1" s="216"/>
      <c r="GLI1" s="217"/>
      <c r="GLJ1" s="217"/>
      <c r="GLK1" s="220"/>
      <c r="GLL1" s="216"/>
      <c r="GLM1" s="217"/>
      <c r="GLN1" s="217"/>
      <c r="GLO1" s="220"/>
      <c r="GLP1" s="216"/>
      <c r="GLQ1" s="217"/>
      <c r="GLR1" s="217"/>
      <c r="GLS1" s="220"/>
      <c r="GLT1" s="216"/>
      <c r="GLU1" s="217"/>
      <c r="GLV1" s="217"/>
      <c r="GLW1" s="220"/>
      <c r="GLX1" s="216"/>
      <c r="GLY1" s="217"/>
      <c r="GLZ1" s="217"/>
      <c r="GMA1" s="220"/>
      <c r="GMB1" s="216"/>
      <c r="GMC1" s="217"/>
      <c r="GMD1" s="217"/>
      <c r="GME1" s="220"/>
      <c r="GMF1" s="216"/>
      <c r="GMG1" s="217"/>
      <c r="GMH1" s="217"/>
      <c r="GMI1" s="220"/>
      <c r="GMJ1" s="216"/>
      <c r="GMK1" s="217"/>
      <c r="GML1" s="217"/>
      <c r="GMM1" s="220"/>
      <c r="GMN1" s="216"/>
      <c r="GMO1" s="217"/>
      <c r="GMP1" s="217"/>
      <c r="GMQ1" s="220"/>
      <c r="GMR1" s="216"/>
      <c r="GMS1" s="217"/>
      <c r="GMT1" s="217"/>
      <c r="GMU1" s="220"/>
      <c r="GMV1" s="216"/>
      <c r="GMW1" s="217"/>
      <c r="GMX1" s="217"/>
      <c r="GMY1" s="220"/>
      <c r="GMZ1" s="216"/>
      <c r="GNA1" s="217"/>
      <c r="GNB1" s="217"/>
      <c r="GNC1" s="220"/>
      <c r="GND1" s="216"/>
      <c r="GNE1" s="217"/>
      <c r="GNF1" s="217"/>
      <c r="GNG1" s="220"/>
      <c r="GNH1" s="216"/>
      <c r="GNI1" s="217"/>
      <c r="GNJ1" s="217"/>
      <c r="GNK1" s="220"/>
      <c r="GNL1" s="216"/>
      <c r="GNM1" s="217"/>
      <c r="GNN1" s="217"/>
      <c r="GNO1" s="220"/>
      <c r="GNP1" s="216"/>
      <c r="GNQ1" s="217"/>
      <c r="GNR1" s="217"/>
      <c r="GNS1" s="220"/>
      <c r="GNT1" s="216"/>
      <c r="GNU1" s="217"/>
      <c r="GNV1" s="217"/>
      <c r="GNW1" s="220"/>
      <c r="GNX1" s="216"/>
      <c r="GNY1" s="217"/>
      <c r="GNZ1" s="217"/>
      <c r="GOA1" s="220"/>
      <c r="GOB1" s="216"/>
      <c r="GOC1" s="217"/>
      <c r="GOD1" s="217"/>
      <c r="GOE1" s="220"/>
      <c r="GOF1" s="216"/>
      <c r="GOG1" s="217"/>
      <c r="GOH1" s="217"/>
      <c r="GOI1" s="220"/>
      <c r="GOJ1" s="216"/>
      <c r="GOK1" s="217"/>
      <c r="GOL1" s="217"/>
      <c r="GOM1" s="220"/>
      <c r="GON1" s="216"/>
      <c r="GOO1" s="217"/>
      <c r="GOP1" s="217"/>
      <c r="GOQ1" s="220"/>
      <c r="GOR1" s="216"/>
      <c r="GOS1" s="217"/>
      <c r="GOT1" s="217"/>
      <c r="GOU1" s="220"/>
      <c r="GOV1" s="216"/>
      <c r="GOW1" s="217"/>
      <c r="GOX1" s="217"/>
      <c r="GOY1" s="220"/>
      <c r="GOZ1" s="216"/>
      <c r="GPA1" s="217"/>
      <c r="GPB1" s="217"/>
      <c r="GPC1" s="220"/>
      <c r="GPD1" s="216"/>
      <c r="GPE1" s="217"/>
      <c r="GPF1" s="217"/>
      <c r="GPG1" s="220"/>
      <c r="GPH1" s="216"/>
      <c r="GPI1" s="217"/>
      <c r="GPJ1" s="217"/>
      <c r="GPK1" s="220"/>
      <c r="GPL1" s="216"/>
      <c r="GPM1" s="217"/>
      <c r="GPN1" s="217"/>
      <c r="GPO1" s="220"/>
      <c r="GPP1" s="216"/>
      <c r="GPQ1" s="217"/>
      <c r="GPR1" s="217"/>
      <c r="GPS1" s="220"/>
      <c r="GPT1" s="216"/>
      <c r="GPU1" s="217"/>
      <c r="GPV1" s="217"/>
      <c r="GPW1" s="220"/>
      <c r="GPX1" s="216"/>
      <c r="GPY1" s="217"/>
      <c r="GPZ1" s="217"/>
      <c r="GQA1" s="220"/>
      <c r="GQB1" s="216"/>
      <c r="GQC1" s="217"/>
      <c r="GQD1" s="217"/>
      <c r="GQE1" s="220"/>
      <c r="GQF1" s="216"/>
      <c r="GQG1" s="217"/>
      <c r="GQH1" s="217"/>
      <c r="GQI1" s="220"/>
      <c r="GQJ1" s="216"/>
      <c r="GQK1" s="217"/>
      <c r="GQL1" s="217"/>
      <c r="GQM1" s="220"/>
      <c r="GQN1" s="216"/>
      <c r="GQO1" s="217"/>
      <c r="GQP1" s="217"/>
      <c r="GQQ1" s="220"/>
      <c r="GQR1" s="216"/>
      <c r="GQS1" s="217"/>
      <c r="GQT1" s="217"/>
      <c r="GQU1" s="220"/>
      <c r="GQV1" s="216"/>
      <c r="GQW1" s="217"/>
      <c r="GQX1" s="217"/>
      <c r="GQY1" s="220"/>
      <c r="GQZ1" s="216"/>
      <c r="GRA1" s="217"/>
      <c r="GRB1" s="217"/>
      <c r="GRC1" s="220"/>
      <c r="GRD1" s="216"/>
      <c r="GRE1" s="217"/>
      <c r="GRF1" s="217"/>
      <c r="GRG1" s="220"/>
      <c r="GRH1" s="216"/>
      <c r="GRI1" s="217"/>
      <c r="GRJ1" s="217"/>
      <c r="GRK1" s="220"/>
      <c r="GRL1" s="216"/>
      <c r="GRM1" s="217"/>
      <c r="GRN1" s="217"/>
      <c r="GRO1" s="220"/>
      <c r="GRP1" s="216"/>
      <c r="GRQ1" s="217"/>
      <c r="GRR1" s="217"/>
      <c r="GRS1" s="220"/>
      <c r="GRT1" s="216"/>
      <c r="GRU1" s="217"/>
      <c r="GRV1" s="217"/>
      <c r="GRW1" s="220"/>
      <c r="GRX1" s="216"/>
      <c r="GRY1" s="217"/>
      <c r="GRZ1" s="217"/>
      <c r="GSA1" s="220"/>
      <c r="GSB1" s="216"/>
      <c r="GSC1" s="217"/>
      <c r="GSD1" s="217"/>
      <c r="GSE1" s="220"/>
      <c r="GSF1" s="216"/>
      <c r="GSG1" s="217"/>
      <c r="GSH1" s="217"/>
      <c r="GSI1" s="220"/>
      <c r="GSJ1" s="216"/>
      <c r="GSK1" s="217"/>
      <c r="GSL1" s="217"/>
      <c r="GSM1" s="220"/>
      <c r="GSN1" s="216"/>
      <c r="GSO1" s="217"/>
      <c r="GSP1" s="217"/>
      <c r="GSQ1" s="220"/>
      <c r="GSR1" s="216"/>
      <c r="GSS1" s="217"/>
      <c r="GST1" s="217"/>
      <c r="GSU1" s="220"/>
      <c r="GSV1" s="216"/>
      <c r="GSW1" s="217"/>
      <c r="GSX1" s="217"/>
      <c r="GSY1" s="220"/>
      <c r="GSZ1" s="216"/>
      <c r="GTA1" s="217"/>
      <c r="GTB1" s="217"/>
      <c r="GTC1" s="220"/>
      <c r="GTD1" s="216"/>
      <c r="GTE1" s="217"/>
      <c r="GTF1" s="217"/>
      <c r="GTG1" s="220"/>
      <c r="GTH1" s="216"/>
      <c r="GTI1" s="217"/>
      <c r="GTJ1" s="217"/>
      <c r="GTK1" s="220"/>
      <c r="GTL1" s="216"/>
      <c r="GTM1" s="217"/>
      <c r="GTN1" s="217"/>
      <c r="GTO1" s="220"/>
      <c r="GTP1" s="216"/>
      <c r="GTQ1" s="217"/>
      <c r="GTR1" s="217"/>
      <c r="GTS1" s="220"/>
      <c r="GTT1" s="216"/>
      <c r="GTU1" s="217"/>
      <c r="GTV1" s="217"/>
      <c r="GTW1" s="220"/>
      <c r="GTX1" s="216"/>
      <c r="GTY1" s="217"/>
      <c r="GTZ1" s="217"/>
      <c r="GUA1" s="220"/>
      <c r="GUB1" s="216"/>
      <c r="GUC1" s="217"/>
      <c r="GUD1" s="217"/>
      <c r="GUE1" s="220"/>
      <c r="GUF1" s="216"/>
      <c r="GUG1" s="217"/>
      <c r="GUH1" s="217"/>
      <c r="GUI1" s="220"/>
      <c r="GUJ1" s="216"/>
      <c r="GUK1" s="217"/>
      <c r="GUL1" s="217"/>
      <c r="GUM1" s="220"/>
      <c r="GUN1" s="216"/>
      <c r="GUO1" s="217"/>
      <c r="GUP1" s="217"/>
      <c r="GUQ1" s="220"/>
      <c r="GUR1" s="216"/>
      <c r="GUS1" s="217"/>
      <c r="GUT1" s="217"/>
      <c r="GUU1" s="220"/>
      <c r="GUV1" s="216"/>
      <c r="GUW1" s="217"/>
      <c r="GUX1" s="217"/>
      <c r="GUY1" s="220"/>
      <c r="GUZ1" s="216"/>
      <c r="GVA1" s="217"/>
      <c r="GVB1" s="217"/>
      <c r="GVC1" s="220"/>
      <c r="GVD1" s="216"/>
      <c r="GVE1" s="217"/>
      <c r="GVF1" s="217"/>
      <c r="GVG1" s="220"/>
      <c r="GVH1" s="216"/>
      <c r="GVI1" s="217"/>
      <c r="GVJ1" s="217"/>
      <c r="GVK1" s="220"/>
      <c r="GVL1" s="216"/>
      <c r="GVM1" s="217"/>
      <c r="GVN1" s="217"/>
      <c r="GVO1" s="220"/>
      <c r="GVP1" s="216"/>
      <c r="GVQ1" s="217"/>
      <c r="GVR1" s="217"/>
      <c r="GVS1" s="220"/>
      <c r="GVT1" s="216"/>
      <c r="GVU1" s="217"/>
      <c r="GVV1" s="217"/>
      <c r="GVW1" s="220"/>
      <c r="GVX1" s="216"/>
      <c r="GVY1" s="217"/>
      <c r="GVZ1" s="217"/>
      <c r="GWA1" s="220"/>
      <c r="GWB1" s="216"/>
      <c r="GWC1" s="217"/>
      <c r="GWD1" s="217"/>
      <c r="GWE1" s="220"/>
      <c r="GWF1" s="216"/>
      <c r="GWG1" s="217"/>
      <c r="GWH1" s="217"/>
      <c r="GWI1" s="220"/>
      <c r="GWJ1" s="216"/>
      <c r="GWK1" s="217"/>
      <c r="GWL1" s="217"/>
      <c r="GWM1" s="220"/>
      <c r="GWN1" s="216"/>
      <c r="GWO1" s="217"/>
      <c r="GWP1" s="217"/>
      <c r="GWQ1" s="220"/>
      <c r="GWR1" s="216"/>
      <c r="GWS1" s="217"/>
      <c r="GWT1" s="217"/>
      <c r="GWU1" s="220"/>
      <c r="GWV1" s="216"/>
      <c r="GWW1" s="217"/>
      <c r="GWX1" s="217"/>
      <c r="GWY1" s="220"/>
      <c r="GWZ1" s="216"/>
      <c r="GXA1" s="217"/>
      <c r="GXB1" s="217"/>
      <c r="GXC1" s="220"/>
      <c r="GXD1" s="216"/>
      <c r="GXE1" s="217"/>
      <c r="GXF1" s="217"/>
      <c r="GXG1" s="220"/>
      <c r="GXH1" s="216"/>
      <c r="GXI1" s="217"/>
      <c r="GXJ1" s="217"/>
      <c r="GXK1" s="220"/>
      <c r="GXL1" s="216"/>
      <c r="GXM1" s="217"/>
      <c r="GXN1" s="217"/>
      <c r="GXO1" s="220"/>
      <c r="GXP1" s="216"/>
      <c r="GXQ1" s="217"/>
      <c r="GXR1" s="217"/>
      <c r="GXS1" s="220"/>
      <c r="GXT1" s="216"/>
      <c r="GXU1" s="217"/>
      <c r="GXV1" s="217"/>
      <c r="GXW1" s="220"/>
      <c r="GXX1" s="216"/>
      <c r="GXY1" s="217"/>
      <c r="GXZ1" s="217"/>
      <c r="GYA1" s="220"/>
      <c r="GYB1" s="216"/>
      <c r="GYC1" s="217"/>
      <c r="GYD1" s="217"/>
      <c r="GYE1" s="220"/>
      <c r="GYF1" s="216"/>
      <c r="GYG1" s="217"/>
      <c r="GYH1" s="217"/>
      <c r="GYI1" s="220"/>
      <c r="GYJ1" s="216"/>
      <c r="GYK1" s="217"/>
      <c r="GYL1" s="217"/>
      <c r="GYM1" s="220"/>
      <c r="GYN1" s="216"/>
      <c r="GYO1" s="217"/>
      <c r="GYP1" s="217"/>
      <c r="GYQ1" s="220"/>
      <c r="GYR1" s="216"/>
      <c r="GYS1" s="217"/>
      <c r="GYT1" s="217"/>
      <c r="GYU1" s="220"/>
      <c r="GYV1" s="216"/>
      <c r="GYW1" s="217"/>
      <c r="GYX1" s="217"/>
      <c r="GYY1" s="220"/>
      <c r="GYZ1" s="216"/>
      <c r="GZA1" s="217"/>
      <c r="GZB1" s="217"/>
      <c r="GZC1" s="220"/>
      <c r="GZD1" s="216"/>
      <c r="GZE1" s="217"/>
      <c r="GZF1" s="217"/>
      <c r="GZG1" s="220"/>
      <c r="GZH1" s="216"/>
      <c r="GZI1" s="217"/>
      <c r="GZJ1" s="217"/>
      <c r="GZK1" s="220"/>
      <c r="GZL1" s="216"/>
      <c r="GZM1" s="217"/>
      <c r="GZN1" s="217"/>
      <c r="GZO1" s="220"/>
      <c r="GZP1" s="216"/>
      <c r="GZQ1" s="217"/>
      <c r="GZR1" s="217"/>
      <c r="GZS1" s="220"/>
      <c r="GZT1" s="216"/>
      <c r="GZU1" s="217"/>
      <c r="GZV1" s="217"/>
      <c r="GZW1" s="220"/>
      <c r="GZX1" s="216"/>
      <c r="GZY1" s="217"/>
      <c r="GZZ1" s="217"/>
      <c r="HAA1" s="220"/>
      <c r="HAB1" s="216"/>
      <c r="HAC1" s="217"/>
      <c r="HAD1" s="217"/>
      <c r="HAE1" s="220"/>
      <c r="HAF1" s="216"/>
      <c r="HAG1" s="217"/>
      <c r="HAH1" s="217"/>
      <c r="HAI1" s="220"/>
      <c r="HAJ1" s="216"/>
      <c r="HAK1" s="217"/>
      <c r="HAL1" s="217"/>
      <c r="HAM1" s="220"/>
      <c r="HAN1" s="216"/>
      <c r="HAO1" s="217"/>
      <c r="HAP1" s="217"/>
      <c r="HAQ1" s="220"/>
      <c r="HAR1" s="216"/>
      <c r="HAS1" s="217"/>
      <c r="HAT1" s="217"/>
      <c r="HAU1" s="220"/>
      <c r="HAV1" s="216"/>
      <c r="HAW1" s="217"/>
      <c r="HAX1" s="217"/>
      <c r="HAY1" s="220"/>
      <c r="HAZ1" s="216"/>
      <c r="HBA1" s="217"/>
      <c r="HBB1" s="217"/>
      <c r="HBC1" s="220"/>
      <c r="HBD1" s="216"/>
      <c r="HBE1" s="217"/>
      <c r="HBF1" s="217"/>
      <c r="HBG1" s="220"/>
      <c r="HBH1" s="216"/>
      <c r="HBI1" s="217"/>
      <c r="HBJ1" s="217"/>
      <c r="HBK1" s="220"/>
      <c r="HBL1" s="216"/>
      <c r="HBM1" s="217"/>
      <c r="HBN1" s="217"/>
      <c r="HBO1" s="220"/>
      <c r="HBP1" s="216"/>
      <c r="HBQ1" s="217"/>
      <c r="HBR1" s="217"/>
      <c r="HBS1" s="220"/>
      <c r="HBT1" s="216"/>
      <c r="HBU1" s="217"/>
      <c r="HBV1" s="217"/>
      <c r="HBW1" s="220"/>
      <c r="HBX1" s="216"/>
      <c r="HBY1" s="217"/>
      <c r="HBZ1" s="217"/>
      <c r="HCA1" s="220"/>
      <c r="HCB1" s="216"/>
      <c r="HCC1" s="217"/>
      <c r="HCD1" s="217"/>
      <c r="HCE1" s="220"/>
      <c r="HCF1" s="216"/>
      <c r="HCG1" s="217"/>
      <c r="HCH1" s="217"/>
      <c r="HCI1" s="220"/>
      <c r="HCJ1" s="216"/>
      <c r="HCK1" s="217"/>
      <c r="HCL1" s="217"/>
      <c r="HCM1" s="220"/>
      <c r="HCN1" s="216"/>
      <c r="HCO1" s="217"/>
      <c r="HCP1" s="217"/>
      <c r="HCQ1" s="220"/>
      <c r="HCR1" s="216"/>
      <c r="HCS1" s="217"/>
      <c r="HCT1" s="217"/>
      <c r="HCU1" s="220"/>
      <c r="HCV1" s="216"/>
      <c r="HCW1" s="217"/>
      <c r="HCX1" s="217"/>
      <c r="HCY1" s="220"/>
      <c r="HCZ1" s="216"/>
      <c r="HDA1" s="217"/>
      <c r="HDB1" s="217"/>
      <c r="HDC1" s="220"/>
      <c r="HDD1" s="216"/>
      <c r="HDE1" s="217"/>
      <c r="HDF1" s="217"/>
      <c r="HDG1" s="220"/>
      <c r="HDH1" s="216"/>
      <c r="HDI1" s="217"/>
      <c r="HDJ1" s="217"/>
      <c r="HDK1" s="220"/>
      <c r="HDL1" s="216"/>
      <c r="HDM1" s="217"/>
      <c r="HDN1" s="217"/>
      <c r="HDO1" s="220"/>
      <c r="HDP1" s="216"/>
      <c r="HDQ1" s="217"/>
      <c r="HDR1" s="217"/>
      <c r="HDS1" s="220"/>
      <c r="HDT1" s="216"/>
      <c r="HDU1" s="217"/>
      <c r="HDV1" s="217"/>
      <c r="HDW1" s="220"/>
      <c r="HDX1" s="216"/>
      <c r="HDY1" s="217"/>
      <c r="HDZ1" s="217"/>
      <c r="HEA1" s="220"/>
      <c r="HEB1" s="216"/>
      <c r="HEC1" s="217"/>
      <c r="HED1" s="217"/>
      <c r="HEE1" s="220"/>
      <c r="HEF1" s="216"/>
      <c r="HEG1" s="217"/>
      <c r="HEH1" s="217"/>
      <c r="HEI1" s="220"/>
      <c r="HEJ1" s="216"/>
      <c r="HEK1" s="217"/>
      <c r="HEL1" s="217"/>
      <c r="HEM1" s="220"/>
      <c r="HEN1" s="216"/>
      <c r="HEO1" s="217"/>
      <c r="HEP1" s="217"/>
      <c r="HEQ1" s="220"/>
      <c r="HER1" s="216"/>
      <c r="HES1" s="217"/>
      <c r="HET1" s="217"/>
      <c r="HEU1" s="220"/>
      <c r="HEV1" s="216"/>
      <c r="HEW1" s="217"/>
      <c r="HEX1" s="217"/>
      <c r="HEY1" s="220"/>
      <c r="HEZ1" s="216"/>
      <c r="HFA1" s="217"/>
      <c r="HFB1" s="217"/>
      <c r="HFC1" s="220"/>
      <c r="HFD1" s="216"/>
      <c r="HFE1" s="217"/>
      <c r="HFF1" s="217"/>
      <c r="HFG1" s="220"/>
      <c r="HFH1" s="216"/>
      <c r="HFI1" s="217"/>
      <c r="HFJ1" s="217"/>
      <c r="HFK1" s="220"/>
      <c r="HFL1" s="216"/>
      <c r="HFM1" s="217"/>
      <c r="HFN1" s="217"/>
      <c r="HFO1" s="220"/>
      <c r="HFP1" s="216"/>
      <c r="HFQ1" s="217"/>
      <c r="HFR1" s="217"/>
      <c r="HFS1" s="220"/>
      <c r="HFT1" s="216"/>
      <c r="HFU1" s="217"/>
      <c r="HFV1" s="217"/>
      <c r="HFW1" s="220"/>
      <c r="HFX1" s="216"/>
      <c r="HFY1" s="217"/>
      <c r="HFZ1" s="217"/>
      <c r="HGA1" s="220"/>
      <c r="HGB1" s="216"/>
      <c r="HGC1" s="217"/>
      <c r="HGD1" s="217"/>
      <c r="HGE1" s="220"/>
      <c r="HGF1" s="216"/>
      <c r="HGG1" s="217"/>
      <c r="HGH1" s="217"/>
      <c r="HGI1" s="220"/>
      <c r="HGJ1" s="216"/>
      <c r="HGK1" s="217"/>
      <c r="HGL1" s="217"/>
      <c r="HGM1" s="220"/>
      <c r="HGN1" s="216"/>
      <c r="HGO1" s="217"/>
      <c r="HGP1" s="217"/>
      <c r="HGQ1" s="220"/>
      <c r="HGR1" s="216"/>
      <c r="HGS1" s="217"/>
      <c r="HGT1" s="217"/>
      <c r="HGU1" s="220"/>
      <c r="HGV1" s="216"/>
      <c r="HGW1" s="217"/>
      <c r="HGX1" s="217"/>
      <c r="HGY1" s="220"/>
      <c r="HGZ1" s="216"/>
      <c r="HHA1" s="217"/>
      <c r="HHB1" s="217"/>
      <c r="HHC1" s="220"/>
      <c r="HHD1" s="216"/>
      <c r="HHE1" s="217"/>
      <c r="HHF1" s="217"/>
      <c r="HHG1" s="220"/>
      <c r="HHH1" s="216"/>
      <c r="HHI1" s="217"/>
      <c r="HHJ1" s="217"/>
      <c r="HHK1" s="220"/>
      <c r="HHL1" s="216"/>
      <c r="HHM1" s="217"/>
      <c r="HHN1" s="217"/>
      <c r="HHO1" s="220"/>
      <c r="HHP1" s="216"/>
      <c r="HHQ1" s="217"/>
      <c r="HHR1" s="217"/>
      <c r="HHS1" s="220"/>
      <c r="HHT1" s="216"/>
      <c r="HHU1" s="217"/>
      <c r="HHV1" s="217"/>
      <c r="HHW1" s="220"/>
      <c r="HHX1" s="216"/>
      <c r="HHY1" s="217"/>
      <c r="HHZ1" s="217"/>
      <c r="HIA1" s="220"/>
      <c r="HIB1" s="216"/>
      <c r="HIC1" s="217"/>
      <c r="HID1" s="217"/>
      <c r="HIE1" s="220"/>
      <c r="HIF1" s="216"/>
      <c r="HIG1" s="217"/>
      <c r="HIH1" s="217"/>
      <c r="HII1" s="220"/>
      <c r="HIJ1" s="216"/>
      <c r="HIK1" s="217"/>
      <c r="HIL1" s="217"/>
      <c r="HIM1" s="220"/>
      <c r="HIN1" s="216"/>
      <c r="HIO1" s="217"/>
      <c r="HIP1" s="217"/>
      <c r="HIQ1" s="220"/>
      <c r="HIR1" s="216"/>
      <c r="HIS1" s="217"/>
      <c r="HIT1" s="217"/>
      <c r="HIU1" s="220"/>
      <c r="HIV1" s="216"/>
      <c r="HIW1" s="217"/>
      <c r="HIX1" s="217"/>
      <c r="HIY1" s="220"/>
      <c r="HIZ1" s="216"/>
      <c r="HJA1" s="217"/>
      <c r="HJB1" s="217"/>
      <c r="HJC1" s="220"/>
      <c r="HJD1" s="216"/>
      <c r="HJE1" s="217"/>
      <c r="HJF1" s="217"/>
      <c r="HJG1" s="220"/>
      <c r="HJH1" s="216"/>
      <c r="HJI1" s="217"/>
      <c r="HJJ1" s="217"/>
      <c r="HJK1" s="220"/>
      <c r="HJL1" s="216"/>
      <c r="HJM1" s="217"/>
      <c r="HJN1" s="217"/>
      <c r="HJO1" s="220"/>
      <c r="HJP1" s="216"/>
      <c r="HJQ1" s="217"/>
      <c r="HJR1" s="217"/>
      <c r="HJS1" s="220"/>
      <c r="HJT1" s="216"/>
      <c r="HJU1" s="217"/>
      <c r="HJV1" s="217"/>
      <c r="HJW1" s="220"/>
      <c r="HJX1" s="216"/>
      <c r="HJY1" s="217"/>
      <c r="HJZ1" s="217"/>
      <c r="HKA1" s="220"/>
      <c r="HKB1" s="216"/>
      <c r="HKC1" s="217"/>
      <c r="HKD1" s="217"/>
      <c r="HKE1" s="220"/>
      <c r="HKF1" s="216"/>
      <c r="HKG1" s="217"/>
      <c r="HKH1" s="217"/>
      <c r="HKI1" s="220"/>
      <c r="HKJ1" s="216"/>
      <c r="HKK1" s="217"/>
      <c r="HKL1" s="217"/>
      <c r="HKM1" s="220"/>
      <c r="HKN1" s="216"/>
      <c r="HKO1" s="217"/>
      <c r="HKP1" s="217"/>
      <c r="HKQ1" s="220"/>
      <c r="HKR1" s="216"/>
      <c r="HKS1" s="217"/>
      <c r="HKT1" s="217"/>
      <c r="HKU1" s="220"/>
      <c r="HKV1" s="216"/>
      <c r="HKW1" s="217"/>
      <c r="HKX1" s="217"/>
      <c r="HKY1" s="220"/>
      <c r="HKZ1" s="216"/>
      <c r="HLA1" s="217"/>
      <c r="HLB1" s="217"/>
      <c r="HLC1" s="220"/>
      <c r="HLD1" s="216"/>
      <c r="HLE1" s="217"/>
      <c r="HLF1" s="217"/>
      <c r="HLG1" s="220"/>
      <c r="HLH1" s="216"/>
      <c r="HLI1" s="217"/>
      <c r="HLJ1" s="217"/>
      <c r="HLK1" s="220"/>
      <c r="HLL1" s="216"/>
      <c r="HLM1" s="217"/>
      <c r="HLN1" s="217"/>
      <c r="HLO1" s="220"/>
      <c r="HLP1" s="216"/>
      <c r="HLQ1" s="217"/>
      <c r="HLR1" s="217"/>
      <c r="HLS1" s="220"/>
      <c r="HLT1" s="216"/>
      <c r="HLU1" s="217"/>
      <c r="HLV1" s="217"/>
      <c r="HLW1" s="220"/>
      <c r="HLX1" s="216"/>
      <c r="HLY1" s="217"/>
      <c r="HLZ1" s="217"/>
      <c r="HMA1" s="220"/>
      <c r="HMB1" s="216"/>
      <c r="HMC1" s="217"/>
      <c r="HMD1" s="217"/>
      <c r="HME1" s="220"/>
      <c r="HMF1" s="216"/>
      <c r="HMG1" s="217"/>
      <c r="HMH1" s="217"/>
      <c r="HMI1" s="220"/>
      <c r="HMJ1" s="216"/>
      <c r="HMK1" s="217"/>
      <c r="HML1" s="217"/>
      <c r="HMM1" s="220"/>
      <c r="HMN1" s="216"/>
      <c r="HMO1" s="217"/>
      <c r="HMP1" s="217"/>
      <c r="HMQ1" s="220"/>
      <c r="HMR1" s="216"/>
      <c r="HMS1" s="217"/>
      <c r="HMT1" s="217"/>
      <c r="HMU1" s="220"/>
      <c r="HMV1" s="216"/>
      <c r="HMW1" s="217"/>
      <c r="HMX1" s="217"/>
      <c r="HMY1" s="220"/>
      <c r="HMZ1" s="216"/>
      <c r="HNA1" s="217"/>
      <c r="HNB1" s="217"/>
      <c r="HNC1" s="220"/>
      <c r="HND1" s="216"/>
      <c r="HNE1" s="217"/>
      <c r="HNF1" s="217"/>
      <c r="HNG1" s="220"/>
      <c r="HNH1" s="216"/>
      <c r="HNI1" s="217"/>
      <c r="HNJ1" s="217"/>
      <c r="HNK1" s="220"/>
      <c r="HNL1" s="216"/>
      <c r="HNM1" s="217"/>
      <c r="HNN1" s="217"/>
      <c r="HNO1" s="220"/>
      <c r="HNP1" s="216"/>
      <c r="HNQ1" s="217"/>
      <c r="HNR1" s="217"/>
      <c r="HNS1" s="220"/>
      <c r="HNT1" s="216"/>
      <c r="HNU1" s="217"/>
      <c r="HNV1" s="217"/>
      <c r="HNW1" s="220"/>
      <c r="HNX1" s="216"/>
      <c r="HNY1" s="217"/>
      <c r="HNZ1" s="217"/>
      <c r="HOA1" s="220"/>
      <c r="HOB1" s="216"/>
      <c r="HOC1" s="217"/>
      <c r="HOD1" s="217"/>
      <c r="HOE1" s="220"/>
      <c r="HOF1" s="216"/>
      <c r="HOG1" s="217"/>
      <c r="HOH1" s="217"/>
      <c r="HOI1" s="220"/>
      <c r="HOJ1" s="216"/>
      <c r="HOK1" s="217"/>
      <c r="HOL1" s="217"/>
      <c r="HOM1" s="220"/>
      <c r="HON1" s="216"/>
      <c r="HOO1" s="217"/>
      <c r="HOP1" s="217"/>
      <c r="HOQ1" s="220"/>
      <c r="HOR1" s="216"/>
      <c r="HOS1" s="217"/>
      <c r="HOT1" s="217"/>
      <c r="HOU1" s="220"/>
      <c r="HOV1" s="216"/>
      <c r="HOW1" s="217"/>
      <c r="HOX1" s="217"/>
      <c r="HOY1" s="220"/>
      <c r="HOZ1" s="216"/>
      <c r="HPA1" s="217"/>
      <c r="HPB1" s="217"/>
      <c r="HPC1" s="220"/>
      <c r="HPD1" s="216"/>
      <c r="HPE1" s="217"/>
      <c r="HPF1" s="217"/>
      <c r="HPG1" s="220"/>
      <c r="HPH1" s="216"/>
      <c r="HPI1" s="217"/>
      <c r="HPJ1" s="217"/>
      <c r="HPK1" s="220"/>
      <c r="HPL1" s="216"/>
      <c r="HPM1" s="217"/>
      <c r="HPN1" s="217"/>
      <c r="HPO1" s="220"/>
      <c r="HPP1" s="216"/>
      <c r="HPQ1" s="217"/>
      <c r="HPR1" s="217"/>
      <c r="HPS1" s="220"/>
      <c r="HPT1" s="216"/>
      <c r="HPU1" s="217"/>
      <c r="HPV1" s="217"/>
      <c r="HPW1" s="220"/>
      <c r="HPX1" s="216"/>
      <c r="HPY1" s="217"/>
      <c r="HPZ1" s="217"/>
      <c r="HQA1" s="220"/>
      <c r="HQB1" s="216"/>
      <c r="HQC1" s="217"/>
      <c r="HQD1" s="217"/>
      <c r="HQE1" s="220"/>
      <c r="HQF1" s="216"/>
      <c r="HQG1" s="217"/>
      <c r="HQH1" s="217"/>
      <c r="HQI1" s="220"/>
      <c r="HQJ1" s="216"/>
      <c r="HQK1" s="217"/>
      <c r="HQL1" s="217"/>
      <c r="HQM1" s="220"/>
      <c r="HQN1" s="216"/>
      <c r="HQO1" s="217"/>
      <c r="HQP1" s="217"/>
      <c r="HQQ1" s="220"/>
      <c r="HQR1" s="216"/>
      <c r="HQS1" s="217"/>
      <c r="HQT1" s="217"/>
      <c r="HQU1" s="220"/>
      <c r="HQV1" s="216"/>
      <c r="HQW1" s="217"/>
      <c r="HQX1" s="217"/>
      <c r="HQY1" s="220"/>
      <c r="HQZ1" s="216"/>
      <c r="HRA1" s="217"/>
      <c r="HRB1" s="217"/>
      <c r="HRC1" s="220"/>
      <c r="HRD1" s="216"/>
      <c r="HRE1" s="217"/>
      <c r="HRF1" s="217"/>
      <c r="HRG1" s="220"/>
      <c r="HRH1" s="216"/>
      <c r="HRI1" s="217"/>
      <c r="HRJ1" s="217"/>
      <c r="HRK1" s="220"/>
      <c r="HRL1" s="216"/>
      <c r="HRM1" s="217"/>
      <c r="HRN1" s="217"/>
      <c r="HRO1" s="220"/>
      <c r="HRP1" s="216"/>
      <c r="HRQ1" s="217"/>
      <c r="HRR1" s="217"/>
      <c r="HRS1" s="220"/>
      <c r="HRT1" s="216"/>
      <c r="HRU1" s="217"/>
      <c r="HRV1" s="217"/>
      <c r="HRW1" s="220"/>
      <c r="HRX1" s="216"/>
      <c r="HRY1" s="217"/>
      <c r="HRZ1" s="217"/>
      <c r="HSA1" s="220"/>
      <c r="HSB1" s="216"/>
      <c r="HSC1" s="217"/>
      <c r="HSD1" s="217"/>
      <c r="HSE1" s="220"/>
      <c r="HSF1" s="216"/>
      <c r="HSG1" s="217"/>
      <c r="HSH1" s="217"/>
      <c r="HSI1" s="220"/>
      <c r="HSJ1" s="216"/>
      <c r="HSK1" s="217"/>
      <c r="HSL1" s="217"/>
      <c r="HSM1" s="220"/>
      <c r="HSN1" s="216"/>
      <c r="HSO1" s="217"/>
      <c r="HSP1" s="217"/>
      <c r="HSQ1" s="220"/>
      <c r="HSR1" s="216"/>
      <c r="HSS1" s="217"/>
      <c r="HST1" s="217"/>
      <c r="HSU1" s="220"/>
      <c r="HSV1" s="216"/>
      <c r="HSW1" s="217"/>
      <c r="HSX1" s="217"/>
      <c r="HSY1" s="220"/>
      <c r="HSZ1" s="216"/>
      <c r="HTA1" s="217"/>
      <c r="HTB1" s="217"/>
      <c r="HTC1" s="220"/>
      <c r="HTD1" s="216"/>
      <c r="HTE1" s="217"/>
      <c r="HTF1" s="217"/>
      <c r="HTG1" s="220"/>
      <c r="HTH1" s="216"/>
      <c r="HTI1" s="217"/>
      <c r="HTJ1" s="217"/>
      <c r="HTK1" s="220"/>
      <c r="HTL1" s="216"/>
      <c r="HTM1" s="217"/>
      <c r="HTN1" s="217"/>
      <c r="HTO1" s="220"/>
      <c r="HTP1" s="216"/>
      <c r="HTQ1" s="217"/>
      <c r="HTR1" s="217"/>
      <c r="HTS1" s="220"/>
      <c r="HTT1" s="216"/>
      <c r="HTU1" s="217"/>
      <c r="HTV1" s="217"/>
      <c r="HTW1" s="220"/>
      <c r="HTX1" s="216"/>
      <c r="HTY1" s="217"/>
      <c r="HTZ1" s="217"/>
      <c r="HUA1" s="220"/>
      <c r="HUB1" s="216"/>
      <c r="HUC1" s="217"/>
      <c r="HUD1" s="217"/>
      <c r="HUE1" s="220"/>
      <c r="HUF1" s="216"/>
      <c r="HUG1" s="217"/>
      <c r="HUH1" s="217"/>
      <c r="HUI1" s="220"/>
      <c r="HUJ1" s="216"/>
      <c r="HUK1" s="217"/>
      <c r="HUL1" s="217"/>
      <c r="HUM1" s="220"/>
      <c r="HUN1" s="216"/>
      <c r="HUO1" s="217"/>
      <c r="HUP1" s="217"/>
      <c r="HUQ1" s="220"/>
      <c r="HUR1" s="216"/>
      <c r="HUS1" s="217"/>
      <c r="HUT1" s="217"/>
      <c r="HUU1" s="220"/>
      <c r="HUV1" s="216"/>
      <c r="HUW1" s="217"/>
      <c r="HUX1" s="217"/>
      <c r="HUY1" s="220"/>
      <c r="HUZ1" s="216"/>
      <c r="HVA1" s="217"/>
      <c r="HVB1" s="217"/>
      <c r="HVC1" s="220"/>
      <c r="HVD1" s="216"/>
      <c r="HVE1" s="217"/>
      <c r="HVF1" s="217"/>
      <c r="HVG1" s="220"/>
      <c r="HVH1" s="216"/>
      <c r="HVI1" s="217"/>
      <c r="HVJ1" s="217"/>
      <c r="HVK1" s="220"/>
      <c r="HVL1" s="216"/>
      <c r="HVM1" s="217"/>
      <c r="HVN1" s="217"/>
      <c r="HVO1" s="220"/>
      <c r="HVP1" s="216"/>
      <c r="HVQ1" s="217"/>
      <c r="HVR1" s="217"/>
      <c r="HVS1" s="220"/>
      <c r="HVT1" s="216"/>
      <c r="HVU1" s="217"/>
      <c r="HVV1" s="217"/>
      <c r="HVW1" s="220"/>
      <c r="HVX1" s="216"/>
      <c r="HVY1" s="217"/>
      <c r="HVZ1" s="217"/>
      <c r="HWA1" s="220"/>
      <c r="HWB1" s="216"/>
      <c r="HWC1" s="217"/>
      <c r="HWD1" s="217"/>
      <c r="HWE1" s="220"/>
      <c r="HWF1" s="216"/>
      <c r="HWG1" s="217"/>
      <c r="HWH1" s="217"/>
      <c r="HWI1" s="220"/>
      <c r="HWJ1" s="216"/>
      <c r="HWK1" s="217"/>
      <c r="HWL1" s="217"/>
      <c r="HWM1" s="220"/>
      <c r="HWN1" s="216"/>
      <c r="HWO1" s="217"/>
      <c r="HWP1" s="217"/>
      <c r="HWQ1" s="220"/>
      <c r="HWR1" s="216"/>
      <c r="HWS1" s="217"/>
      <c r="HWT1" s="217"/>
      <c r="HWU1" s="220"/>
      <c r="HWV1" s="216"/>
      <c r="HWW1" s="217"/>
      <c r="HWX1" s="217"/>
      <c r="HWY1" s="220"/>
      <c r="HWZ1" s="216"/>
      <c r="HXA1" s="217"/>
      <c r="HXB1" s="217"/>
      <c r="HXC1" s="220"/>
      <c r="HXD1" s="216"/>
      <c r="HXE1" s="217"/>
      <c r="HXF1" s="217"/>
      <c r="HXG1" s="220"/>
      <c r="HXH1" s="216"/>
      <c r="HXI1" s="217"/>
      <c r="HXJ1" s="217"/>
      <c r="HXK1" s="220"/>
      <c r="HXL1" s="216"/>
      <c r="HXM1" s="217"/>
      <c r="HXN1" s="217"/>
      <c r="HXO1" s="220"/>
      <c r="HXP1" s="216"/>
      <c r="HXQ1" s="217"/>
      <c r="HXR1" s="217"/>
      <c r="HXS1" s="220"/>
      <c r="HXT1" s="216"/>
      <c r="HXU1" s="217"/>
      <c r="HXV1" s="217"/>
      <c r="HXW1" s="220"/>
      <c r="HXX1" s="216"/>
      <c r="HXY1" s="217"/>
      <c r="HXZ1" s="217"/>
      <c r="HYA1" s="220"/>
      <c r="HYB1" s="216"/>
      <c r="HYC1" s="217"/>
      <c r="HYD1" s="217"/>
      <c r="HYE1" s="220"/>
      <c r="HYF1" s="216"/>
      <c r="HYG1" s="217"/>
      <c r="HYH1" s="217"/>
      <c r="HYI1" s="220"/>
      <c r="HYJ1" s="216"/>
      <c r="HYK1" s="217"/>
      <c r="HYL1" s="217"/>
      <c r="HYM1" s="220"/>
      <c r="HYN1" s="216"/>
      <c r="HYO1" s="217"/>
      <c r="HYP1" s="217"/>
      <c r="HYQ1" s="220"/>
      <c r="HYR1" s="216"/>
      <c r="HYS1" s="217"/>
      <c r="HYT1" s="217"/>
      <c r="HYU1" s="220"/>
      <c r="HYV1" s="216"/>
      <c r="HYW1" s="217"/>
      <c r="HYX1" s="217"/>
      <c r="HYY1" s="220"/>
      <c r="HYZ1" s="216"/>
      <c r="HZA1" s="217"/>
      <c r="HZB1" s="217"/>
      <c r="HZC1" s="220"/>
      <c r="HZD1" s="216"/>
      <c r="HZE1" s="217"/>
      <c r="HZF1" s="217"/>
      <c r="HZG1" s="220"/>
      <c r="HZH1" s="216"/>
      <c r="HZI1" s="217"/>
      <c r="HZJ1" s="217"/>
      <c r="HZK1" s="220"/>
      <c r="HZL1" s="216"/>
      <c r="HZM1" s="217"/>
      <c r="HZN1" s="217"/>
      <c r="HZO1" s="220"/>
      <c r="HZP1" s="216"/>
      <c r="HZQ1" s="217"/>
      <c r="HZR1" s="217"/>
      <c r="HZS1" s="220"/>
      <c r="HZT1" s="216"/>
      <c r="HZU1" s="217"/>
      <c r="HZV1" s="217"/>
      <c r="HZW1" s="220"/>
      <c r="HZX1" s="216"/>
      <c r="HZY1" s="217"/>
      <c r="HZZ1" s="217"/>
      <c r="IAA1" s="220"/>
      <c r="IAB1" s="216"/>
      <c r="IAC1" s="217"/>
      <c r="IAD1" s="217"/>
      <c r="IAE1" s="220"/>
      <c r="IAF1" s="216"/>
      <c r="IAG1" s="217"/>
      <c r="IAH1" s="217"/>
      <c r="IAI1" s="220"/>
      <c r="IAJ1" s="216"/>
      <c r="IAK1" s="217"/>
      <c r="IAL1" s="217"/>
      <c r="IAM1" s="220"/>
      <c r="IAN1" s="216"/>
      <c r="IAO1" s="217"/>
      <c r="IAP1" s="217"/>
      <c r="IAQ1" s="220"/>
      <c r="IAR1" s="216"/>
      <c r="IAS1" s="217"/>
      <c r="IAT1" s="217"/>
      <c r="IAU1" s="220"/>
      <c r="IAV1" s="216"/>
      <c r="IAW1" s="217"/>
      <c r="IAX1" s="217"/>
      <c r="IAY1" s="220"/>
      <c r="IAZ1" s="216"/>
      <c r="IBA1" s="217"/>
      <c r="IBB1" s="217"/>
      <c r="IBC1" s="220"/>
      <c r="IBD1" s="216"/>
      <c r="IBE1" s="217"/>
      <c r="IBF1" s="217"/>
      <c r="IBG1" s="220"/>
      <c r="IBH1" s="216"/>
      <c r="IBI1" s="217"/>
      <c r="IBJ1" s="217"/>
      <c r="IBK1" s="220"/>
      <c r="IBL1" s="216"/>
      <c r="IBM1" s="217"/>
      <c r="IBN1" s="217"/>
      <c r="IBO1" s="220"/>
      <c r="IBP1" s="216"/>
      <c r="IBQ1" s="217"/>
      <c r="IBR1" s="217"/>
      <c r="IBS1" s="220"/>
      <c r="IBT1" s="216"/>
      <c r="IBU1" s="217"/>
      <c r="IBV1" s="217"/>
      <c r="IBW1" s="220"/>
      <c r="IBX1" s="216"/>
      <c r="IBY1" s="217"/>
      <c r="IBZ1" s="217"/>
      <c r="ICA1" s="220"/>
      <c r="ICB1" s="216"/>
      <c r="ICC1" s="217"/>
      <c r="ICD1" s="217"/>
      <c r="ICE1" s="220"/>
      <c r="ICF1" s="216"/>
      <c r="ICG1" s="217"/>
      <c r="ICH1" s="217"/>
      <c r="ICI1" s="220"/>
      <c r="ICJ1" s="216"/>
      <c r="ICK1" s="217"/>
      <c r="ICL1" s="217"/>
      <c r="ICM1" s="220"/>
      <c r="ICN1" s="216"/>
      <c r="ICO1" s="217"/>
      <c r="ICP1" s="217"/>
      <c r="ICQ1" s="220"/>
      <c r="ICR1" s="216"/>
      <c r="ICS1" s="217"/>
      <c r="ICT1" s="217"/>
      <c r="ICU1" s="220"/>
      <c r="ICV1" s="216"/>
      <c r="ICW1" s="217"/>
      <c r="ICX1" s="217"/>
      <c r="ICY1" s="220"/>
      <c r="ICZ1" s="216"/>
      <c r="IDA1" s="217"/>
      <c r="IDB1" s="217"/>
      <c r="IDC1" s="220"/>
      <c r="IDD1" s="216"/>
      <c r="IDE1" s="217"/>
      <c r="IDF1" s="217"/>
      <c r="IDG1" s="220"/>
      <c r="IDH1" s="216"/>
      <c r="IDI1" s="217"/>
      <c r="IDJ1" s="217"/>
      <c r="IDK1" s="220"/>
      <c r="IDL1" s="216"/>
      <c r="IDM1" s="217"/>
      <c r="IDN1" s="217"/>
      <c r="IDO1" s="220"/>
      <c r="IDP1" s="216"/>
      <c r="IDQ1" s="217"/>
      <c r="IDR1" s="217"/>
      <c r="IDS1" s="220"/>
      <c r="IDT1" s="216"/>
      <c r="IDU1" s="217"/>
      <c r="IDV1" s="217"/>
      <c r="IDW1" s="220"/>
      <c r="IDX1" s="216"/>
      <c r="IDY1" s="217"/>
      <c r="IDZ1" s="217"/>
      <c r="IEA1" s="220"/>
      <c r="IEB1" s="216"/>
      <c r="IEC1" s="217"/>
      <c r="IED1" s="217"/>
      <c r="IEE1" s="220"/>
      <c r="IEF1" s="216"/>
      <c r="IEG1" s="217"/>
      <c r="IEH1" s="217"/>
      <c r="IEI1" s="220"/>
      <c r="IEJ1" s="216"/>
      <c r="IEK1" s="217"/>
      <c r="IEL1" s="217"/>
      <c r="IEM1" s="220"/>
      <c r="IEN1" s="216"/>
      <c r="IEO1" s="217"/>
      <c r="IEP1" s="217"/>
      <c r="IEQ1" s="220"/>
      <c r="IER1" s="216"/>
      <c r="IES1" s="217"/>
      <c r="IET1" s="217"/>
      <c r="IEU1" s="220"/>
      <c r="IEV1" s="216"/>
      <c r="IEW1" s="217"/>
      <c r="IEX1" s="217"/>
      <c r="IEY1" s="220"/>
      <c r="IEZ1" s="216"/>
      <c r="IFA1" s="217"/>
      <c r="IFB1" s="217"/>
      <c r="IFC1" s="220"/>
      <c r="IFD1" s="216"/>
      <c r="IFE1" s="217"/>
      <c r="IFF1" s="217"/>
      <c r="IFG1" s="220"/>
      <c r="IFH1" s="216"/>
      <c r="IFI1" s="217"/>
      <c r="IFJ1" s="217"/>
      <c r="IFK1" s="220"/>
      <c r="IFL1" s="216"/>
      <c r="IFM1" s="217"/>
      <c r="IFN1" s="217"/>
      <c r="IFO1" s="220"/>
      <c r="IFP1" s="216"/>
      <c r="IFQ1" s="217"/>
      <c r="IFR1" s="217"/>
      <c r="IFS1" s="220"/>
      <c r="IFT1" s="216"/>
      <c r="IFU1" s="217"/>
      <c r="IFV1" s="217"/>
      <c r="IFW1" s="220"/>
      <c r="IFX1" s="216"/>
      <c r="IFY1" s="217"/>
      <c r="IFZ1" s="217"/>
      <c r="IGA1" s="220"/>
      <c r="IGB1" s="216"/>
      <c r="IGC1" s="217"/>
      <c r="IGD1" s="217"/>
      <c r="IGE1" s="220"/>
      <c r="IGF1" s="216"/>
      <c r="IGG1" s="217"/>
      <c r="IGH1" s="217"/>
      <c r="IGI1" s="220"/>
      <c r="IGJ1" s="216"/>
      <c r="IGK1" s="217"/>
      <c r="IGL1" s="217"/>
      <c r="IGM1" s="220"/>
      <c r="IGN1" s="216"/>
      <c r="IGO1" s="217"/>
      <c r="IGP1" s="217"/>
      <c r="IGQ1" s="220"/>
      <c r="IGR1" s="216"/>
      <c r="IGS1" s="217"/>
      <c r="IGT1" s="217"/>
      <c r="IGU1" s="220"/>
      <c r="IGV1" s="216"/>
      <c r="IGW1" s="217"/>
      <c r="IGX1" s="217"/>
      <c r="IGY1" s="220"/>
      <c r="IGZ1" s="216"/>
      <c r="IHA1" s="217"/>
      <c r="IHB1" s="217"/>
      <c r="IHC1" s="220"/>
      <c r="IHD1" s="216"/>
      <c r="IHE1" s="217"/>
      <c r="IHF1" s="217"/>
      <c r="IHG1" s="220"/>
      <c r="IHH1" s="216"/>
      <c r="IHI1" s="217"/>
      <c r="IHJ1" s="217"/>
      <c r="IHK1" s="220"/>
      <c r="IHL1" s="216"/>
      <c r="IHM1" s="217"/>
      <c r="IHN1" s="217"/>
      <c r="IHO1" s="220"/>
      <c r="IHP1" s="216"/>
      <c r="IHQ1" s="217"/>
      <c r="IHR1" s="217"/>
      <c r="IHS1" s="220"/>
      <c r="IHT1" s="216"/>
      <c r="IHU1" s="217"/>
      <c r="IHV1" s="217"/>
      <c r="IHW1" s="220"/>
      <c r="IHX1" s="216"/>
      <c r="IHY1" s="217"/>
      <c r="IHZ1" s="217"/>
      <c r="IIA1" s="220"/>
      <c r="IIB1" s="216"/>
      <c r="IIC1" s="217"/>
      <c r="IID1" s="217"/>
      <c r="IIE1" s="220"/>
      <c r="IIF1" s="216"/>
      <c r="IIG1" s="217"/>
      <c r="IIH1" s="217"/>
      <c r="III1" s="220"/>
      <c r="IIJ1" s="216"/>
      <c r="IIK1" s="217"/>
      <c r="IIL1" s="217"/>
      <c r="IIM1" s="220"/>
      <c r="IIN1" s="216"/>
      <c r="IIO1" s="217"/>
      <c r="IIP1" s="217"/>
      <c r="IIQ1" s="220"/>
      <c r="IIR1" s="216"/>
      <c r="IIS1" s="217"/>
      <c r="IIT1" s="217"/>
      <c r="IIU1" s="220"/>
      <c r="IIV1" s="216"/>
      <c r="IIW1" s="217"/>
      <c r="IIX1" s="217"/>
      <c r="IIY1" s="220"/>
      <c r="IIZ1" s="216"/>
      <c r="IJA1" s="217"/>
      <c r="IJB1" s="217"/>
      <c r="IJC1" s="220"/>
      <c r="IJD1" s="216"/>
      <c r="IJE1" s="217"/>
      <c r="IJF1" s="217"/>
      <c r="IJG1" s="220"/>
      <c r="IJH1" s="216"/>
      <c r="IJI1" s="217"/>
      <c r="IJJ1" s="217"/>
      <c r="IJK1" s="220"/>
      <c r="IJL1" s="216"/>
      <c r="IJM1" s="217"/>
      <c r="IJN1" s="217"/>
      <c r="IJO1" s="220"/>
      <c r="IJP1" s="216"/>
      <c r="IJQ1" s="217"/>
      <c r="IJR1" s="217"/>
      <c r="IJS1" s="220"/>
      <c r="IJT1" s="216"/>
      <c r="IJU1" s="217"/>
      <c r="IJV1" s="217"/>
      <c r="IJW1" s="220"/>
      <c r="IJX1" s="216"/>
      <c r="IJY1" s="217"/>
      <c r="IJZ1" s="217"/>
      <c r="IKA1" s="220"/>
      <c r="IKB1" s="216"/>
      <c r="IKC1" s="217"/>
      <c r="IKD1" s="217"/>
      <c r="IKE1" s="220"/>
      <c r="IKF1" s="216"/>
      <c r="IKG1" s="217"/>
      <c r="IKH1" s="217"/>
      <c r="IKI1" s="220"/>
      <c r="IKJ1" s="216"/>
      <c r="IKK1" s="217"/>
      <c r="IKL1" s="217"/>
      <c r="IKM1" s="220"/>
      <c r="IKN1" s="216"/>
      <c r="IKO1" s="217"/>
      <c r="IKP1" s="217"/>
      <c r="IKQ1" s="220"/>
      <c r="IKR1" s="216"/>
      <c r="IKS1" s="217"/>
      <c r="IKT1" s="217"/>
      <c r="IKU1" s="220"/>
      <c r="IKV1" s="216"/>
      <c r="IKW1" s="217"/>
      <c r="IKX1" s="217"/>
      <c r="IKY1" s="220"/>
      <c r="IKZ1" s="216"/>
      <c r="ILA1" s="217"/>
      <c r="ILB1" s="217"/>
      <c r="ILC1" s="220"/>
      <c r="ILD1" s="216"/>
      <c r="ILE1" s="217"/>
      <c r="ILF1" s="217"/>
      <c r="ILG1" s="220"/>
      <c r="ILH1" s="216"/>
      <c r="ILI1" s="217"/>
      <c r="ILJ1" s="217"/>
      <c r="ILK1" s="220"/>
      <c r="ILL1" s="216"/>
      <c r="ILM1" s="217"/>
      <c r="ILN1" s="217"/>
      <c r="ILO1" s="220"/>
      <c r="ILP1" s="216"/>
      <c r="ILQ1" s="217"/>
      <c r="ILR1" s="217"/>
      <c r="ILS1" s="220"/>
      <c r="ILT1" s="216"/>
      <c r="ILU1" s="217"/>
      <c r="ILV1" s="217"/>
      <c r="ILW1" s="220"/>
      <c r="ILX1" s="216"/>
      <c r="ILY1" s="217"/>
      <c r="ILZ1" s="217"/>
      <c r="IMA1" s="220"/>
      <c r="IMB1" s="216"/>
      <c r="IMC1" s="217"/>
      <c r="IMD1" s="217"/>
      <c r="IME1" s="220"/>
      <c r="IMF1" s="216"/>
      <c r="IMG1" s="217"/>
      <c r="IMH1" s="217"/>
      <c r="IMI1" s="220"/>
      <c r="IMJ1" s="216"/>
      <c r="IMK1" s="217"/>
      <c r="IML1" s="217"/>
      <c r="IMM1" s="220"/>
      <c r="IMN1" s="216"/>
      <c r="IMO1" s="217"/>
      <c r="IMP1" s="217"/>
      <c r="IMQ1" s="220"/>
      <c r="IMR1" s="216"/>
      <c r="IMS1" s="217"/>
      <c r="IMT1" s="217"/>
      <c r="IMU1" s="220"/>
      <c r="IMV1" s="216"/>
      <c r="IMW1" s="217"/>
      <c r="IMX1" s="217"/>
      <c r="IMY1" s="220"/>
      <c r="IMZ1" s="216"/>
      <c r="INA1" s="217"/>
      <c r="INB1" s="217"/>
      <c r="INC1" s="220"/>
      <c r="IND1" s="216"/>
      <c r="INE1" s="217"/>
      <c r="INF1" s="217"/>
      <c r="ING1" s="220"/>
      <c r="INH1" s="216"/>
      <c r="INI1" s="217"/>
      <c r="INJ1" s="217"/>
      <c r="INK1" s="220"/>
      <c r="INL1" s="216"/>
      <c r="INM1" s="217"/>
      <c r="INN1" s="217"/>
      <c r="INO1" s="220"/>
      <c r="INP1" s="216"/>
      <c r="INQ1" s="217"/>
      <c r="INR1" s="217"/>
      <c r="INS1" s="220"/>
      <c r="INT1" s="216"/>
      <c r="INU1" s="217"/>
      <c r="INV1" s="217"/>
      <c r="INW1" s="220"/>
      <c r="INX1" s="216"/>
      <c r="INY1" s="217"/>
      <c r="INZ1" s="217"/>
      <c r="IOA1" s="220"/>
      <c r="IOB1" s="216"/>
      <c r="IOC1" s="217"/>
      <c r="IOD1" s="217"/>
      <c r="IOE1" s="220"/>
      <c r="IOF1" s="216"/>
      <c r="IOG1" s="217"/>
      <c r="IOH1" s="217"/>
      <c r="IOI1" s="220"/>
      <c r="IOJ1" s="216"/>
      <c r="IOK1" s="217"/>
      <c r="IOL1" s="217"/>
      <c r="IOM1" s="220"/>
      <c r="ION1" s="216"/>
      <c r="IOO1" s="217"/>
      <c r="IOP1" s="217"/>
      <c r="IOQ1" s="220"/>
      <c r="IOR1" s="216"/>
      <c r="IOS1" s="217"/>
      <c r="IOT1" s="217"/>
      <c r="IOU1" s="220"/>
      <c r="IOV1" s="216"/>
      <c r="IOW1" s="217"/>
      <c r="IOX1" s="217"/>
      <c r="IOY1" s="220"/>
      <c r="IOZ1" s="216"/>
      <c r="IPA1" s="217"/>
      <c r="IPB1" s="217"/>
      <c r="IPC1" s="220"/>
      <c r="IPD1" s="216"/>
      <c r="IPE1" s="217"/>
      <c r="IPF1" s="217"/>
      <c r="IPG1" s="220"/>
      <c r="IPH1" s="216"/>
      <c r="IPI1" s="217"/>
      <c r="IPJ1" s="217"/>
      <c r="IPK1" s="220"/>
      <c r="IPL1" s="216"/>
      <c r="IPM1" s="217"/>
      <c r="IPN1" s="217"/>
      <c r="IPO1" s="220"/>
      <c r="IPP1" s="216"/>
      <c r="IPQ1" s="217"/>
      <c r="IPR1" s="217"/>
      <c r="IPS1" s="220"/>
      <c r="IPT1" s="216"/>
      <c r="IPU1" s="217"/>
      <c r="IPV1" s="217"/>
      <c r="IPW1" s="220"/>
      <c r="IPX1" s="216"/>
      <c r="IPY1" s="217"/>
      <c r="IPZ1" s="217"/>
      <c r="IQA1" s="220"/>
      <c r="IQB1" s="216"/>
      <c r="IQC1" s="217"/>
      <c r="IQD1" s="217"/>
      <c r="IQE1" s="220"/>
      <c r="IQF1" s="216"/>
      <c r="IQG1" s="217"/>
      <c r="IQH1" s="217"/>
      <c r="IQI1" s="220"/>
      <c r="IQJ1" s="216"/>
      <c r="IQK1" s="217"/>
      <c r="IQL1" s="217"/>
      <c r="IQM1" s="220"/>
      <c r="IQN1" s="216"/>
      <c r="IQO1" s="217"/>
      <c r="IQP1" s="217"/>
      <c r="IQQ1" s="220"/>
      <c r="IQR1" s="216"/>
      <c r="IQS1" s="217"/>
      <c r="IQT1" s="217"/>
      <c r="IQU1" s="220"/>
      <c r="IQV1" s="216"/>
      <c r="IQW1" s="217"/>
      <c r="IQX1" s="217"/>
      <c r="IQY1" s="220"/>
      <c r="IQZ1" s="216"/>
      <c r="IRA1" s="217"/>
      <c r="IRB1" s="217"/>
      <c r="IRC1" s="220"/>
      <c r="IRD1" s="216"/>
      <c r="IRE1" s="217"/>
      <c r="IRF1" s="217"/>
      <c r="IRG1" s="220"/>
      <c r="IRH1" s="216"/>
      <c r="IRI1" s="217"/>
      <c r="IRJ1" s="217"/>
      <c r="IRK1" s="220"/>
      <c r="IRL1" s="216"/>
      <c r="IRM1" s="217"/>
      <c r="IRN1" s="217"/>
      <c r="IRO1" s="220"/>
      <c r="IRP1" s="216"/>
      <c r="IRQ1" s="217"/>
      <c r="IRR1" s="217"/>
      <c r="IRS1" s="220"/>
      <c r="IRT1" s="216"/>
      <c r="IRU1" s="217"/>
      <c r="IRV1" s="217"/>
      <c r="IRW1" s="220"/>
      <c r="IRX1" s="216"/>
      <c r="IRY1" s="217"/>
      <c r="IRZ1" s="217"/>
      <c r="ISA1" s="220"/>
      <c r="ISB1" s="216"/>
      <c r="ISC1" s="217"/>
      <c r="ISD1" s="217"/>
      <c r="ISE1" s="220"/>
      <c r="ISF1" s="216"/>
      <c r="ISG1" s="217"/>
      <c r="ISH1" s="217"/>
      <c r="ISI1" s="220"/>
      <c r="ISJ1" s="216"/>
      <c r="ISK1" s="217"/>
      <c r="ISL1" s="217"/>
      <c r="ISM1" s="220"/>
      <c r="ISN1" s="216"/>
      <c r="ISO1" s="217"/>
      <c r="ISP1" s="217"/>
      <c r="ISQ1" s="220"/>
      <c r="ISR1" s="216"/>
      <c r="ISS1" s="217"/>
      <c r="IST1" s="217"/>
      <c r="ISU1" s="220"/>
      <c r="ISV1" s="216"/>
      <c r="ISW1" s="217"/>
      <c r="ISX1" s="217"/>
      <c r="ISY1" s="220"/>
      <c r="ISZ1" s="216"/>
      <c r="ITA1" s="217"/>
      <c r="ITB1" s="217"/>
      <c r="ITC1" s="220"/>
      <c r="ITD1" s="216"/>
      <c r="ITE1" s="217"/>
      <c r="ITF1" s="217"/>
      <c r="ITG1" s="220"/>
      <c r="ITH1" s="216"/>
      <c r="ITI1" s="217"/>
      <c r="ITJ1" s="217"/>
      <c r="ITK1" s="220"/>
      <c r="ITL1" s="216"/>
      <c r="ITM1" s="217"/>
      <c r="ITN1" s="217"/>
      <c r="ITO1" s="220"/>
      <c r="ITP1" s="216"/>
      <c r="ITQ1" s="217"/>
      <c r="ITR1" s="217"/>
      <c r="ITS1" s="220"/>
      <c r="ITT1" s="216"/>
      <c r="ITU1" s="217"/>
      <c r="ITV1" s="217"/>
      <c r="ITW1" s="220"/>
      <c r="ITX1" s="216"/>
      <c r="ITY1" s="217"/>
      <c r="ITZ1" s="217"/>
      <c r="IUA1" s="220"/>
      <c r="IUB1" s="216"/>
      <c r="IUC1" s="217"/>
      <c r="IUD1" s="217"/>
      <c r="IUE1" s="220"/>
      <c r="IUF1" s="216"/>
      <c r="IUG1" s="217"/>
      <c r="IUH1" s="217"/>
      <c r="IUI1" s="220"/>
      <c r="IUJ1" s="216"/>
      <c r="IUK1" s="217"/>
      <c r="IUL1" s="217"/>
      <c r="IUM1" s="220"/>
      <c r="IUN1" s="216"/>
      <c r="IUO1" s="217"/>
      <c r="IUP1" s="217"/>
      <c r="IUQ1" s="220"/>
      <c r="IUR1" s="216"/>
      <c r="IUS1" s="217"/>
      <c r="IUT1" s="217"/>
      <c r="IUU1" s="220"/>
      <c r="IUV1" s="216"/>
      <c r="IUW1" s="217"/>
      <c r="IUX1" s="217"/>
      <c r="IUY1" s="220"/>
      <c r="IUZ1" s="216"/>
      <c r="IVA1" s="217"/>
      <c r="IVB1" s="217"/>
      <c r="IVC1" s="220"/>
      <c r="IVD1" s="216"/>
      <c r="IVE1" s="217"/>
      <c r="IVF1" s="217"/>
      <c r="IVG1" s="220"/>
      <c r="IVH1" s="216"/>
      <c r="IVI1" s="217"/>
      <c r="IVJ1" s="217"/>
      <c r="IVK1" s="220"/>
      <c r="IVL1" s="216"/>
      <c r="IVM1" s="217"/>
      <c r="IVN1" s="217"/>
      <c r="IVO1" s="220"/>
      <c r="IVP1" s="216"/>
      <c r="IVQ1" s="217"/>
      <c r="IVR1" s="217"/>
      <c r="IVS1" s="220"/>
      <c r="IVT1" s="216"/>
      <c r="IVU1" s="217"/>
      <c r="IVV1" s="217"/>
      <c r="IVW1" s="220"/>
      <c r="IVX1" s="216"/>
      <c r="IVY1" s="217"/>
      <c r="IVZ1" s="217"/>
      <c r="IWA1" s="220"/>
      <c r="IWB1" s="216"/>
      <c r="IWC1" s="217"/>
      <c r="IWD1" s="217"/>
      <c r="IWE1" s="220"/>
      <c r="IWF1" s="216"/>
      <c r="IWG1" s="217"/>
      <c r="IWH1" s="217"/>
      <c r="IWI1" s="220"/>
      <c r="IWJ1" s="216"/>
      <c r="IWK1" s="217"/>
      <c r="IWL1" s="217"/>
      <c r="IWM1" s="220"/>
      <c r="IWN1" s="216"/>
      <c r="IWO1" s="217"/>
      <c r="IWP1" s="217"/>
      <c r="IWQ1" s="220"/>
      <c r="IWR1" s="216"/>
      <c r="IWS1" s="217"/>
      <c r="IWT1" s="217"/>
      <c r="IWU1" s="220"/>
      <c r="IWV1" s="216"/>
      <c r="IWW1" s="217"/>
      <c r="IWX1" s="217"/>
      <c r="IWY1" s="220"/>
      <c r="IWZ1" s="216"/>
      <c r="IXA1" s="217"/>
      <c r="IXB1" s="217"/>
      <c r="IXC1" s="220"/>
      <c r="IXD1" s="216"/>
      <c r="IXE1" s="217"/>
      <c r="IXF1" s="217"/>
      <c r="IXG1" s="220"/>
      <c r="IXH1" s="216"/>
      <c r="IXI1" s="217"/>
      <c r="IXJ1" s="217"/>
      <c r="IXK1" s="220"/>
      <c r="IXL1" s="216"/>
      <c r="IXM1" s="217"/>
      <c r="IXN1" s="217"/>
      <c r="IXO1" s="220"/>
      <c r="IXP1" s="216"/>
      <c r="IXQ1" s="217"/>
      <c r="IXR1" s="217"/>
      <c r="IXS1" s="220"/>
      <c r="IXT1" s="216"/>
      <c r="IXU1" s="217"/>
      <c r="IXV1" s="217"/>
      <c r="IXW1" s="220"/>
      <c r="IXX1" s="216"/>
      <c r="IXY1" s="217"/>
      <c r="IXZ1" s="217"/>
      <c r="IYA1" s="220"/>
      <c r="IYB1" s="216"/>
      <c r="IYC1" s="217"/>
      <c r="IYD1" s="217"/>
      <c r="IYE1" s="220"/>
      <c r="IYF1" s="216"/>
      <c r="IYG1" s="217"/>
      <c r="IYH1" s="217"/>
      <c r="IYI1" s="220"/>
      <c r="IYJ1" s="216"/>
      <c r="IYK1" s="217"/>
      <c r="IYL1" s="217"/>
      <c r="IYM1" s="220"/>
      <c r="IYN1" s="216"/>
      <c r="IYO1" s="217"/>
      <c r="IYP1" s="217"/>
      <c r="IYQ1" s="220"/>
      <c r="IYR1" s="216"/>
      <c r="IYS1" s="217"/>
      <c r="IYT1" s="217"/>
      <c r="IYU1" s="220"/>
      <c r="IYV1" s="216"/>
      <c r="IYW1" s="217"/>
      <c r="IYX1" s="217"/>
      <c r="IYY1" s="220"/>
      <c r="IYZ1" s="216"/>
      <c r="IZA1" s="217"/>
      <c r="IZB1" s="217"/>
      <c r="IZC1" s="220"/>
      <c r="IZD1" s="216"/>
      <c r="IZE1" s="217"/>
      <c r="IZF1" s="217"/>
      <c r="IZG1" s="220"/>
      <c r="IZH1" s="216"/>
      <c r="IZI1" s="217"/>
      <c r="IZJ1" s="217"/>
      <c r="IZK1" s="220"/>
      <c r="IZL1" s="216"/>
      <c r="IZM1" s="217"/>
      <c r="IZN1" s="217"/>
      <c r="IZO1" s="220"/>
      <c r="IZP1" s="216"/>
      <c r="IZQ1" s="217"/>
      <c r="IZR1" s="217"/>
      <c r="IZS1" s="220"/>
      <c r="IZT1" s="216"/>
      <c r="IZU1" s="217"/>
      <c r="IZV1" s="217"/>
      <c r="IZW1" s="220"/>
      <c r="IZX1" s="216"/>
      <c r="IZY1" s="217"/>
      <c r="IZZ1" s="217"/>
      <c r="JAA1" s="220"/>
      <c r="JAB1" s="216"/>
      <c r="JAC1" s="217"/>
      <c r="JAD1" s="217"/>
      <c r="JAE1" s="220"/>
      <c r="JAF1" s="216"/>
      <c r="JAG1" s="217"/>
      <c r="JAH1" s="217"/>
      <c r="JAI1" s="220"/>
      <c r="JAJ1" s="216"/>
      <c r="JAK1" s="217"/>
      <c r="JAL1" s="217"/>
      <c r="JAM1" s="220"/>
      <c r="JAN1" s="216"/>
      <c r="JAO1" s="217"/>
      <c r="JAP1" s="217"/>
      <c r="JAQ1" s="220"/>
      <c r="JAR1" s="216"/>
      <c r="JAS1" s="217"/>
      <c r="JAT1" s="217"/>
      <c r="JAU1" s="220"/>
      <c r="JAV1" s="216"/>
      <c r="JAW1" s="217"/>
      <c r="JAX1" s="217"/>
      <c r="JAY1" s="220"/>
      <c r="JAZ1" s="216"/>
      <c r="JBA1" s="217"/>
      <c r="JBB1" s="217"/>
      <c r="JBC1" s="220"/>
      <c r="JBD1" s="216"/>
      <c r="JBE1" s="217"/>
      <c r="JBF1" s="217"/>
      <c r="JBG1" s="220"/>
      <c r="JBH1" s="216"/>
      <c r="JBI1" s="217"/>
      <c r="JBJ1" s="217"/>
      <c r="JBK1" s="220"/>
      <c r="JBL1" s="216"/>
      <c r="JBM1" s="217"/>
      <c r="JBN1" s="217"/>
      <c r="JBO1" s="220"/>
      <c r="JBP1" s="216"/>
      <c r="JBQ1" s="217"/>
      <c r="JBR1" s="217"/>
      <c r="JBS1" s="220"/>
      <c r="JBT1" s="216"/>
      <c r="JBU1" s="217"/>
      <c r="JBV1" s="217"/>
      <c r="JBW1" s="220"/>
      <c r="JBX1" s="216"/>
      <c r="JBY1" s="217"/>
      <c r="JBZ1" s="217"/>
      <c r="JCA1" s="220"/>
      <c r="JCB1" s="216"/>
      <c r="JCC1" s="217"/>
      <c r="JCD1" s="217"/>
      <c r="JCE1" s="220"/>
      <c r="JCF1" s="216"/>
      <c r="JCG1" s="217"/>
      <c r="JCH1" s="217"/>
      <c r="JCI1" s="220"/>
      <c r="JCJ1" s="216"/>
      <c r="JCK1" s="217"/>
      <c r="JCL1" s="217"/>
      <c r="JCM1" s="220"/>
      <c r="JCN1" s="216"/>
      <c r="JCO1" s="217"/>
      <c r="JCP1" s="217"/>
      <c r="JCQ1" s="220"/>
      <c r="JCR1" s="216"/>
      <c r="JCS1" s="217"/>
      <c r="JCT1" s="217"/>
      <c r="JCU1" s="220"/>
      <c r="JCV1" s="216"/>
      <c r="JCW1" s="217"/>
      <c r="JCX1" s="217"/>
      <c r="JCY1" s="220"/>
      <c r="JCZ1" s="216"/>
      <c r="JDA1" s="217"/>
      <c r="JDB1" s="217"/>
      <c r="JDC1" s="220"/>
      <c r="JDD1" s="216"/>
      <c r="JDE1" s="217"/>
      <c r="JDF1" s="217"/>
      <c r="JDG1" s="220"/>
      <c r="JDH1" s="216"/>
      <c r="JDI1" s="217"/>
      <c r="JDJ1" s="217"/>
      <c r="JDK1" s="220"/>
      <c r="JDL1" s="216"/>
      <c r="JDM1" s="217"/>
      <c r="JDN1" s="217"/>
      <c r="JDO1" s="220"/>
      <c r="JDP1" s="216"/>
      <c r="JDQ1" s="217"/>
      <c r="JDR1" s="217"/>
      <c r="JDS1" s="220"/>
      <c r="JDT1" s="216"/>
      <c r="JDU1" s="217"/>
      <c r="JDV1" s="217"/>
      <c r="JDW1" s="220"/>
      <c r="JDX1" s="216"/>
      <c r="JDY1" s="217"/>
      <c r="JDZ1" s="217"/>
      <c r="JEA1" s="220"/>
      <c r="JEB1" s="216"/>
      <c r="JEC1" s="217"/>
      <c r="JED1" s="217"/>
      <c r="JEE1" s="220"/>
      <c r="JEF1" s="216"/>
      <c r="JEG1" s="217"/>
      <c r="JEH1" s="217"/>
      <c r="JEI1" s="220"/>
      <c r="JEJ1" s="216"/>
      <c r="JEK1" s="217"/>
      <c r="JEL1" s="217"/>
      <c r="JEM1" s="220"/>
      <c r="JEN1" s="216"/>
      <c r="JEO1" s="217"/>
      <c r="JEP1" s="217"/>
      <c r="JEQ1" s="220"/>
      <c r="JER1" s="216"/>
      <c r="JES1" s="217"/>
      <c r="JET1" s="217"/>
      <c r="JEU1" s="220"/>
      <c r="JEV1" s="216"/>
      <c r="JEW1" s="217"/>
      <c r="JEX1" s="217"/>
      <c r="JEY1" s="220"/>
      <c r="JEZ1" s="216"/>
      <c r="JFA1" s="217"/>
      <c r="JFB1" s="217"/>
      <c r="JFC1" s="220"/>
      <c r="JFD1" s="216"/>
      <c r="JFE1" s="217"/>
      <c r="JFF1" s="217"/>
      <c r="JFG1" s="220"/>
      <c r="JFH1" s="216"/>
      <c r="JFI1" s="217"/>
      <c r="JFJ1" s="217"/>
      <c r="JFK1" s="220"/>
      <c r="JFL1" s="216"/>
      <c r="JFM1" s="217"/>
      <c r="JFN1" s="217"/>
      <c r="JFO1" s="220"/>
      <c r="JFP1" s="216"/>
      <c r="JFQ1" s="217"/>
      <c r="JFR1" s="217"/>
      <c r="JFS1" s="220"/>
      <c r="JFT1" s="216"/>
      <c r="JFU1" s="217"/>
      <c r="JFV1" s="217"/>
      <c r="JFW1" s="220"/>
      <c r="JFX1" s="216"/>
      <c r="JFY1" s="217"/>
      <c r="JFZ1" s="217"/>
      <c r="JGA1" s="220"/>
      <c r="JGB1" s="216"/>
      <c r="JGC1" s="217"/>
      <c r="JGD1" s="217"/>
      <c r="JGE1" s="220"/>
      <c r="JGF1" s="216"/>
      <c r="JGG1" s="217"/>
      <c r="JGH1" s="217"/>
      <c r="JGI1" s="220"/>
      <c r="JGJ1" s="216"/>
      <c r="JGK1" s="217"/>
      <c r="JGL1" s="217"/>
      <c r="JGM1" s="220"/>
      <c r="JGN1" s="216"/>
      <c r="JGO1" s="217"/>
      <c r="JGP1" s="217"/>
      <c r="JGQ1" s="220"/>
      <c r="JGR1" s="216"/>
      <c r="JGS1" s="217"/>
      <c r="JGT1" s="217"/>
      <c r="JGU1" s="220"/>
      <c r="JGV1" s="216"/>
      <c r="JGW1" s="217"/>
      <c r="JGX1" s="217"/>
      <c r="JGY1" s="220"/>
      <c r="JGZ1" s="216"/>
      <c r="JHA1" s="217"/>
      <c r="JHB1" s="217"/>
      <c r="JHC1" s="220"/>
      <c r="JHD1" s="216"/>
      <c r="JHE1" s="217"/>
      <c r="JHF1" s="217"/>
      <c r="JHG1" s="220"/>
      <c r="JHH1" s="216"/>
      <c r="JHI1" s="217"/>
      <c r="JHJ1" s="217"/>
      <c r="JHK1" s="220"/>
      <c r="JHL1" s="216"/>
      <c r="JHM1" s="217"/>
      <c r="JHN1" s="217"/>
      <c r="JHO1" s="220"/>
      <c r="JHP1" s="216"/>
      <c r="JHQ1" s="217"/>
      <c r="JHR1" s="217"/>
      <c r="JHS1" s="220"/>
      <c r="JHT1" s="216"/>
      <c r="JHU1" s="217"/>
      <c r="JHV1" s="217"/>
      <c r="JHW1" s="220"/>
      <c r="JHX1" s="216"/>
      <c r="JHY1" s="217"/>
      <c r="JHZ1" s="217"/>
      <c r="JIA1" s="220"/>
      <c r="JIB1" s="216"/>
      <c r="JIC1" s="217"/>
      <c r="JID1" s="217"/>
      <c r="JIE1" s="220"/>
      <c r="JIF1" s="216"/>
      <c r="JIG1" s="217"/>
      <c r="JIH1" s="217"/>
      <c r="JII1" s="220"/>
      <c r="JIJ1" s="216"/>
      <c r="JIK1" s="217"/>
      <c r="JIL1" s="217"/>
      <c r="JIM1" s="220"/>
      <c r="JIN1" s="216"/>
      <c r="JIO1" s="217"/>
      <c r="JIP1" s="217"/>
      <c r="JIQ1" s="220"/>
      <c r="JIR1" s="216"/>
      <c r="JIS1" s="217"/>
      <c r="JIT1" s="217"/>
      <c r="JIU1" s="220"/>
      <c r="JIV1" s="216"/>
      <c r="JIW1" s="217"/>
      <c r="JIX1" s="217"/>
      <c r="JIY1" s="220"/>
      <c r="JIZ1" s="216"/>
      <c r="JJA1" s="217"/>
      <c r="JJB1" s="217"/>
      <c r="JJC1" s="220"/>
      <c r="JJD1" s="216"/>
      <c r="JJE1" s="217"/>
      <c r="JJF1" s="217"/>
      <c r="JJG1" s="220"/>
      <c r="JJH1" s="216"/>
      <c r="JJI1" s="217"/>
      <c r="JJJ1" s="217"/>
      <c r="JJK1" s="220"/>
      <c r="JJL1" s="216"/>
      <c r="JJM1" s="217"/>
      <c r="JJN1" s="217"/>
      <c r="JJO1" s="220"/>
      <c r="JJP1" s="216"/>
      <c r="JJQ1" s="217"/>
      <c r="JJR1" s="217"/>
      <c r="JJS1" s="220"/>
      <c r="JJT1" s="216"/>
      <c r="JJU1" s="217"/>
      <c r="JJV1" s="217"/>
      <c r="JJW1" s="220"/>
      <c r="JJX1" s="216"/>
      <c r="JJY1" s="217"/>
      <c r="JJZ1" s="217"/>
      <c r="JKA1" s="220"/>
      <c r="JKB1" s="216"/>
      <c r="JKC1" s="217"/>
      <c r="JKD1" s="217"/>
      <c r="JKE1" s="220"/>
      <c r="JKF1" s="216"/>
      <c r="JKG1" s="217"/>
      <c r="JKH1" s="217"/>
      <c r="JKI1" s="220"/>
      <c r="JKJ1" s="216"/>
      <c r="JKK1" s="217"/>
      <c r="JKL1" s="217"/>
      <c r="JKM1" s="220"/>
      <c r="JKN1" s="216"/>
      <c r="JKO1" s="217"/>
      <c r="JKP1" s="217"/>
      <c r="JKQ1" s="220"/>
      <c r="JKR1" s="216"/>
      <c r="JKS1" s="217"/>
      <c r="JKT1" s="217"/>
      <c r="JKU1" s="220"/>
      <c r="JKV1" s="216"/>
      <c r="JKW1" s="217"/>
      <c r="JKX1" s="217"/>
      <c r="JKY1" s="220"/>
      <c r="JKZ1" s="216"/>
      <c r="JLA1" s="217"/>
      <c r="JLB1" s="217"/>
      <c r="JLC1" s="220"/>
      <c r="JLD1" s="216"/>
      <c r="JLE1" s="217"/>
      <c r="JLF1" s="217"/>
      <c r="JLG1" s="220"/>
      <c r="JLH1" s="216"/>
      <c r="JLI1" s="217"/>
      <c r="JLJ1" s="217"/>
      <c r="JLK1" s="220"/>
      <c r="JLL1" s="216"/>
      <c r="JLM1" s="217"/>
      <c r="JLN1" s="217"/>
      <c r="JLO1" s="220"/>
      <c r="JLP1" s="216"/>
      <c r="JLQ1" s="217"/>
      <c r="JLR1" s="217"/>
      <c r="JLS1" s="220"/>
      <c r="JLT1" s="216"/>
      <c r="JLU1" s="217"/>
      <c r="JLV1" s="217"/>
      <c r="JLW1" s="220"/>
      <c r="JLX1" s="216"/>
      <c r="JLY1" s="217"/>
      <c r="JLZ1" s="217"/>
      <c r="JMA1" s="220"/>
      <c r="JMB1" s="216"/>
      <c r="JMC1" s="217"/>
      <c r="JMD1" s="217"/>
      <c r="JME1" s="220"/>
      <c r="JMF1" s="216"/>
      <c r="JMG1" s="217"/>
      <c r="JMH1" s="217"/>
      <c r="JMI1" s="220"/>
      <c r="JMJ1" s="216"/>
      <c r="JMK1" s="217"/>
      <c r="JML1" s="217"/>
      <c r="JMM1" s="220"/>
      <c r="JMN1" s="216"/>
      <c r="JMO1" s="217"/>
      <c r="JMP1" s="217"/>
      <c r="JMQ1" s="220"/>
      <c r="JMR1" s="216"/>
      <c r="JMS1" s="217"/>
      <c r="JMT1" s="217"/>
      <c r="JMU1" s="220"/>
      <c r="JMV1" s="216"/>
      <c r="JMW1" s="217"/>
      <c r="JMX1" s="217"/>
      <c r="JMY1" s="220"/>
      <c r="JMZ1" s="216"/>
      <c r="JNA1" s="217"/>
      <c r="JNB1" s="217"/>
      <c r="JNC1" s="220"/>
      <c r="JND1" s="216"/>
      <c r="JNE1" s="217"/>
      <c r="JNF1" s="217"/>
      <c r="JNG1" s="220"/>
      <c r="JNH1" s="216"/>
      <c r="JNI1" s="217"/>
      <c r="JNJ1" s="217"/>
      <c r="JNK1" s="220"/>
      <c r="JNL1" s="216"/>
      <c r="JNM1" s="217"/>
      <c r="JNN1" s="217"/>
      <c r="JNO1" s="220"/>
      <c r="JNP1" s="216"/>
      <c r="JNQ1" s="217"/>
      <c r="JNR1" s="217"/>
      <c r="JNS1" s="220"/>
      <c r="JNT1" s="216"/>
      <c r="JNU1" s="217"/>
      <c r="JNV1" s="217"/>
      <c r="JNW1" s="220"/>
      <c r="JNX1" s="216"/>
      <c r="JNY1" s="217"/>
      <c r="JNZ1" s="217"/>
      <c r="JOA1" s="220"/>
      <c r="JOB1" s="216"/>
      <c r="JOC1" s="217"/>
      <c r="JOD1" s="217"/>
      <c r="JOE1" s="220"/>
      <c r="JOF1" s="216"/>
      <c r="JOG1" s="217"/>
      <c r="JOH1" s="217"/>
      <c r="JOI1" s="220"/>
      <c r="JOJ1" s="216"/>
      <c r="JOK1" s="217"/>
      <c r="JOL1" s="217"/>
      <c r="JOM1" s="220"/>
      <c r="JON1" s="216"/>
      <c r="JOO1" s="217"/>
      <c r="JOP1" s="217"/>
      <c r="JOQ1" s="220"/>
      <c r="JOR1" s="216"/>
      <c r="JOS1" s="217"/>
      <c r="JOT1" s="217"/>
      <c r="JOU1" s="220"/>
      <c r="JOV1" s="216"/>
      <c r="JOW1" s="217"/>
      <c r="JOX1" s="217"/>
      <c r="JOY1" s="220"/>
      <c r="JOZ1" s="216"/>
      <c r="JPA1" s="217"/>
      <c r="JPB1" s="217"/>
      <c r="JPC1" s="220"/>
      <c r="JPD1" s="216"/>
      <c r="JPE1" s="217"/>
      <c r="JPF1" s="217"/>
      <c r="JPG1" s="220"/>
      <c r="JPH1" s="216"/>
      <c r="JPI1" s="217"/>
      <c r="JPJ1" s="217"/>
      <c r="JPK1" s="220"/>
      <c r="JPL1" s="216"/>
      <c r="JPM1" s="217"/>
      <c r="JPN1" s="217"/>
      <c r="JPO1" s="220"/>
      <c r="JPP1" s="216"/>
      <c r="JPQ1" s="217"/>
      <c r="JPR1" s="217"/>
      <c r="JPS1" s="220"/>
      <c r="JPT1" s="216"/>
      <c r="JPU1" s="217"/>
      <c r="JPV1" s="217"/>
      <c r="JPW1" s="220"/>
      <c r="JPX1" s="216"/>
      <c r="JPY1" s="217"/>
      <c r="JPZ1" s="217"/>
      <c r="JQA1" s="220"/>
      <c r="JQB1" s="216"/>
      <c r="JQC1" s="217"/>
      <c r="JQD1" s="217"/>
      <c r="JQE1" s="220"/>
      <c r="JQF1" s="216"/>
      <c r="JQG1" s="217"/>
      <c r="JQH1" s="217"/>
      <c r="JQI1" s="220"/>
      <c r="JQJ1" s="216"/>
      <c r="JQK1" s="217"/>
      <c r="JQL1" s="217"/>
      <c r="JQM1" s="220"/>
      <c r="JQN1" s="216"/>
      <c r="JQO1" s="217"/>
      <c r="JQP1" s="217"/>
      <c r="JQQ1" s="220"/>
      <c r="JQR1" s="216"/>
      <c r="JQS1" s="217"/>
      <c r="JQT1" s="217"/>
      <c r="JQU1" s="220"/>
      <c r="JQV1" s="216"/>
      <c r="JQW1" s="217"/>
      <c r="JQX1" s="217"/>
      <c r="JQY1" s="220"/>
      <c r="JQZ1" s="216"/>
      <c r="JRA1" s="217"/>
      <c r="JRB1" s="217"/>
      <c r="JRC1" s="220"/>
      <c r="JRD1" s="216"/>
      <c r="JRE1" s="217"/>
      <c r="JRF1" s="217"/>
      <c r="JRG1" s="220"/>
      <c r="JRH1" s="216"/>
      <c r="JRI1" s="217"/>
      <c r="JRJ1" s="217"/>
      <c r="JRK1" s="220"/>
      <c r="JRL1" s="216"/>
      <c r="JRM1" s="217"/>
      <c r="JRN1" s="217"/>
      <c r="JRO1" s="220"/>
      <c r="JRP1" s="216"/>
      <c r="JRQ1" s="217"/>
      <c r="JRR1" s="217"/>
      <c r="JRS1" s="220"/>
      <c r="JRT1" s="216"/>
      <c r="JRU1" s="217"/>
      <c r="JRV1" s="217"/>
      <c r="JRW1" s="220"/>
      <c r="JRX1" s="216"/>
      <c r="JRY1" s="217"/>
      <c r="JRZ1" s="217"/>
      <c r="JSA1" s="220"/>
      <c r="JSB1" s="216"/>
      <c r="JSC1" s="217"/>
      <c r="JSD1" s="217"/>
      <c r="JSE1" s="220"/>
      <c r="JSF1" s="216"/>
      <c r="JSG1" s="217"/>
      <c r="JSH1" s="217"/>
      <c r="JSI1" s="220"/>
      <c r="JSJ1" s="216"/>
      <c r="JSK1" s="217"/>
      <c r="JSL1" s="217"/>
      <c r="JSM1" s="220"/>
      <c r="JSN1" s="216"/>
      <c r="JSO1" s="217"/>
      <c r="JSP1" s="217"/>
      <c r="JSQ1" s="220"/>
      <c r="JSR1" s="216"/>
      <c r="JSS1" s="217"/>
      <c r="JST1" s="217"/>
      <c r="JSU1" s="220"/>
      <c r="JSV1" s="216"/>
      <c r="JSW1" s="217"/>
      <c r="JSX1" s="217"/>
      <c r="JSY1" s="220"/>
      <c r="JSZ1" s="216"/>
      <c r="JTA1" s="217"/>
      <c r="JTB1" s="217"/>
      <c r="JTC1" s="220"/>
      <c r="JTD1" s="216"/>
      <c r="JTE1" s="217"/>
      <c r="JTF1" s="217"/>
      <c r="JTG1" s="220"/>
      <c r="JTH1" s="216"/>
      <c r="JTI1" s="217"/>
      <c r="JTJ1" s="217"/>
      <c r="JTK1" s="220"/>
      <c r="JTL1" s="216"/>
      <c r="JTM1" s="217"/>
      <c r="JTN1" s="217"/>
      <c r="JTO1" s="220"/>
      <c r="JTP1" s="216"/>
      <c r="JTQ1" s="217"/>
      <c r="JTR1" s="217"/>
      <c r="JTS1" s="220"/>
      <c r="JTT1" s="216"/>
      <c r="JTU1" s="217"/>
      <c r="JTV1" s="217"/>
      <c r="JTW1" s="220"/>
      <c r="JTX1" s="216"/>
      <c r="JTY1" s="217"/>
      <c r="JTZ1" s="217"/>
      <c r="JUA1" s="220"/>
      <c r="JUB1" s="216"/>
      <c r="JUC1" s="217"/>
      <c r="JUD1" s="217"/>
      <c r="JUE1" s="220"/>
      <c r="JUF1" s="216"/>
      <c r="JUG1" s="217"/>
      <c r="JUH1" s="217"/>
      <c r="JUI1" s="220"/>
      <c r="JUJ1" s="216"/>
      <c r="JUK1" s="217"/>
      <c r="JUL1" s="217"/>
      <c r="JUM1" s="220"/>
      <c r="JUN1" s="216"/>
      <c r="JUO1" s="217"/>
      <c r="JUP1" s="217"/>
      <c r="JUQ1" s="220"/>
      <c r="JUR1" s="216"/>
      <c r="JUS1" s="217"/>
      <c r="JUT1" s="217"/>
      <c r="JUU1" s="220"/>
      <c r="JUV1" s="216"/>
      <c r="JUW1" s="217"/>
      <c r="JUX1" s="217"/>
      <c r="JUY1" s="220"/>
      <c r="JUZ1" s="216"/>
      <c r="JVA1" s="217"/>
      <c r="JVB1" s="217"/>
      <c r="JVC1" s="220"/>
      <c r="JVD1" s="216"/>
      <c r="JVE1" s="217"/>
      <c r="JVF1" s="217"/>
      <c r="JVG1" s="220"/>
      <c r="JVH1" s="216"/>
      <c r="JVI1" s="217"/>
      <c r="JVJ1" s="217"/>
      <c r="JVK1" s="220"/>
      <c r="JVL1" s="216"/>
      <c r="JVM1" s="217"/>
      <c r="JVN1" s="217"/>
      <c r="JVO1" s="220"/>
      <c r="JVP1" s="216"/>
      <c r="JVQ1" s="217"/>
      <c r="JVR1" s="217"/>
      <c r="JVS1" s="220"/>
      <c r="JVT1" s="216"/>
      <c r="JVU1" s="217"/>
      <c r="JVV1" s="217"/>
      <c r="JVW1" s="220"/>
      <c r="JVX1" s="216"/>
      <c r="JVY1" s="217"/>
      <c r="JVZ1" s="217"/>
      <c r="JWA1" s="220"/>
      <c r="JWB1" s="216"/>
      <c r="JWC1" s="217"/>
      <c r="JWD1" s="217"/>
      <c r="JWE1" s="220"/>
      <c r="JWF1" s="216"/>
      <c r="JWG1" s="217"/>
      <c r="JWH1" s="217"/>
      <c r="JWI1" s="220"/>
      <c r="JWJ1" s="216"/>
      <c r="JWK1" s="217"/>
      <c r="JWL1" s="217"/>
      <c r="JWM1" s="220"/>
      <c r="JWN1" s="216"/>
      <c r="JWO1" s="217"/>
      <c r="JWP1" s="217"/>
      <c r="JWQ1" s="220"/>
      <c r="JWR1" s="216"/>
      <c r="JWS1" s="217"/>
      <c r="JWT1" s="217"/>
      <c r="JWU1" s="220"/>
      <c r="JWV1" s="216"/>
      <c r="JWW1" s="217"/>
      <c r="JWX1" s="217"/>
      <c r="JWY1" s="220"/>
      <c r="JWZ1" s="216"/>
      <c r="JXA1" s="217"/>
      <c r="JXB1" s="217"/>
      <c r="JXC1" s="220"/>
      <c r="JXD1" s="216"/>
      <c r="JXE1" s="217"/>
      <c r="JXF1" s="217"/>
      <c r="JXG1" s="220"/>
      <c r="JXH1" s="216"/>
      <c r="JXI1" s="217"/>
      <c r="JXJ1" s="217"/>
      <c r="JXK1" s="220"/>
      <c r="JXL1" s="216"/>
      <c r="JXM1" s="217"/>
      <c r="JXN1" s="217"/>
      <c r="JXO1" s="220"/>
      <c r="JXP1" s="216"/>
      <c r="JXQ1" s="217"/>
      <c r="JXR1" s="217"/>
      <c r="JXS1" s="220"/>
      <c r="JXT1" s="216"/>
      <c r="JXU1" s="217"/>
      <c r="JXV1" s="217"/>
      <c r="JXW1" s="220"/>
      <c r="JXX1" s="216"/>
      <c r="JXY1" s="217"/>
      <c r="JXZ1" s="217"/>
      <c r="JYA1" s="220"/>
      <c r="JYB1" s="216"/>
      <c r="JYC1" s="217"/>
      <c r="JYD1" s="217"/>
      <c r="JYE1" s="220"/>
      <c r="JYF1" s="216"/>
      <c r="JYG1" s="217"/>
      <c r="JYH1" s="217"/>
      <c r="JYI1" s="220"/>
      <c r="JYJ1" s="216"/>
      <c r="JYK1" s="217"/>
      <c r="JYL1" s="217"/>
      <c r="JYM1" s="220"/>
      <c r="JYN1" s="216"/>
      <c r="JYO1" s="217"/>
      <c r="JYP1" s="217"/>
      <c r="JYQ1" s="220"/>
      <c r="JYR1" s="216"/>
      <c r="JYS1" s="217"/>
      <c r="JYT1" s="217"/>
      <c r="JYU1" s="220"/>
      <c r="JYV1" s="216"/>
      <c r="JYW1" s="217"/>
      <c r="JYX1" s="217"/>
      <c r="JYY1" s="220"/>
      <c r="JYZ1" s="216"/>
      <c r="JZA1" s="217"/>
      <c r="JZB1" s="217"/>
      <c r="JZC1" s="220"/>
      <c r="JZD1" s="216"/>
      <c r="JZE1" s="217"/>
      <c r="JZF1" s="217"/>
      <c r="JZG1" s="220"/>
      <c r="JZH1" s="216"/>
      <c r="JZI1" s="217"/>
      <c r="JZJ1" s="217"/>
      <c r="JZK1" s="220"/>
      <c r="JZL1" s="216"/>
      <c r="JZM1" s="217"/>
      <c r="JZN1" s="217"/>
      <c r="JZO1" s="220"/>
      <c r="JZP1" s="216"/>
      <c r="JZQ1" s="217"/>
      <c r="JZR1" s="217"/>
      <c r="JZS1" s="220"/>
      <c r="JZT1" s="216"/>
      <c r="JZU1" s="217"/>
      <c r="JZV1" s="217"/>
      <c r="JZW1" s="220"/>
      <c r="JZX1" s="216"/>
      <c r="JZY1" s="217"/>
      <c r="JZZ1" s="217"/>
      <c r="KAA1" s="220"/>
      <c r="KAB1" s="216"/>
      <c r="KAC1" s="217"/>
      <c r="KAD1" s="217"/>
      <c r="KAE1" s="220"/>
      <c r="KAF1" s="216"/>
      <c r="KAG1" s="217"/>
      <c r="KAH1" s="217"/>
      <c r="KAI1" s="220"/>
      <c r="KAJ1" s="216"/>
      <c r="KAK1" s="217"/>
      <c r="KAL1" s="217"/>
      <c r="KAM1" s="220"/>
      <c r="KAN1" s="216"/>
      <c r="KAO1" s="217"/>
      <c r="KAP1" s="217"/>
      <c r="KAQ1" s="220"/>
      <c r="KAR1" s="216"/>
      <c r="KAS1" s="217"/>
      <c r="KAT1" s="217"/>
      <c r="KAU1" s="220"/>
      <c r="KAV1" s="216"/>
      <c r="KAW1" s="217"/>
      <c r="KAX1" s="217"/>
      <c r="KAY1" s="220"/>
      <c r="KAZ1" s="216"/>
      <c r="KBA1" s="217"/>
      <c r="KBB1" s="217"/>
      <c r="KBC1" s="220"/>
      <c r="KBD1" s="216"/>
      <c r="KBE1" s="217"/>
      <c r="KBF1" s="217"/>
      <c r="KBG1" s="220"/>
      <c r="KBH1" s="216"/>
      <c r="KBI1" s="217"/>
      <c r="KBJ1" s="217"/>
      <c r="KBK1" s="220"/>
      <c r="KBL1" s="216"/>
      <c r="KBM1" s="217"/>
      <c r="KBN1" s="217"/>
      <c r="KBO1" s="220"/>
      <c r="KBP1" s="216"/>
      <c r="KBQ1" s="217"/>
      <c r="KBR1" s="217"/>
      <c r="KBS1" s="220"/>
      <c r="KBT1" s="216"/>
      <c r="KBU1" s="217"/>
      <c r="KBV1" s="217"/>
      <c r="KBW1" s="220"/>
      <c r="KBX1" s="216"/>
      <c r="KBY1" s="217"/>
      <c r="KBZ1" s="217"/>
      <c r="KCA1" s="220"/>
      <c r="KCB1" s="216"/>
      <c r="KCC1" s="217"/>
      <c r="KCD1" s="217"/>
      <c r="KCE1" s="220"/>
      <c r="KCF1" s="216"/>
      <c r="KCG1" s="217"/>
      <c r="KCH1" s="217"/>
      <c r="KCI1" s="220"/>
      <c r="KCJ1" s="216"/>
      <c r="KCK1" s="217"/>
      <c r="KCL1" s="217"/>
      <c r="KCM1" s="220"/>
      <c r="KCN1" s="216"/>
      <c r="KCO1" s="217"/>
      <c r="KCP1" s="217"/>
      <c r="KCQ1" s="220"/>
      <c r="KCR1" s="216"/>
      <c r="KCS1" s="217"/>
      <c r="KCT1" s="217"/>
      <c r="KCU1" s="220"/>
      <c r="KCV1" s="216"/>
      <c r="KCW1" s="217"/>
      <c r="KCX1" s="217"/>
      <c r="KCY1" s="220"/>
      <c r="KCZ1" s="216"/>
      <c r="KDA1" s="217"/>
      <c r="KDB1" s="217"/>
      <c r="KDC1" s="220"/>
      <c r="KDD1" s="216"/>
      <c r="KDE1" s="217"/>
      <c r="KDF1" s="217"/>
      <c r="KDG1" s="220"/>
      <c r="KDH1" s="216"/>
      <c r="KDI1" s="217"/>
      <c r="KDJ1" s="217"/>
      <c r="KDK1" s="220"/>
      <c r="KDL1" s="216"/>
      <c r="KDM1" s="217"/>
      <c r="KDN1" s="217"/>
      <c r="KDO1" s="220"/>
      <c r="KDP1" s="216"/>
      <c r="KDQ1" s="217"/>
      <c r="KDR1" s="217"/>
      <c r="KDS1" s="220"/>
      <c r="KDT1" s="216"/>
      <c r="KDU1" s="217"/>
      <c r="KDV1" s="217"/>
      <c r="KDW1" s="220"/>
      <c r="KDX1" s="216"/>
      <c r="KDY1" s="217"/>
      <c r="KDZ1" s="217"/>
      <c r="KEA1" s="220"/>
      <c r="KEB1" s="216"/>
      <c r="KEC1" s="217"/>
      <c r="KED1" s="217"/>
      <c r="KEE1" s="220"/>
      <c r="KEF1" s="216"/>
      <c r="KEG1" s="217"/>
      <c r="KEH1" s="217"/>
      <c r="KEI1" s="220"/>
      <c r="KEJ1" s="216"/>
      <c r="KEK1" s="217"/>
      <c r="KEL1" s="217"/>
      <c r="KEM1" s="220"/>
      <c r="KEN1" s="216"/>
      <c r="KEO1" s="217"/>
      <c r="KEP1" s="217"/>
      <c r="KEQ1" s="220"/>
      <c r="KER1" s="216"/>
      <c r="KES1" s="217"/>
      <c r="KET1" s="217"/>
      <c r="KEU1" s="220"/>
      <c r="KEV1" s="216"/>
      <c r="KEW1" s="217"/>
      <c r="KEX1" s="217"/>
      <c r="KEY1" s="220"/>
      <c r="KEZ1" s="216"/>
      <c r="KFA1" s="217"/>
      <c r="KFB1" s="217"/>
      <c r="KFC1" s="220"/>
      <c r="KFD1" s="216"/>
      <c r="KFE1" s="217"/>
      <c r="KFF1" s="217"/>
      <c r="KFG1" s="220"/>
      <c r="KFH1" s="216"/>
      <c r="KFI1" s="217"/>
      <c r="KFJ1" s="217"/>
      <c r="KFK1" s="220"/>
      <c r="KFL1" s="216"/>
      <c r="KFM1" s="217"/>
      <c r="KFN1" s="217"/>
      <c r="KFO1" s="220"/>
      <c r="KFP1" s="216"/>
      <c r="KFQ1" s="217"/>
      <c r="KFR1" s="217"/>
      <c r="KFS1" s="220"/>
      <c r="KFT1" s="216"/>
      <c r="KFU1" s="217"/>
      <c r="KFV1" s="217"/>
      <c r="KFW1" s="220"/>
      <c r="KFX1" s="216"/>
      <c r="KFY1" s="217"/>
      <c r="KFZ1" s="217"/>
      <c r="KGA1" s="220"/>
      <c r="KGB1" s="216"/>
      <c r="KGC1" s="217"/>
      <c r="KGD1" s="217"/>
      <c r="KGE1" s="220"/>
      <c r="KGF1" s="216"/>
      <c r="KGG1" s="217"/>
      <c r="KGH1" s="217"/>
      <c r="KGI1" s="220"/>
      <c r="KGJ1" s="216"/>
      <c r="KGK1" s="217"/>
      <c r="KGL1" s="217"/>
      <c r="KGM1" s="220"/>
      <c r="KGN1" s="216"/>
      <c r="KGO1" s="217"/>
      <c r="KGP1" s="217"/>
      <c r="KGQ1" s="220"/>
      <c r="KGR1" s="216"/>
      <c r="KGS1" s="217"/>
      <c r="KGT1" s="217"/>
      <c r="KGU1" s="220"/>
      <c r="KGV1" s="216"/>
      <c r="KGW1" s="217"/>
      <c r="KGX1" s="217"/>
      <c r="KGY1" s="220"/>
      <c r="KGZ1" s="216"/>
      <c r="KHA1" s="217"/>
      <c r="KHB1" s="217"/>
      <c r="KHC1" s="220"/>
      <c r="KHD1" s="216"/>
      <c r="KHE1" s="217"/>
      <c r="KHF1" s="217"/>
      <c r="KHG1" s="220"/>
      <c r="KHH1" s="216"/>
      <c r="KHI1" s="217"/>
      <c r="KHJ1" s="217"/>
      <c r="KHK1" s="220"/>
      <c r="KHL1" s="216"/>
      <c r="KHM1" s="217"/>
      <c r="KHN1" s="217"/>
      <c r="KHO1" s="220"/>
      <c r="KHP1" s="216"/>
      <c r="KHQ1" s="217"/>
      <c r="KHR1" s="217"/>
      <c r="KHS1" s="220"/>
      <c r="KHT1" s="216"/>
      <c r="KHU1" s="217"/>
      <c r="KHV1" s="217"/>
      <c r="KHW1" s="220"/>
      <c r="KHX1" s="216"/>
      <c r="KHY1" s="217"/>
      <c r="KHZ1" s="217"/>
      <c r="KIA1" s="220"/>
      <c r="KIB1" s="216"/>
      <c r="KIC1" s="217"/>
      <c r="KID1" s="217"/>
      <c r="KIE1" s="220"/>
      <c r="KIF1" s="216"/>
      <c r="KIG1" s="217"/>
      <c r="KIH1" s="217"/>
      <c r="KII1" s="220"/>
      <c r="KIJ1" s="216"/>
      <c r="KIK1" s="217"/>
      <c r="KIL1" s="217"/>
      <c r="KIM1" s="220"/>
      <c r="KIN1" s="216"/>
      <c r="KIO1" s="217"/>
      <c r="KIP1" s="217"/>
      <c r="KIQ1" s="220"/>
      <c r="KIR1" s="216"/>
      <c r="KIS1" s="217"/>
      <c r="KIT1" s="217"/>
      <c r="KIU1" s="220"/>
      <c r="KIV1" s="216"/>
      <c r="KIW1" s="217"/>
      <c r="KIX1" s="217"/>
      <c r="KIY1" s="220"/>
      <c r="KIZ1" s="216"/>
      <c r="KJA1" s="217"/>
      <c r="KJB1" s="217"/>
      <c r="KJC1" s="220"/>
      <c r="KJD1" s="216"/>
      <c r="KJE1" s="217"/>
      <c r="KJF1" s="217"/>
      <c r="KJG1" s="220"/>
      <c r="KJH1" s="216"/>
      <c r="KJI1" s="217"/>
      <c r="KJJ1" s="217"/>
      <c r="KJK1" s="220"/>
      <c r="KJL1" s="216"/>
      <c r="KJM1" s="217"/>
      <c r="KJN1" s="217"/>
      <c r="KJO1" s="220"/>
      <c r="KJP1" s="216"/>
      <c r="KJQ1" s="217"/>
      <c r="KJR1" s="217"/>
      <c r="KJS1" s="220"/>
      <c r="KJT1" s="216"/>
      <c r="KJU1" s="217"/>
      <c r="KJV1" s="217"/>
      <c r="KJW1" s="220"/>
      <c r="KJX1" s="216"/>
      <c r="KJY1" s="217"/>
      <c r="KJZ1" s="217"/>
      <c r="KKA1" s="220"/>
      <c r="KKB1" s="216"/>
      <c r="KKC1" s="217"/>
      <c r="KKD1" s="217"/>
      <c r="KKE1" s="220"/>
      <c r="KKF1" s="216"/>
      <c r="KKG1" s="217"/>
      <c r="KKH1" s="217"/>
      <c r="KKI1" s="220"/>
      <c r="KKJ1" s="216"/>
      <c r="KKK1" s="217"/>
      <c r="KKL1" s="217"/>
      <c r="KKM1" s="220"/>
      <c r="KKN1" s="216"/>
      <c r="KKO1" s="217"/>
      <c r="KKP1" s="217"/>
      <c r="KKQ1" s="220"/>
      <c r="KKR1" s="216"/>
      <c r="KKS1" s="217"/>
      <c r="KKT1" s="217"/>
      <c r="KKU1" s="220"/>
      <c r="KKV1" s="216"/>
      <c r="KKW1" s="217"/>
      <c r="KKX1" s="217"/>
      <c r="KKY1" s="220"/>
      <c r="KKZ1" s="216"/>
      <c r="KLA1" s="217"/>
      <c r="KLB1" s="217"/>
      <c r="KLC1" s="220"/>
      <c r="KLD1" s="216"/>
      <c r="KLE1" s="217"/>
      <c r="KLF1" s="217"/>
      <c r="KLG1" s="220"/>
      <c r="KLH1" s="216"/>
      <c r="KLI1" s="217"/>
      <c r="KLJ1" s="217"/>
      <c r="KLK1" s="220"/>
      <c r="KLL1" s="216"/>
      <c r="KLM1" s="217"/>
      <c r="KLN1" s="217"/>
      <c r="KLO1" s="220"/>
      <c r="KLP1" s="216"/>
      <c r="KLQ1" s="217"/>
      <c r="KLR1" s="217"/>
      <c r="KLS1" s="220"/>
      <c r="KLT1" s="216"/>
      <c r="KLU1" s="217"/>
      <c r="KLV1" s="217"/>
      <c r="KLW1" s="220"/>
      <c r="KLX1" s="216"/>
      <c r="KLY1" s="217"/>
      <c r="KLZ1" s="217"/>
      <c r="KMA1" s="220"/>
      <c r="KMB1" s="216"/>
      <c r="KMC1" s="217"/>
      <c r="KMD1" s="217"/>
      <c r="KME1" s="220"/>
      <c r="KMF1" s="216"/>
      <c r="KMG1" s="217"/>
      <c r="KMH1" s="217"/>
      <c r="KMI1" s="220"/>
      <c r="KMJ1" s="216"/>
      <c r="KMK1" s="217"/>
      <c r="KML1" s="217"/>
      <c r="KMM1" s="220"/>
      <c r="KMN1" s="216"/>
      <c r="KMO1" s="217"/>
      <c r="KMP1" s="217"/>
      <c r="KMQ1" s="220"/>
      <c r="KMR1" s="216"/>
      <c r="KMS1" s="217"/>
      <c r="KMT1" s="217"/>
      <c r="KMU1" s="220"/>
      <c r="KMV1" s="216"/>
      <c r="KMW1" s="217"/>
      <c r="KMX1" s="217"/>
      <c r="KMY1" s="220"/>
      <c r="KMZ1" s="216"/>
      <c r="KNA1" s="217"/>
      <c r="KNB1" s="217"/>
      <c r="KNC1" s="220"/>
      <c r="KND1" s="216"/>
      <c r="KNE1" s="217"/>
      <c r="KNF1" s="217"/>
      <c r="KNG1" s="220"/>
      <c r="KNH1" s="216"/>
      <c r="KNI1" s="217"/>
      <c r="KNJ1" s="217"/>
      <c r="KNK1" s="220"/>
      <c r="KNL1" s="216"/>
      <c r="KNM1" s="217"/>
      <c r="KNN1" s="217"/>
      <c r="KNO1" s="220"/>
      <c r="KNP1" s="216"/>
      <c r="KNQ1" s="217"/>
      <c r="KNR1" s="217"/>
      <c r="KNS1" s="220"/>
      <c r="KNT1" s="216"/>
      <c r="KNU1" s="217"/>
      <c r="KNV1" s="217"/>
      <c r="KNW1" s="220"/>
      <c r="KNX1" s="216"/>
      <c r="KNY1" s="217"/>
      <c r="KNZ1" s="217"/>
      <c r="KOA1" s="220"/>
      <c r="KOB1" s="216"/>
      <c r="KOC1" s="217"/>
      <c r="KOD1" s="217"/>
      <c r="KOE1" s="220"/>
      <c r="KOF1" s="216"/>
      <c r="KOG1" s="217"/>
      <c r="KOH1" s="217"/>
      <c r="KOI1" s="220"/>
      <c r="KOJ1" s="216"/>
      <c r="KOK1" s="217"/>
      <c r="KOL1" s="217"/>
      <c r="KOM1" s="220"/>
      <c r="KON1" s="216"/>
      <c r="KOO1" s="217"/>
      <c r="KOP1" s="217"/>
      <c r="KOQ1" s="220"/>
      <c r="KOR1" s="216"/>
      <c r="KOS1" s="217"/>
      <c r="KOT1" s="217"/>
      <c r="KOU1" s="220"/>
      <c r="KOV1" s="216"/>
      <c r="KOW1" s="217"/>
      <c r="KOX1" s="217"/>
      <c r="KOY1" s="220"/>
      <c r="KOZ1" s="216"/>
      <c r="KPA1" s="217"/>
      <c r="KPB1" s="217"/>
      <c r="KPC1" s="220"/>
      <c r="KPD1" s="216"/>
      <c r="KPE1" s="217"/>
      <c r="KPF1" s="217"/>
      <c r="KPG1" s="220"/>
      <c r="KPH1" s="216"/>
      <c r="KPI1" s="217"/>
      <c r="KPJ1" s="217"/>
      <c r="KPK1" s="220"/>
      <c r="KPL1" s="216"/>
      <c r="KPM1" s="217"/>
      <c r="KPN1" s="217"/>
      <c r="KPO1" s="220"/>
      <c r="KPP1" s="216"/>
      <c r="KPQ1" s="217"/>
      <c r="KPR1" s="217"/>
      <c r="KPS1" s="220"/>
      <c r="KPT1" s="216"/>
      <c r="KPU1" s="217"/>
      <c r="KPV1" s="217"/>
      <c r="KPW1" s="220"/>
      <c r="KPX1" s="216"/>
      <c r="KPY1" s="217"/>
      <c r="KPZ1" s="217"/>
      <c r="KQA1" s="220"/>
      <c r="KQB1" s="216"/>
      <c r="KQC1" s="217"/>
      <c r="KQD1" s="217"/>
      <c r="KQE1" s="220"/>
      <c r="KQF1" s="216"/>
      <c r="KQG1" s="217"/>
      <c r="KQH1" s="217"/>
      <c r="KQI1" s="220"/>
      <c r="KQJ1" s="216"/>
      <c r="KQK1" s="217"/>
      <c r="KQL1" s="217"/>
      <c r="KQM1" s="220"/>
      <c r="KQN1" s="216"/>
      <c r="KQO1" s="217"/>
      <c r="KQP1" s="217"/>
      <c r="KQQ1" s="220"/>
      <c r="KQR1" s="216"/>
      <c r="KQS1" s="217"/>
      <c r="KQT1" s="217"/>
      <c r="KQU1" s="220"/>
      <c r="KQV1" s="216"/>
      <c r="KQW1" s="217"/>
      <c r="KQX1" s="217"/>
      <c r="KQY1" s="220"/>
      <c r="KQZ1" s="216"/>
      <c r="KRA1" s="217"/>
      <c r="KRB1" s="217"/>
      <c r="KRC1" s="220"/>
      <c r="KRD1" s="216"/>
      <c r="KRE1" s="217"/>
      <c r="KRF1" s="217"/>
      <c r="KRG1" s="220"/>
      <c r="KRH1" s="216"/>
      <c r="KRI1" s="217"/>
      <c r="KRJ1" s="217"/>
      <c r="KRK1" s="220"/>
      <c r="KRL1" s="216"/>
      <c r="KRM1" s="217"/>
      <c r="KRN1" s="217"/>
      <c r="KRO1" s="220"/>
      <c r="KRP1" s="216"/>
      <c r="KRQ1" s="217"/>
      <c r="KRR1" s="217"/>
      <c r="KRS1" s="220"/>
      <c r="KRT1" s="216"/>
      <c r="KRU1" s="217"/>
      <c r="KRV1" s="217"/>
      <c r="KRW1" s="220"/>
      <c r="KRX1" s="216"/>
      <c r="KRY1" s="217"/>
      <c r="KRZ1" s="217"/>
      <c r="KSA1" s="220"/>
      <c r="KSB1" s="216"/>
      <c r="KSC1" s="217"/>
      <c r="KSD1" s="217"/>
      <c r="KSE1" s="220"/>
      <c r="KSF1" s="216"/>
      <c r="KSG1" s="217"/>
      <c r="KSH1" s="217"/>
      <c r="KSI1" s="220"/>
      <c r="KSJ1" s="216"/>
      <c r="KSK1" s="217"/>
      <c r="KSL1" s="217"/>
      <c r="KSM1" s="220"/>
      <c r="KSN1" s="216"/>
      <c r="KSO1" s="217"/>
      <c r="KSP1" s="217"/>
      <c r="KSQ1" s="220"/>
      <c r="KSR1" s="216"/>
      <c r="KSS1" s="217"/>
      <c r="KST1" s="217"/>
      <c r="KSU1" s="220"/>
      <c r="KSV1" s="216"/>
      <c r="KSW1" s="217"/>
      <c r="KSX1" s="217"/>
      <c r="KSY1" s="220"/>
      <c r="KSZ1" s="216"/>
      <c r="KTA1" s="217"/>
      <c r="KTB1" s="217"/>
      <c r="KTC1" s="220"/>
      <c r="KTD1" s="216"/>
      <c r="KTE1" s="217"/>
      <c r="KTF1" s="217"/>
      <c r="KTG1" s="220"/>
      <c r="KTH1" s="216"/>
      <c r="KTI1" s="217"/>
      <c r="KTJ1" s="217"/>
      <c r="KTK1" s="220"/>
      <c r="KTL1" s="216"/>
      <c r="KTM1" s="217"/>
      <c r="KTN1" s="217"/>
      <c r="KTO1" s="220"/>
      <c r="KTP1" s="216"/>
      <c r="KTQ1" s="217"/>
      <c r="KTR1" s="217"/>
      <c r="KTS1" s="220"/>
      <c r="KTT1" s="216"/>
      <c r="KTU1" s="217"/>
      <c r="KTV1" s="217"/>
      <c r="KTW1" s="220"/>
      <c r="KTX1" s="216"/>
      <c r="KTY1" s="217"/>
      <c r="KTZ1" s="217"/>
      <c r="KUA1" s="220"/>
      <c r="KUB1" s="216"/>
      <c r="KUC1" s="217"/>
      <c r="KUD1" s="217"/>
      <c r="KUE1" s="220"/>
      <c r="KUF1" s="216"/>
      <c r="KUG1" s="217"/>
      <c r="KUH1" s="217"/>
      <c r="KUI1" s="220"/>
      <c r="KUJ1" s="216"/>
      <c r="KUK1" s="217"/>
      <c r="KUL1" s="217"/>
      <c r="KUM1" s="220"/>
      <c r="KUN1" s="216"/>
      <c r="KUO1" s="217"/>
      <c r="KUP1" s="217"/>
      <c r="KUQ1" s="220"/>
      <c r="KUR1" s="216"/>
      <c r="KUS1" s="217"/>
      <c r="KUT1" s="217"/>
      <c r="KUU1" s="220"/>
      <c r="KUV1" s="216"/>
      <c r="KUW1" s="217"/>
      <c r="KUX1" s="217"/>
      <c r="KUY1" s="220"/>
      <c r="KUZ1" s="216"/>
      <c r="KVA1" s="217"/>
      <c r="KVB1" s="217"/>
      <c r="KVC1" s="220"/>
      <c r="KVD1" s="216"/>
      <c r="KVE1" s="217"/>
      <c r="KVF1" s="217"/>
      <c r="KVG1" s="220"/>
      <c r="KVH1" s="216"/>
      <c r="KVI1" s="217"/>
      <c r="KVJ1" s="217"/>
      <c r="KVK1" s="220"/>
      <c r="KVL1" s="216"/>
      <c r="KVM1" s="217"/>
      <c r="KVN1" s="217"/>
      <c r="KVO1" s="220"/>
      <c r="KVP1" s="216"/>
      <c r="KVQ1" s="217"/>
      <c r="KVR1" s="217"/>
      <c r="KVS1" s="220"/>
      <c r="KVT1" s="216"/>
      <c r="KVU1" s="217"/>
      <c r="KVV1" s="217"/>
      <c r="KVW1" s="220"/>
      <c r="KVX1" s="216"/>
      <c r="KVY1" s="217"/>
      <c r="KVZ1" s="217"/>
      <c r="KWA1" s="220"/>
      <c r="KWB1" s="216"/>
      <c r="KWC1" s="217"/>
      <c r="KWD1" s="217"/>
      <c r="KWE1" s="220"/>
      <c r="KWF1" s="216"/>
      <c r="KWG1" s="217"/>
      <c r="KWH1" s="217"/>
      <c r="KWI1" s="220"/>
      <c r="KWJ1" s="216"/>
      <c r="KWK1" s="217"/>
      <c r="KWL1" s="217"/>
      <c r="KWM1" s="220"/>
      <c r="KWN1" s="216"/>
      <c r="KWO1" s="217"/>
      <c r="KWP1" s="217"/>
      <c r="KWQ1" s="220"/>
      <c r="KWR1" s="216"/>
      <c r="KWS1" s="217"/>
      <c r="KWT1" s="217"/>
      <c r="KWU1" s="220"/>
      <c r="KWV1" s="216"/>
      <c r="KWW1" s="217"/>
      <c r="KWX1" s="217"/>
      <c r="KWY1" s="220"/>
      <c r="KWZ1" s="216"/>
      <c r="KXA1" s="217"/>
      <c r="KXB1" s="217"/>
      <c r="KXC1" s="220"/>
      <c r="KXD1" s="216"/>
      <c r="KXE1" s="217"/>
      <c r="KXF1" s="217"/>
      <c r="KXG1" s="220"/>
      <c r="KXH1" s="216"/>
      <c r="KXI1" s="217"/>
      <c r="KXJ1" s="217"/>
      <c r="KXK1" s="220"/>
      <c r="KXL1" s="216"/>
      <c r="KXM1" s="217"/>
      <c r="KXN1" s="217"/>
      <c r="KXO1" s="220"/>
      <c r="KXP1" s="216"/>
      <c r="KXQ1" s="217"/>
      <c r="KXR1" s="217"/>
      <c r="KXS1" s="220"/>
      <c r="KXT1" s="216"/>
      <c r="KXU1" s="217"/>
      <c r="KXV1" s="217"/>
      <c r="KXW1" s="220"/>
      <c r="KXX1" s="216"/>
      <c r="KXY1" s="217"/>
      <c r="KXZ1" s="217"/>
      <c r="KYA1" s="220"/>
      <c r="KYB1" s="216"/>
      <c r="KYC1" s="217"/>
      <c r="KYD1" s="217"/>
      <c r="KYE1" s="220"/>
      <c r="KYF1" s="216"/>
      <c r="KYG1" s="217"/>
      <c r="KYH1" s="217"/>
      <c r="KYI1" s="220"/>
      <c r="KYJ1" s="216"/>
      <c r="KYK1" s="217"/>
      <c r="KYL1" s="217"/>
      <c r="KYM1" s="220"/>
      <c r="KYN1" s="216"/>
      <c r="KYO1" s="217"/>
      <c r="KYP1" s="217"/>
      <c r="KYQ1" s="220"/>
      <c r="KYR1" s="216"/>
      <c r="KYS1" s="217"/>
      <c r="KYT1" s="217"/>
      <c r="KYU1" s="220"/>
      <c r="KYV1" s="216"/>
      <c r="KYW1" s="217"/>
      <c r="KYX1" s="217"/>
      <c r="KYY1" s="220"/>
      <c r="KYZ1" s="216"/>
      <c r="KZA1" s="217"/>
      <c r="KZB1" s="217"/>
      <c r="KZC1" s="220"/>
      <c r="KZD1" s="216"/>
      <c r="KZE1" s="217"/>
      <c r="KZF1" s="217"/>
      <c r="KZG1" s="220"/>
      <c r="KZH1" s="216"/>
      <c r="KZI1" s="217"/>
      <c r="KZJ1" s="217"/>
      <c r="KZK1" s="220"/>
      <c r="KZL1" s="216"/>
      <c r="KZM1" s="217"/>
      <c r="KZN1" s="217"/>
      <c r="KZO1" s="220"/>
      <c r="KZP1" s="216"/>
      <c r="KZQ1" s="217"/>
      <c r="KZR1" s="217"/>
      <c r="KZS1" s="220"/>
      <c r="KZT1" s="216"/>
      <c r="KZU1" s="217"/>
      <c r="KZV1" s="217"/>
      <c r="KZW1" s="220"/>
      <c r="KZX1" s="216"/>
      <c r="KZY1" s="217"/>
      <c r="KZZ1" s="217"/>
      <c r="LAA1" s="220"/>
      <c r="LAB1" s="216"/>
      <c r="LAC1" s="217"/>
      <c r="LAD1" s="217"/>
      <c r="LAE1" s="220"/>
      <c r="LAF1" s="216"/>
      <c r="LAG1" s="217"/>
      <c r="LAH1" s="217"/>
      <c r="LAI1" s="220"/>
      <c r="LAJ1" s="216"/>
      <c r="LAK1" s="217"/>
      <c r="LAL1" s="217"/>
      <c r="LAM1" s="220"/>
      <c r="LAN1" s="216"/>
      <c r="LAO1" s="217"/>
      <c r="LAP1" s="217"/>
      <c r="LAQ1" s="220"/>
      <c r="LAR1" s="216"/>
      <c r="LAS1" s="217"/>
      <c r="LAT1" s="217"/>
      <c r="LAU1" s="220"/>
      <c r="LAV1" s="216"/>
      <c r="LAW1" s="217"/>
      <c r="LAX1" s="217"/>
      <c r="LAY1" s="220"/>
      <c r="LAZ1" s="216"/>
      <c r="LBA1" s="217"/>
      <c r="LBB1" s="217"/>
      <c r="LBC1" s="220"/>
      <c r="LBD1" s="216"/>
      <c r="LBE1" s="217"/>
      <c r="LBF1" s="217"/>
      <c r="LBG1" s="220"/>
      <c r="LBH1" s="216"/>
      <c r="LBI1" s="217"/>
      <c r="LBJ1" s="217"/>
      <c r="LBK1" s="220"/>
      <c r="LBL1" s="216"/>
      <c r="LBM1" s="217"/>
      <c r="LBN1" s="217"/>
      <c r="LBO1" s="220"/>
      <c r="LBP1" s="216"/>
      <c r="LBQ1" s="217"/>
      <c r="LBR1" s="217"/>
      <c r="LBS1" s="220"/>
      <c r="LBT1" s="216"/>
      <c r="LBU1" s="217"/>
      <c r="LBV1" s="217"/>
      <c r="LBW1" s="220"/>
      <c r="LBX1" s="216"/>
      <c r="LBY1" s="217"/>
      <c r="LBZ1" s="217"/>
      <c r="LCA1" s="220"/>
      <c r="LCB1" s="216"/>
      <c r="LCC1" s="217"/>
      <c r="LCD1" s="217"/>
      <c r="LCE1" s="220"/>
      <c r="LCF1" s="216"/>
      <c r="LCG1" s="217"/>
      <c r="LCH1" s="217"/>
      <c r="LCI1" s="220"/>
      <c r="LCJ1" s="216"/>
      <c r="LCK1" s="217"/>
      <c r="LCL1" s="217"/>
      <c r="LCM1" s="220"/>
      <c r="LCN1" s="216"/>
      <c r="LCO1" s="217"/>
      <c r="LCP1" s="217"/>
      <c r="LCQ1" s="220"/>
      <c r="LCR1" s="216"/>
      <c r="LCS1" s="217"/>
      <c r="LCT1" s="217"/>
      <c r="LCU1" s="220"/>
      <c r="LCV1" s="216"/>
      <c r="LCW1" s="217"/>
      <c r="LCX1" s="217"/>
      <c r="LCY1" s="220"/>
      <c r="LCZ1" s="216"/>
      <c r="LDA1" s="217"/>
      <c r="LDB1" s="217"/>
      <c r="LDC1" s="220"/>
      <c r="LDD1" s="216"/>
      <c r="LDE1" s="217"/>
      <c r="LDF1" s="217"/>
      <c r="LDG1" s="220"/>
      <c r="LDH1" s="216"/>
      <c r="LDI1" s="217"/>
      <c r="LDJ1" s="217"/>
      <c r="LDK1" s="220"/>
      <c r="LDL1" s="216"/>
      <c r="LDM1" s="217"/>
      <c r="LDN1" s="217"/>
      <c r="LDO1" s="220"/>
      <c r="LDP1" s="216"/>
      <c r="LDQ1" s="217"/>
      <c r="LDR1" s="217"/>
      <c r="LDS1" s="220"/>
      <c r="LDT1" s="216"/>
      <c r="LDU1" s="217"/>
      <c r="LDV1" s="217"/>
      <c r="LDW1" s="220"/>
      <c r="LDX1" s="216"/>
      <c r="LDY1" s="217"/>
      <c r="LDZ1" s="217"/>
      <c r="LEA1" s="220"/>
      <c r="LEB1" s="216"/>
      <c r="LEC1" s="217"/>
      <c r="LED1" s="217"/>
      <c r="LEE1" s="220"/>
      <c r="LEF1" s="216"/>
      <c r="LEG1" s="217"/>
      <c r="LEH1" s="217"/>
      <c r="LEI1" s="220"/>
      <c r="LEJ1" s="216"/>
      <c r="LEK1" s="217"/>
      <c r="LEL1" s="217"/>
      <c r="LEM1" s="220"/>
      <c r="LEN1" s="216"/>
      <c r="LEO1" s="217"/>
      <c r="LEP1" s="217"/>
      <c r="LEQ1" s="220"/>
      <c r="LER1" s="216"/>
      <c r="LES1" s="217"/>
      <c r="LET1" s="217"/>
      <c r="LEU1" s="220"/>
      <c r="LEV1" s="216"/>
      <c r="LEW1" s="217"/>
      <c r="LEX1" s="217"/>
      <c r="LEY1" s="220"/>
      <c r="LEZ1" s="216"/>
      <c r="LFA1" s="217"/>
      <c r="LFB1" s="217"/>
      <c r="LFC1" s="220"/>
      <c r="LFD1" s="216"/>
      <c r="LFE1" s="217"/>
      <c r="LFF1" s="217"/>
      <c r="LFG1" s="220"/>
      <c r="LFH1" s="216"/>
      <c r="LFI1" s="217"/>
      <c r="LFJ1" s="217"/>
      <c r="LFK1" s="220"/>
      <c r="LFL1" s="216"/>
      <c r="LFM1" s="217"/>
      <c r="LFN1" s="217"/>
      <c r="LFO1" s="220"/>
      <c r="LFP1" s="216"/>
      <c r="LFQ1" s="217"/>
      <c r="LFR1" s="217"/>
      <c r="LFS1" s="220"/>
      <c r="LFT1" s="216"/>
      <c r="LFU1" s="217"/>
      <c r="LFV1" s="217"/>
      <c r="LFW1" s="220"/>
      <c r="LFX1" s="216"/>
      <c r="LFY1" s="217"/>
      <c r="LFZ1" s="217"/>
      <c r="LGA1" s="220"/>
      <c r="LGB1" s="216"/>
      <c r="LGC1" s="217"/>
      <c r="LGD1" s="217"/>
      <c r="LGE1" s="220"/>
      <c r="LGF1" s="216"/>
      <c r="LGG1" s="217"/>
      <c r="LGH1" s="217"/>
      <c r="LGI1" s="220"/>
      <c r="LGJ1" s="216"/>
      <c r="LGK1" s="217"/>
      <c r="LGL1" s="217"/>
      <c r="LGM1" s="220"/>
      <c r="LGN1" s="216"/>
      <c r="LGO1" s="217"/>
      <c r="LGP1" s="217"/>
      <c r="LGQ1" s="220"/>
      <c r="LGR1" s="216"/>
      <c r="LGS1" s="217"/>
      <c r="LGT1" s="217"/>
      <c r="LGU1" s="220"/>
      <c r="LGV1" s="216"/>
      <c r="LGW1" s="217"/>
      <c r="LGX1" s="217"/>
      <c r="LGY1" s="220"/>
      <c r="LGZ1" s="216"/>
      <c r="LHA1" s="217"/>
      <c r="LHB1" s="217"/>
      <c r="LHC1" s="220"/>
      <c r="LHD1" s="216"/>
      <c r="LHE1" s="217"/>
      <c r="LHF1" s="217"/>
      <c r="LHG1" s="220"/>
      <c r="LHH1" s="216"/>
      <c r="LHI1" s="217"/>
      <c r="LHJ1" s="217"/>
      <c r="LHK1" s="220"/>
      <c r="LHL1" s="216"/>
      <c r="LHM1" s="217"/>
      <c r="LHN1" s="217"/>
      <c r="LHO1" s="220"/>
      <c r="LHP1" s="216"/>
      <c r="LHQ1" s="217"/>
      <c r="LHR1" s="217"/>
      <c r="LHS1" s="220"/>
      <c r="LHT1" s="216"/>
      <c r="LHU1" s="217"/>
      <c r="LHV1" s="217"/>
      <c r="LHW1" s="220"/>
      <c r="LHX1" s="216"/>
      <c r="LHY1" s="217"/>
      <c r="LHZ1" s="217"/>
      <c r="LIA1" s="220"/>
      <c r="LIB1" s="216"/>
      <c r="LIC1" s="217"/>
      <c r="LID1" s="217"/>
      <c r="LIE1" s="220"/>
      <c r="LIF1" s="216"/>
      <c r="LIG1" s="217"/>
      <c r="LIH1" s="217"/>
      <c r="LII1" s="220"/>
      <c r="LIJ1" s="216"/>
      <c r="LIK1" s="217"/>
      <c r="LIL1" s="217"/>
      <c r="LIM1" s="220"/>
      <c r="LIN1" s="216"/>
      <c r="LIO1" s="217"/>
      <c r="LIP1" s="217"/>
      <c r="LIQ1" s="220"/>
      <c r="LIR1" s="216"/>
      <c r="LIS1" s="217"/>
      <c r="LIT1" s="217"/>
      <c r="LIU1" s="220"/>
      <c r="LIV1" s="216"/>
      <c r="LIW1" s="217"/>
      <c r="LIX1" s="217"/>
      <c r="LIY1" s="220"/>
      <c r="LIZ1" s="216"/>
      <c r="LJA1" s="217"/>
      <c r="LJB1" s="217"/>
      <c r="LJC1" s="220"/>
      <c r="LJD1" s="216"/>
      <c r="LJE1" s="217"/>
      <c r="LJF1" s="217"/>
      <c r="LJG1" s="220"/>
      <c r="LJH1" s="216"/>
      <c r="LJI1" s="217"/>
      <c r="LJJ1" s="217"/>
      <c r="LJK1" s="220"/>
      <c r="LJL1" s="216"/>
      <c r="LJM1" s="217"/>
      <c r="LJN1" s="217"/>
      <c r="LJO1" s="220"/>
      <c r="LJP1" s="216"/>
      <c r="LJQ1" s="217"/>
      <c r="LJR1" s="217"/>
      <c r="LJS1" s="220"/>
      <c r="LJT1" s="216"/>
      <c r="LJU1" s="217"/>
      <c r="LJV1" s="217"/>
      <c r="LJW1" s="220"/>
      <c r="LJX1" s="216"/>
      <c r="LJY1" s="217"/>
      <c r="LJZ1" s="217"/>
      <c r="LKA1" s="220"/>
      <c r="LKB1" s="216"/>
      <c r="LKC1" s="217"/>
      <c r="LKD1" s="217"/>
      <c r="LKE1" s="220"/>
      <c r="LKF1" s="216"/>
      <c r="LKG1" s="217"/>
      <c r="LKH1" s="217"/>
      <c r="LKI1" s="220"/>
      <c r="LKJ1" s="216"/>
      <c r="LKK1" s="217"/>
      <c r="LKL1" s="217"/>
      <c r="LKM1" s="220"/>
      <c r="LKN1" s="216"/>
      <c r="LKO1" s="217"/>
      <c r="LKP1" s="217"/>
      <c r="LKQ1" s="220"/>
      <c r="LKR1" s="216"/>
      <c r="LKS1" s="217"/>
      <c r="LKT1" s="217"/>
      <c r="LKU1" s="220"/>
      <c r="LKV1" s="216"/>
      <c r="LKW1" s="217"/>
      <c r="LKX1" s="217"/>
      <c r="LKY1" s="220"/>
      <c r="LKZ1" s="216"/>
      <c r="LLA1" s="217"/>
      <c r="LLB1" s="217"/>
      <c r="LLC1" s="220"/>
      <c r="LLD1" s="216"/>
      <c r="LLE1" s="217"/>
      <c r="LLF1" s="217"/>
      <c r="LLG1" s="220"/>
      <c r="LLH1" s="216"/>
      <c r="LLI1" s="217"/>
      <c r="LLJ1" s="217"/>
      <c r="LLK1" s="220"/>
      <c r="LLL1" s="216"/>
      <c r="LLM1" s="217"/>
      <c r="LLN1" s="217"/>
      <c r="LLO1" s="220"/>
      <c r="LLP1" s="216"/>
      <c r="LLQ1" s="217"/>
      <c r="LLR1" s="217"/>
      <c r="LLS1" s="220"/>
      <c r="LLT1" s="216"/>
      <c r="LLU1" s="217"/>
      <c r="LLV1" s="217"/>
      <c r="LLW1" s="220"/>
      <c r="LLX1" s="216"/>
      <c r="LLY1" s="217"/>
      <c r="LLZ1" s="217"/>
      <c r="LMA1" s="220"/>
      <c r="LMB1" s="216"/>
      <c r="LMC1" s="217"/>
      <c r="LMD1" s="217"/>
      <c r="LME1" s="220"/>
      <c r="LMF1" s="216"/>
      <c r="LMG1" s="217"/>
      <c r="LMH1" s="217"/>
      <c r="LMI1" s="220"/>
      <c r="LMJ1" s="216"/>
      <c r="LMK1" s="217"/>
      <c r="LML1" s="217"/>
      <c r="LMM1" s="220"/>
      <c r="LMN1" s="216"/>
      <c r="LMO1" s="217"/>
      <c r="LMP1" s="217"/>
      <c r="LMQ1" s="220"/>
      <c r="LMR1" s="216"/>
      <c r="LMS1" s="217"/>
      <c r="LMT1" s="217"/>
      <c r="LMU1" s="220"/>
      <c r="LMV1" s="216"/>
      <c r="LMW1" s="217"/>
      <c r="LMX1" s="217"/>
      <c r="LMY1" s="220"/>
      <c r="LMZ1" s="216"/>
      <c r="LNA1" s="217"/>
      <c r="LNB1" s="217"/>
      <c r="LNC1" s="220"/>
      <c r="LND1" s="216"/>
      <c r="LNE1" s="217"/>
      <c r="LNF1" s="217"/>
      <c r="LNG1" s="220"/>
      <c r="LNH1" s="216"/>
      <c r="LNI1" s="217"/>
      <c r="LNJ1" s="217"/>
      <c r="LNK1" s="220"/>
      <c r="LNL1" s="216"/>
      <c r="LNM1" s="217"/>
      <c r="LNN1" s="217"/>
      <c r="LNO1" s="220"/>
      <c r="LNP1" s="216"/>
      <c r="LNQ1" s="217"/>
      <c r="LNR1" s="217"/>
      <c r="LNS1" s="220"/>
      <c r="LNT1" s="216"/>
      <c r="LNU1" s="217"/>
      <c r="LNV1" s="217"/>
      <c r="LNW1" s="220"/>
      <c r="LNX1" s="216"/>
      <c r="LNY1" s="217"/>
      <c r="LNZ1" s="217"/>
      <c r="LOA1" s="220"/>
      <c r="LOB1" s="216"/>
      <c r="LOC1" s="217"/>
      <c r="LOD1" s="217"/>
      <c r="LOE1" s="220"/>
      <c r="LOF1" s="216"/>
      <c r="LOG1" s="217"/>
      <c r="LOH1" s="217"/>
      <c r="LOI1" s="220"/>
      <c r="LOJ1" s="216"/>
      <c r="LOK1" s="217"/>
      <c r="LOL1" s="217"/>
      <c r="LOM1" s="220"/>
      <c r="LON1" s="216"/>
      <c r="LOO1" s="217"/>
      <c r="LOP1" s="217"/>
      <c r="LOQ1" s="220"/>
      <c r="LOR1" s="216"/>
      <c r="LOS1" s="217"/>
      <c r="LOT1" s="217"/>
      <c r="LOU1" s="220"/>
      <c r="LOV1" s="216"/>
      <c r="LOW1" s="217"/>
      <c r="LOX1" s="217"/>
      <c r="LOY1" s="220"/>
      <c r="LOZ1" s="216"/>
      <c r="LPA1" s="217"/>
      <c r="LPB1" s="217"/>
      <c r="LPC1" s="220"/>
      <c r="LPD1" s="216"/>
      <c r="LPE1" s="217"/>
      <c r="LPF1" s="217"/>
      <c r="LPG1" s="220"/>
      <c r="LPH1" s="216"/>
      <c r="LPI1" s="217"/>
      <c r="LPJ1" s="217"/>
      <c r="LPK1" s="220"/>
      <c r="LPL1" s="216"/>
      <c r="LPM1" s="217"/>
      <c r="LPN1" s="217"/>
      <c r="LPO1" s="220"/>
      <c r="LPP1" s="216"/>
      <c r="LPQ1" s="217"/>
      <c r="LPR1" s="217"/>
      <c r="LPS1" s="220"/>
      <c r="LPT1" s="216"/>
      <c r="LPU1" s="217"/>
      <c r="LPV1" s="217"/>
      <c r="LPW1" s="220"/>
      <c r="LPX1" s="216"/>
      <c r="LPY1" s="217"/>
      <c r="LPZ1" s="217"/>
      <c r="LQA1" s="220"/>
      <c r="LQB1" s="216"/>
      <c r="LQC1" s="217"/>
      <c r="LQD1" s="217"/>
      <c r="LQE1" s="220"/>
      <c r="LQF1" s="216"/>
      <c r="LQG1" s="217"/>
      <c r="LQH1" s="217"/>
      <c r="LQI1" s="220"/>
      <c r="LQJ1" s="216"/>
      <c r="LQK1" s="217"/>
      <c r="LQL1" s="217"/>
      <c r="LQM1" s="220"/>
      <c r="LQN1" s="216"/>
      <c r="LQO1" s="217"/>
      <c r="LQP1" s="217"/>
      <c r="LQQ1" s="220"/>
      <c r="LQR1" s="216"/>
      <c r="LQS1" s="217"/>
      <c r="LQT1" s="217"/>
      <c r="LQU1" s="220"/>
      <c r="LQV1" s="216"/>
      <c r="LQW1" s="217"/>
      <c r="LQX1" s="217"/>
      <c r="LQY1" s="220"/>
      <c r="LQZ1" s="216"/>
      <c r="LRA1" s="217"/>
      <c r="LRB1" s="217"/>
      <c r="LRC1" s="220"/>
      <c r="LRD1" s="216"/>
      <c r="LRE1" s="217"/>
      <c r="LRF1" s="217"/>
      <c r="LRG1" s="220"/>
      <c r="LRH1" s="216"/>
      <c r="LRI1" s="217"/>
      <c r="LRJ1" s="217"/>
      <c r="LRK1" s="220"/>
      <c r="LRL1" s="216"/>
      <c r="LRM1" s="217"/>
      <c r="LRN1" s="217"/>
      <c r="LRO1" s="220"/>
      <c r="LRP1" s="216"/>
      <c r="LRQ1" s="217"/>
      <c r="LRR1" s="217"/>
      <c r="LRS1" s="220"/>
      <c r="LRT1" s="216"/>
      <c r="LRU1" s="217"/>
      <c r="LRV1" s="217"/>
      <c r="LRW1" s="220"/>
      <c r="LRX1" s="216"/>
      <c r="LRY1" s="217"/>
      <c r="LRZ1" s="217"/>
      <c r="LSA1" s="220"/>
      <c r="LSB1" s="216"/>
      <c r="LSC1" s="217"/>
      <c r="LSD1" s="217"/>
      <c r="LSE1" s="220"/>
      <c r="LSF1" s="216"/>
      <c r="LSG1" s="217"/>
      <c r="LSH1" s="217"/>
      <c r="LSI1" s="220"/>
      <c r="LSJ1" s="216"/>
      <c r="LSK1" s="217"/>
      <c r="LSL1" s="217"/>
      <c r="LSM1" s="220"/>
      <c r="LSN1" s="216"/>
      <c r="LSO1" s="217"/>
      <c r="LSP1" s="217"/>
      <c r="LSQ1" s="220"/>
      <c r="LSR1" s="216"/>
      <c r="LSS1" s="217"/>
      <c r="LST1" s="217"/>
      <c r="LSU1" s="220"/>
      <c r="LSV1" s="216"/>
      <c r="LSW1" s="217"/>
      <c r="LSX1" s="217"/>
      <c r="LSY1" s="220"/>
      <c r="LSZ1" s="216"/>
      <c r="LTA1" s="217"/>
      <c r="LTB1" s="217"/>
      <c r="LTC1" s="220"/>
      <c r="LTD1" s="216"/>
      <c r="LTE1" s="217"/>
      <c r="LTF1" s="217"/>
      <c r="LTG1" s="220"/>
      <c r="LTH1" s="216"/>
      <c r="LTI1" s="217"/>
      <c r="LTJ1" s="217"/>
      <c r="LTK1" s="220"/>
      <c r="LTL1" s="216"/>
      <c r="LTM1" s="217"/>
      <c r="LTN1" s="217"/>
      <c r="LTO1" s="220"/>
      <c r="LTP1" s="216"/>
      <c r="LTQ1" s="217"/>
      <c r="LTR1" s="217"/>
      <c r="LTS1" s="220"/>
      <c r="LTT1" s="216"/>
      <c r="LTU1" s="217"/>
      <c r="LTV1" s="217"/>
      <c r="LTW1" s="220"/>
      <c r="LTX1" s="216"/>
      <c r="LTY1" s="217"/>
      <c r="LTZ1" s="217"/>
      <c r="LUA1" s="220"/>
      <c r="LUB1" s="216"/>
      <c r="LUC1" s="217"/>
      <c r="LUD1" s="217"/>
      <c r="LUE1" s="220"/>
      <c r="LUF1" s="216"/>
      <c r="LUG1" s="217"/>
      <c r="LUH1" s="217"/>
      <c r="LUI1" s="220"/>
      <c r="LUJ1" s="216"/>
      <c r="LUK1" s="217"/>
      <c r="LUL1" s="217"/>
      <c r="LUM1" s="220"/>
      <c r="LUN1" s="216"/>
      <c r="LUO1" s="217"/>
      <c r="LUP1" s="217"/>
      <c r="LUQ1" s="220"/>
      <c r="LUR1" s="216"/>
      <c r="LUS1" s="217"/>
      <c r="LUT1" s="217"/>
      <c r="LUU1" s="220"/>
      <c r="LUV1" s="216"/>
      <c r="LUW1" s="217"/>
      <c r="LUX1" s="217"/>
      <c r="LUY1" s="220"/>
      <c r="LUZ1" s="216"/>
      <c r="LVA1" s="217"/>
      <c r="LVB1" s="217"/>
      <c r="LVC1" s="220"/>
      <c r="LVD1" s="216"/>
      <c r="LVE1" s="217"/>
      <c r="LVF1" s="217"/>
      <c r="LVG1" s="220"/>
      <c r="LVH1" s="216"/>
      <c r="LVI1" s="217"/>
      <c r="LVJ1" s="217"/>
      <c r="LVK1" s="220"/>
      <c r="LVL1" s="216"/>
      <c r="LVM1" s="217"/>
      <c r="LVN1" s="217"/>
      <c r="LVO1" s="220"/>
      <c r="LVP1" s="216"/>
      <c r="LVQ1" s="217"/>
      <c r="LVR1" s="217"/>
      <c r="LVS1" s="220"/>
      <c r="LVT1" s="216"/>
      <c r="LVU1" s="217"/>
      <c r="LVV1" s="217"/>
      <c r="LVW1" s="220"/>
      <c r="LVX1" s="216"/>
      <c r="LVY1" s="217"/>
      <c r="LVZ1" s="217"/>
      <c r="LWA1" s="220"/>
      <c r="LWB1" s="216"/>
      <c r="LWC1" s="217"/>
      <c r="LWD1" s="217"/>
      <c r="LWE1" s="220"/>
      <c r="LWF1" s="216"/>
      <c r="LWG1" s="217"/>
      <c r="LWH1" s="217"/>
      <c r="LWI1" s="220"/>
      <c r="LWJ1" s="216"/>
      <c r="LWK1" s="217"/>
      <c r="LWL1" s="217"/>
      <c r="LWM1" s="220"/>
      <c r="LWN1" s="216"/>
      <c r="LWO1" s="217"/>
      <c r="LWP1" s="217"/>
      <c r="LWQ1" s="220"/>
      <c r="LWR1" s="216"/>
      <c r="LWS1" s="217"/>
      <c r="LWT1" s="217"/>
      <c r="LWU1" s="220"/>
      <c r="LWV1" s="216"/>
      <c r="LWW1" s="217"/>
      <c r="LWX1" s="217"/>
      <c r="LWY1" s="220"/>
      <c r="LWZ1" s="216"/>
      <c r="LXA1" s="217"/>
      <c r="LXB1" s="217"/>
      <c r="LXC1" s="220"/>
      <c r="LXD1" s="216"/>
      <c r="LXE1" s="217"/>
      <c r="LXF1" s="217"/>
      <c r="LXG1" s="220"/>
      <c r="LXH1" s="216"/>
      <c r="LXI1" s="217"/>
      <c r="LXJ1" s="217"/>
      <c r="LXK1" s="220"/>
      <c r="LXL1" s="216"/>
      <c r="LXM1" s="217"/>
      <c r="LXN1" s="217"/>
      <c r="LXO1" s="220"/>
      <c r="LXP1" s="216"/>
      <c r="LXQ1" s="217"/>
      <c r="LXR1" s="217"/>
      <c r="LXS1" s="220"/>
      <c r="LXT1" s="216"/>
      <c r="LXU1" s="217"/>
      <c r="LXV1" s="217"/>
      <c r="LXW1" s="220"/>
      <c r="LXX1" s="216"/>
      <c r="LXY1" s="217"/>
      <c r="LXZ1" s="217"/>
      <c r="LYA1" s="220"/>
      <c r="LYB1" s="216"/>
      <c r="LYC1" s="217"/>
      <c r="LYD1" s="217"/>
      <c r="LYE1" s="220"/>
      <c r="LYF1" s="216"/>
      <c r="LYG1" s="217"/>
      <c r="LYH1" s="217"/>
      <c r="LYI1" s="220"/>
      <c r="LYJ1" s="216"/>
      <c r="LYK1" s="217"/>
      <c r="LYL1" s="217"/>
      <c r="LYM1" s="220"/>
      <c r="LYN1" s="216"/>
      <c r="LYO1" s="217"/>
      <c r="LYP1" s="217"/>
      <c r="LYQ1" s="220"/>
      <c r="LYR1" s="216"/>
      <c r="LYS1" s="217"/>
      <c r="LYT1" s="217"/>
      <c r="LYU1" s="220"/>
      <c r="LYV1" s="216"/>
      <c r="LYW1" s="217"/>
      <c r="LYX1" s="217"/>
      <c r="LYY1" s="220"/>
      <c r="LYZ1" s="216"/>
      <c r="LZA1" s="217"/>
      <c r="LZB1" s="217"/>
      <c r="LZC1" s="220"/>
      <c r="LZD1" s="216"/>
      <c r="LZE1" s="217"/>
      <c r="LZF1" s="217"/>
      <c r="LZG1" s="220"/>
      <c r="LZH1" s="216"/>
      <c r="LZI1" s="217"/>
      <c r="LZJ1" s="217"/>
      <c r="LZK1" s="220"/>
      <c r="LZL1" s="216"/>
      <c r="LZM1" s="217"/>
      <c r="LZN1" s="217"/>
      <c r="LZO1" s="220"/>
      <c r="LZP1" s="216"/>
      <c r="LZQ1" s="217"/>
      <c r="LZR1" s="217"/>
      <c r="LZS1" s="220"/>
      <c r="LZT1" s="216"/>
      <c r="LZU1" s="217"/>
      <c r="LZV1" s="217"/>
      <c r="LZW1" s="220"/>
      <c r="LZX1" s="216"/>
      <c r="LZY1" s="217"/>
      <c r="LZZ1" s="217"/>
      <c r="MAA1" s="220"/>
      <c r="MAB1" s="216"/>
      <c r="MAC1" s="217"/>
      <c r="MAD1" s="217"/>
      <c r="MAE1" s="220"/>
      <c r="MAF1" s="216"/>
      <c r="MAG1" s="217"/>
      <c r="MAH1" s="217"/>
      <c r="MAI1" s="220"/>
      <c r="MAJ1" s="216"/>
      <c r="MAK1" s="217"/>
      <c r="MAL1" s="217"/>
      <c r="MAM1" s="220"/>
      <c r="MAN1" s="216"/>
      <c r="MAO1" s="217"/>
      <c r="MAP1" s="217"/>
      <c r="MAQ1" s="220"/>
      <c r="MAR1" s="216"/>
      <c r="MAS1" s="217"/>
      <c r="MAT1" s="217"/>
      <c r="MAU1" s="220"/>
      <c r="MAV1" s="216"/>
      <c r="MAW1" s="217"/>
      <c r="MAX1" s="217"/>
      <c r="MAY1" s="220"/>
      <c r="MAZ1" s="216"/>
      <c r="MBA1" s="217"/>
      <c r="MBB1" s="217"/>
      <c r="MBC1" s="220"/>
      <c r="MBD1" s="216"/>
      <c r="MBE1" s="217"/>
      <c r="MBF1" s="217"/>
      <c r="MBG1" s="220"/>
      <c r="MBH1" s="216"/>
      <c r="MBI1" s="217"/>
      <c r="MBJ1" s="217"/>
      <c r="MBK1" s="220"/>
      <c r="MBL1" s="216"/>
      <c r="MBM1" s="217"/>
      <c r="MBN1" s="217"/>
      <c r="MBO1" s="220"/>
      <c r="MBP1" s="216"/>
      <c r="MBQ1" s="217"/>
      <c r="MBR1" s="217"/>
      <c r="MBS1" s="220"/>
      <c r="MBT1" s="216"/>
      <c r="MBU1" s="217"/>
      <c r="MBV1" s="217"/>
      <c r="MBW1" s="220"/>
      <c r="MBX1" s="216"/>
      <c r="MBY1" s="217"/>
      <c r="MBZ1" s="217"/>
      <c r="MCA1" s="220"/>
      <c r="MCB1" s="216"/>
      <c r="MCC1" s="217"/>
      <c r="MCD1" s="217"/>
      <c r="MCE1" s="220"/>
      <c r="MCF1" s="216"/>
      <c r="MCG1" s="217"/>
      <c r="MCH1" s="217"/>
      <c r="MCI1" s="220"/>
      <c r="MCJ1" s="216"/>
      <c r="MCK1" s="217"/>
      <c r="MCL1" s="217"/>
      <c r="MCM1" s="220"/>
      <c r="MCN1" s="216"/>
      <c r="MCO1" s="217"/>
      <c r="MCP1" s="217"/>
      <c r="MCQ1" s="220"/>
      <c r="MCR1" s="216"/>
      <c r="MCS1" s="217"/>
      <c r="MCT1" s="217"/>
      <c r="MCU1" s="220"/>
      <c r="MCV1" s="216"/>
      <c r="MCW1" s="217"/>
      <c r="MCX1" s="217"/>
      <c r="MCY1" s="220"/>
      <c r="MCZ1" s="216"/>
      <c r="MDA1" s="217"/>
      <c r="MDB1" s="217"/>
      <c r="MDC1" s="220"/>
      <c r="MDD1" s="216"/>
      <c r="MDE1" s="217"/>
      <c r="MDF1" s="217"/>
      <c r="MDG1" s="220"/>
      <c r="MDH1" s="216"/>
      <c r="MDI1" s="217"/>
      <c r="MDJ1" s="217"/>
      <c r="MDK1" s="220"/>
      <c r="MDL1" s="216"/>
      <c r="MDM1" s="217"/>
      <c r="MDN1" s="217"/>
      <c r="MDO1" s="220"/>
      <c r="MDP1" s="216"/>
      <c r="MDQ1" s="217"/>
      <c r="MDR1" s="217"/>
      <c r="MDS1" s="220"/>
      <c r="MDT1" s="216"/>
      <c r="MDU1" s="217"/>
      <c r="MDV1" s="217"/>
      <c r="MDW1" s="220"/>
      <c r="MDX1" s="216"/>
      <c r="MDY1" s="217"/>
      <c r="MDZ1" s="217"/>
      <c r="MEA1" s="220"/>
      <c r="MEB1" s="216"/>
      <c r="MEC1" s="217"/>
      <c r="MED1" s="217"/>
      <c r="MEE1" s="220"/>
      <c r="MEF1" s="216"/>
      <c r="MEG1" s="217"/>
      <c r="MEH1" s="217"/>
      <c r="MEI1" s="220"/>
      <c r="MEJ1" s="216"/>
      <c r="MEK1" s="217"/>
      <c r="MEL1" s="217"/>
      <c r="MEM1" s="220"/>
      <c r="MEN1" s="216"/>
      <c r="MEO1" s="217"/>
      <c r="MEP1" s="217"/>
      <c r="MEQ1" s="220"/>
      <c r="MER1" s="216"/>
      <c r="MES1" s="217"/>
      <c r="MET1" s="217"/>
      <c r="MEU1" s="220"/>
      <c r="MEV1" s="216"/>
      <c r="MEW1" s="217"/>
      <c r="MEX1" s="217"/>
      <c r="MEY1" s="220"/>
      <c r="MEZ1" s="216"/>
      <c r="MFA1" s="217"/>
      <c r="MFB1" s="217"/>
      <c r="MFC1" s="220"/>
      <c r="MFD1" s="216"/>
      <c r="MFE1" s="217"/>
      <c r="MFF1" s="217"/>
      <c r="MFG1" s="220"/>
      <c r="MFH1" s="216"/>
      <c r="MFI1" s="217"/>
      <c r="MFJ1" s="217"/>
      <c r="MFK1" s="220"/>
      <c r="MFL1" s="216"/>
      <c r="MFM1" s="217"/>
      <c r="MFN1" s="217"/>
      <c r="MFO1" s="220"/>
      <c r="MFP1" s="216"/>
      <c r="MFQ1" s="217"/>
      <c r="MFR1" s="217"/>
      <c r="MFS1" s="220"/>
      <c r="MFT1" s="216"/>
      <c r="MFU1" s="217"/>
      <c r="MFV1" s="217"/>
      <c r="MFW1" s="220"/>
      <c r="MFX1" s="216"/>
      <c r="MFY1" s="217"/>
      <c r="MFZ1" s="217"/>
      <c r="MGA1" s="220"/>
      <c r="MGB1" s="216"/>
      <c r="MGC1" s="217"/>
      <c r="MGD1" s="217"/>
      <c r="MGE1" s="220"/>
      <c r="MGF1" s="216"/>
      <c r="MGG1" s="217"/>
      <c r="MGH1" s="217"/>
      <c r="MGI1" s="220"/>
      <c r="MGJ1" s="216"/>
      <c r="MGK1" s="217"/>
      <c r="MGL1" s="217"/>
      <c r="MGM1" s="220"/>
      <c r="MGN1" s="216"/>
      <c r="MGO1" s="217"/>
      <c r="MGP1" s="217"/>
      <c r="MGQ1" s="220"/>
      <c r="MGR1" s="216"/>
      <c r="MGS1" s="217"/>
      <c r="MGT1" s="217"/>
      <c r="MGU1" s="220"/>
      <c r="MGV1" s="216"/>
      <c r="MGW1" s="217"/>
      <c r="MGX1" s="217"/>
      <c r="MGY1" s="220"/>
      <c r="MGZ1" s="216"/>
      <c r="MHA1" s="217"/>
      <c r="MHB1" s="217"/>
      <c r="MHC1" s="220"/>
      <c r="MHD1" s="216"/>
      <c r="MHE1" s="217"/>
      <c r="MHF1" s="217"/>
      <c r="MHG1" s="220"/>
      <c r="MHH1" s="216"/>
      <c r="MHI1" s="217"/>
      <c r="MHJ1" s="217"/>
      <c r="MHK1" s="220"/>
      <c r="MHL1" s="216"/>
      <c r="MHM1" s="217"/>
      <c r="MHN1" s="217"/>
      <c r="MHO1" s="220"/>
      <c r="MHP1" s="216"/>
      <c r="MHQ1" s="217"/>
      <c r="MHR1" s="217"/>
      <c r="MHS1" s="220"/>
      <c r="MHT1" s="216"/>
      <c r="MHU1" s="217"/>
      <c r="MHV1" s="217"/>
      <c r="MHW1" s="220"/>
      <c r="MHX1" s="216"/>
      <c r="MHY1" s="217"/>
      <c r="MHZ1" s="217"/>
      <c r="MIA1" s="220"/>
      <c r="MIB1" s="216"/>
      <c r="MIC1" s="217"/>
      <c r="MID1" s="217"/>
      <c r="MIE1" s="220"/>
      <c r="MIF1" s="216"/>
      <c r="MIG1" s="217"/>
      <c r="MIH1" s="217"/>
      <c r="MII1" s="220"/>
      <c r="MIJ1" s="216"/>
      <c r="MIK1" s="217"/>
      <c r="MIL1" s="217"/>
      <c r="MIM1" s="220"/>
      <c r="MIN1" s="216"/>
      <c r="MIO1" s="217"/>
      <c r="MIP1" s="217"/>
      <c r="MIQ1" s="220"/>
      <c r="MIR1" s="216"/>
      <c r="MIS1" s="217"/>
      <c r="MIT1" s="217"/>
      <c r="MIU1" s="220"/>
      <c r="MIV1" s="216"/>
      <c r="MIW1" s="217"/>
      <c r="MIX1" s="217"/>
      <c r="MIY1" s="220"/>
      <c r="MIZ1" s="216"/>
      <c r="MJA1" s="217"/>
      <c r="MJB1" s="217"/>
      <c r="MJC1" s="220"/>
      <c r="MJD1" s="216"/>
      <c r="MJE1" s="217"/>
      <c r="MJF1" s="217"/>
      <c r="MJG1" s="220"/>
      <c r="MJH1" s="216"/>
      <c r="MJI1" s="217"/>
      <c r="MJJ1" s="217"/>
      <c r="MJK1" s="220"/>
      <c r="MJL1" s="216"/>
      <c r="MJM1" s="217"/>
      <c r="MJN1" s="217"/>
      <c r="MJO1" s="220"/>
      <c r="MJP1" s="216"/>
      <c r="MJQ1" s="217"/>
      <c r="MJR1" s="217"/>
      <c r="MJS1" s="220"/>
      <c r="MJT1" s="216"/>
      <c r="MJU1" s="217"/>
      <c r="MJV1" s="217"/>
      <c r="MJW1" s="220"/>
      <c r="MJX1" s="216"/>
      <c r="MJY1" s="217"/>
      <c r="MJZ1" s="217"/>
      <c r="MKA1" s="220"/>
      <c r="MKB1" s="216"/>
      <c r="MKC1" s="217"/>
      <c r="MKD1" s="217"/>
      <c r="MKE1" s="220"/>
      <c r="MKF1" s="216"/>
      <c r="MKG1" s="217"/>
      <c r="MKH1" s="217"/>
      <c r="MKI1" s="220"/>
      <c r="MKJ1" s="216"/>
      <c r="MKK1" s="217"/>
      <c r="MKL1" s="217"/>
      <c r="MKM1" s="220"/>
      <c r="MKN1" s="216"/>
      <c r="MKO1" s="217"/>
      <c r="MKP1" s="217"/>
      <c r="MKQ1" s="220"/>
      <c r="MKR1" s="216"/>
      <c r="MKS1" s="217"/>
      <c r="MKT1" s="217"/>
      <c r="MKU1" s="220"/>
      <c r="MKV1" s="216"/>
      <c r="MKW1" s="217"/>
      <c r="MKX1" s="217"/>
      <c r="MKY1" s="220"/>
      <c r="MKZ1" s="216"/>
      <c r="MLA1" s="217"/>
      <c r="MLB1" s="217"/>
      <c r="MLC1" s="220"/>
      <c r="MLD1" s="216"/>
      <c r="MLE1" s="217"/>
      <c r="MLF1" s="217"/>
      <c r="MLG1" s="220"/>
      <c r="MLH1" s="216"/>
      <c r="MLI1" s="217"/>
      <c r="MLJ1" s="217"/>
      <c r="MLK1" s="220"/>
      <c r="MLL1" s="216"/>
      <c r="MLM1" s="217"/>
      <c r="MLN1" s="217"/>
      <c r="MLO1" s="220"/>
      <c r="MLP1" s="216"/>
      <c r="MLQ1" s="217"/>
      <c r="MLR1" s="217"/>
      <c r="MLS1" s="220"/>
      <c r="MLT1" s="216"/>
      <c r="MLU1" s="217"/>
      <c r="MLV1" s="217"/>
      <c r="MLW1" s="220"/>
      <c r="MLX1" s="216"/>
      <c r="MLY1" s="217"/>
      <c r="MLZ1" s="217"/>
      <c r="MMA1" s="220"/>
      <c r="MMB1" s="216"/>
      <c r="MMC1" s="217"/>
      <c r="MMD1" s="217"/>
      <c r="MME1" s="220"/>
      <c r="MMF1" s="216"/>
      <c r="MMG1" s="217"/>
      <c r="MMH1" s="217"/>
      <c r="MMI1" s="220"/>
      <c r="MMJ1" s="216"/>
      <c r="MMK1" s="217"/>
      <c r="MML1" s="217"/>
      <c r="MMM1" s="220"/>
      <c r="MMN1" s="216"/>
      <c r="MMO1" s="217"/>
      <c r="MMP1" s="217"/>
      <c r="MMQ1" s="220"/>
      <c r="MMR1" s="216"/>
      <c r="MMS1" s="217"/>
      <c r="MMT1" s="217"/>
      <c r="MMU1" s="220"/>
      <c r="MMV1" s="216"/>
      <c r="MMW1" s="217"/>
      <c r="MMX1" s="217"/>
      <c r="MMY1" s="220"/>
      <c r="MMZ1" s="216"/>
      <c r="MNA1" s="217"/>
      <c r="MNB1" s="217"/>
      <c r="MNC1" s="220"/>
      <c r="MND1" s="216"/>
      <c r="MNE1" s="217"/>
      <c r="MNF1" s="217"/>
      <c r="MNG1" s="220"/>
      <c r="MNH1" s="216"/>
      <c r="MNI1" s="217"/>
      <c r="MNJ1" s="217"/>
      <c r="MNK1" s="220"/>
      <c r="MNL1" s="216"/>
      <c r="MNM1" s="217"/>
      <c r="MNN1" s="217"/>
      <c r="MNO1" s="220"/>
      <c r="MNP1" s="216"/>
      <c r="MNQ1" s="217"/>
      <c r="MNR1" s="217"/>
      <c r="MNS1" s="220"/>
      <c r="MNT1" s="216"/>
      <c r="MNU1" s="217"/>
      <c r="MNV1" s="217"/>
      <c r="MNW1" s="220"/>
      <c r="MNX1" s="216"/>
      <c r="MNY1" s="217"/>
      <c r="MNZ1" s="217"/>
      <c r="MOA1" s="220"/>
      <c r="MOB1" s="216"/>
      <c r="MOC1" s="217"/>
      <c r="MOD1" s="217"/>
      <c r="MOE1" s="220"/>
      <c r="MOF1" s="216"/>
      <c r="MOG1" s="217"/>
      <c r="MOH1" s="217"/>
      <c r="MOI1" s="220"/>
      <c r="MOJ1" s="216"/>
      <c r="MOK1" s="217"/>
      <c r="MOL1" s="217"/>
      <c r="MOM1" s="220"/>
      <c r="MON1" s="216"/>
      <c r="MOO1" s="217"/>
      <c r="MOP1" s="217"/>
      <c r="MOQ1" s="220"/>
      <c r="MOR1" s="216"/>
      <c r="MOS1" s="217"/>
      <c r="MOT1" s="217"/>
      <c r="MOU1" s="220"/>
      <c r="MOV1" s="216"/>
      <c r="MOW1" s="217"/>
      <c r="MOX1" s="217"/>
      <c r="MOY1" s="220"/>
      <c r="MOZ1" s="216"/>
      <c r="MPA1" s="217"/>
      <c r="MPB1" s="217"/>
      <c r="MPC1" s="220"/>
      <c r="MPD1" s="216"/>
      <c r="MPE1" s="217"/>
      <c r="MPF1" s="217"/>
      <c r="MPG1" s="220"/>
      <c r="MPH1" s="216"/>
      <c r="MPI1" s="217"/>
      <c r="MPJ1" s="217"/>
      <c r="MPK1" s="220"/>
      <c r="MPL1" s="216"/>
      <c r="MPM1" s="217"/>
      <c r="MPN1" s="217"/>
      <c r="MPO1" s="220"/>
      <c r="MPP1" s="216"/>
      <c r="MPQ1" s="217"/>
      <c r="MPR1" s="217"/>
      <c r="MPS1" s="220"/>
      <c r="MPT1" s="216"/>
      <c r="MPU1" s="217"/>
      <c r="MPV1" s="217"/>
      <c r="MPW1" s="220"/>
      <c r="MPX1" s="216"/>
      <c r="MPY1" s="217"/>
      <c r="MPZ1" s="217"/>
      <c r="MQA1" s="220"/>
      <c r="MQB1" s="216"/>
      <c r="MQC1" s="217"/>
      <c r="MQD1" s="217"/>
      <c r="MQE1" s="220"/>
      <c r="MQF1" s="216"/>
      <c r="MQG1" s="217"/>
      <c r="MQH1" s="217"/>
      <c r="MQI1" s="220"/>
      <c r="MQJ1" s="216"/>
      <c r="MQK1" s="217"/>
      <c r="MQL1" s="217"/>
      <c r="MQM1" s="220"/>
      <c r="MQN1" s="216"/>
      <c r="MQO1" s="217"/>
      <c r="MQP1" s="217"/>
      <c r="MQQ1" s="220"/>
      <c r="MQR1" s="216"/>
      <c r="MQS1" s="217"/>
      <c r="MQT1" s="217"/>
      <c r="MQU1" s="220"/>
      <c r="MQV1" s="216"/>
      <c r="MQW1" s="217"/>
      <c r="MQX1" s="217"/>
      <c r="MQY1" s="220"/>
      <c r="MQZ1" s="216"/>
      <c r="MRA1" s="217"/>
      <c r="MRB1" s="217"/>
      <c r="MRC1" s="220"/>
      <c r="MRD1" s="216"/>
      <c r="MRE1" s="217"/>
      <c r="MRF1" s="217"/>
      <c r="MRG1" s="220"/>
      <c r="MRH1" s="216"/>
      <c r="MRI1" s="217"/>
      <c r="MRJ1" s="217"/>
      <c r="MRK1" s="220"/>
      <c r="MRL1" s="216"/>
      <c r="MRM1" s="217"/>
      <c r="MRN1" s="217"/>
      <c r="MRO1" s="220"/>
      <c r="MRP1" s="216"/>
      <c r="MRQ1" s="217"/>
      <c r="MRR1" s="217"/>
      <c r="MRS1" s="220"/>
      <c r="MRT1" s="216"/>
      <c r="MRU1" s="217"/>
      <c r="MRV1" s="217"/>
      <c r="MRW1" s="220"/>
      <c r="MRX1" s="216"/>
      <c r="MRY1" s="217"/>
      <c r="MRZ1" s="217"/>
      <c r="MSA1" s="220"/>
      <c r="MSB1" s="216"/>
      <c r="MSC1" s="217"/>
      <c r="MSD1" s="217"/>
      <c r="MSE1" s="220"/>
      <c r="MSF1" s="216"/>
      <c r="MSG1" s="217"/>
      <c r="MSH1" s="217"/>
      <c r="MSI1" s="220"/>
      <c r="MSJ1" s="216"/>
      <c r="MSK1" s="217"/>
      <c r="MSL1" s="217"/>
      <c r="MSM1" s="220"/>
      <c r="MSN1" s="216"/>
      <c r="MSO1" s="217"/>
      <c r="MSP1" s="217"/>
      <c r="MSQ1" s="220"/>
      <c r="MSR1" s="216"/>
      <c r="MSS1" s="217"/>
      <c r="MST1" s="217"/>
      <c r="MSU1" s="220"/>
      <c r="MSV1" s="216"/>
      <c r="MSW1" s="217"/>
      <c r="MSX1" s="217"/>
      <c r="MSY1" s="220"/>
      <c r="MSZ1" s="216"/>
      <c r="MTA1" s="217"/>
      <c r="MTB1" s="217"/>
      <c r="MTC1" s="220"/>
      <c r="MTD1" s="216"/>
      <c r="MTE1" s="217"/>
      <c r="MTF1" s="217"/>
      <c r="MTG1" s="220"/>
      <c r="MTH1" s="216"/>
      <c r="MTI1" s="217"/>
      <c r="MTJ1" s="217"/>
      <c r="MTK1" s="220"/>
      <c r="MTL1" s="216"/>
      <c r="MTM1" s="217"/>
      <c r="MTN1" s="217"/>
      <c r="MTO1" s="220"/>
      <c r="MTP1" s="216"/>
      <c r="MTQ1" s="217"/>
      <c r="MTR1" s="217"/>
      <c r="MTS1" s="220"/>
      <c r="MTT1" s="216"/>
      <c r="MTU1" s="217"/>
      <c r="MTV1" s="217"/>
      <c r="MTW1" s="220"/>
      <c r="MTX1" s="216"/>
      <c r="MTY1" s="217"/>
      <c r="MTZ1" s="217"/>
      <c r="MUA1" s="220"/>
      <c r="MUB1" s="216"/>
      <c r="MUC1" s="217"/>
      <c r="MUD1" s="217"/>
      <c r="MUE1" s="220"/>
      <c r="MUF1" s="216"/>
      <c r="MUG1" s="217"/>
      <c r="MUH1" s="217"/>
      <c r="MUI1" s="220"/>
      <c r="MUJ1" s="216"/>
      <c r="MUK1" s="217"/>
      <c r="MUL1" s="217"/>
      <c r="MUM1" s="220"/>
      <c r="MUN1" s="216"/>
      <c r="MUO1" s="217"/>
      <c r="MUP1" s="217"/>
      <c r="MUQ1" s="220"/>
      <c r="MUR1" s="216"/>
      <c r="MUS1" s="217"/>
      <c r="MUT1" s="217"/>
      <c r="MUU1" s="220"/>
      <c r="MUV1" s="216"/>
      <c r="MUW1" s="217"/>
      <c r="MUX1" s="217"/>
      <c r="MUY1" s="220"/>
      <c r="MUZ1" s="216"/>
      <c r="MVA1" s="217"/>
      <c r="MVB1" s="217"/>
      <c r="MVC1" s="220"/>
      <c r="MVD1" s="216"/>
      <c r="MVE1" s="217"/>
      <c r="MVF1" s="217"/>
      <c r="MVG1" s="220"/>
      <c r="MVH1" s="216"/>
      <c r="MVI1" s="217"/>
      <c r="MVJ1" s="217"/>
      <c r="MVK1" s="220"/>
      <c r="MVL1" s="216"/>
      <c r="MVM1" s="217"/>
      <c r="MVN1" s="217"/>
      <c r="MVO1" s="220"/>
      <c r="MVP1" s="216"/>
      <c r="MVQ1" s="217"/>
      <c r="MVR1" s="217"/>
      <c r="MVS1" s="220"/>
      <c r="MVT1" s="216"/>
      <c r="MVU1" s="217"/>
      <c r="MVV1" s="217"/>
      <c r="MVW1" s="220"/>
      <c r="MVX1" s="216"/>
      <c r="MVY1" s="217"/>
      <c r="MVZ1" s="217"/>
      <c r="MWA1" s="220"/>
      <c r="MWB1" s="216"/>
      <c r="MWC1" s="217"/>
      <c r="MWD1" s="217"/>
      <c r="MWE1" s="220"/>
      <c r="MWF1" s="216"/>
      <c r="MWG1" s="217"/>
      <c r="MWH1" s="217"/>
      <c r="MWI1" s="220"/>
      <c r="MWJ1" s="216"/>
      <c r="MWK1" s="217"/>
      <c r="MWL1" s="217"/>
      <c r="MWM1" s="220"/>
      <c r="MWN1" s="216"/>
      <c r="MWO1" s="217"/>
      <c r="MWP1" s="217"/>
      <c r="MWQ1" s="220"/>
      <c r="MWR1" s="216"/>
      <c r="MWS1" s="217"/>
      <c r="MWT1" s="217"/>
      <c r="MWU1" s="220"/>
      <c r="MWV1" s="216"/>
      <c r="MWW1" s="217"/>
      <c r="MWX1" s="217"/>
      <c r="MWY1" s="220"/>
      <c r="MWZ1" s="216"/>
      <c r="MXA1" s="217"/>
      <c r="MXB1" s="217"/>
      <c r="MXC1" s="220"/>
      <c r="MXD1" s="216"/>
      <c r="MXE1" s="217"/>
      <c r="MXF1" s="217"/>
      <c r="MXG1" s="220"/>
      <c r="MXH1" s="216"/>
      <c r="MXI1" s="217"/>
      <c r="MXJ1" s="217"/>
      <c r="MXK1" s="220"/>
      <c r="MXL1" s="216"/>
      <c r="MXM1" s="217"/>
      <c r="MXN1" s="217"/>
      <c r="MXO1" s="220"/>
      <c r="MXP1" s="216"/>
      <c r="MXQ1" s="217"/>
      <c r="MXR1" s="217"/>
      <c r="MXS1" s="220"/>
      <c r="MXT1" s="216"/>
      <c r="MXU1" s="217"/>
      <c r="MXV1" s="217"/>
      <c r="MXW1" s="220"/>
      <c r="MXX1" s="216"/>
      <c r="MXY1" s="217"/>
      <c r="MXZ1" s="217"/>
      <c r="MYA1" s="220"/>
      <c r="MYB1" s="216"/>
      <c r="MYC1" s="217"/>
      <c r="MYD1" s="217"/>
      <c r="MYE1" s="220"/>
      <c r="MYF1" s="216"/>
      <c r="MYG1" s="217"/>
      <c r="MYH1" s="217"/>
      <c r="MYI1" s="220"/>
      <c r="MYJ1" s="216"/>
      <c r="MYK1" s="217"/>
      <c r="MYL1" s="217"/>
      <c r="MYM1" s="220"/>
      <c r="MYN1" s="216"/>
      <c r="MYO1" s="217"/>
      <c r="MYP1" s="217"/>
      <c r="MYQ1" s="220"/>
      <c r="MYR1" s="216"/>
      <c r="MYS1" s="217"/>
      <c r="MYT1" s="217"/>
      <c r="MYU1" s="220"/>
      <c r="MYV1" s="216"/>
      <c r="MYW1" s="217"/>
      <c r="MYX1" s="217"/>
      <c r="MYY1" s="220"/>
      <c r="MYZ1" s="216"/>
      <c r="MZA1" s="217"/>
      <c r="MZB1" s="217"/>
      <c r="MZC1" s="220"/>
      <c r="MZD1" s="216"/>
      <c r="MZE1" s="217"/>
      <c r="MZF1" s="217"/>
      <c r="MZG1" s="220"/>
      <c r="MZH1" s="216"/>
      <c r="MZI1" s="217"/>
      <c r="MZJ1" s="217"/>
      <c r="MZK1" s="220"/>
      <c r="MZL1" s="216"/>
      <c r="MZM1" s="217"/>
      <c r="MZN1" s="217"/>
      <c r="MZO1" s="220"/>
      <c r="MZP1" s="216"/>
      <c r="MZQ1" s="217"/>
      <c r="MZR1" s="217"/>
      <c r="MZS1" s="220"/>
      <c r="MZT1" s="216"/>
      <c r="MZU1" s="217"/>
      <c r="MZV1" s="217"/>
      <c r="MZW1" s="220"/>
      <c r="MZX1" s="216"/>
      <c r="MZY1" s="217"/>
      <c r="MZZ1" s="217"/>
      <c r="NAA1" s="220"/>
      <c r="NAB1" s="216"/>
      <c r="NAC1" s="217"/>
      <c r="NAD1" s="217"/>
      <c r="NAE1" s="220"/>
      <c r="NAF1" s="216"/>
      <c r="NAG1" s="217"/>
      <c r="NAH1" s="217"/>
      <c r="NAI1" s="220"/>
      <c r="NAJ1" s="216"/>
      <c r="NAK1" s="217"/>
      <c r="NAL1" s="217"/>
      <c r="NAM1" s="220"/>
      <c r="NAN1" s="216"/>
      <c r="NAO1" s="217"/>
      <c r="NAP1" s="217"/>
      <c r="NAQ1" s="220"/>
      <c r="NAR1" s="216"/>
      <c r="NAS1" s="217"/>
      <c r="NAT1" s="217"/>
      <c r="NAU1" s="220"/>
      <c r="NAV1" s="216"/>
      <c r="NAW1" s="217"/>
      <c r="NAX1" s="217"/>
      <c r="NAY1" s="220"/>
      <c r="NAZ1" s="216"/>
      <c r="NBA1" s="217"/>
      <c r="NBB1" s="217"/>
      <c r="NBC1" s="220"/>
      <c r="NBD1" s="216"/>
      <c r="NBE1" s="217"/>
      <c r="NBF1" s="217"/>
      <c r="NBG1" s="220"/>
      <c r="NBH1" s="216"/>
      <c r="NBI1" s="217"/>
      <c r="NBJ1" s="217"/>
      <c r="NBK1" s="220"/>
      <c r="NBL1" s="216"/>
      <c r="NBM1" s="217"/>
      <c r="NBN1" s="217"/>
      <c r="NBO1" s="220"/>
      <c r="NBP1" s="216"/>
      <c r="NBQ1" s="217"/>
      <c r="NBR1" s="217"/>
      <c r="NBS1" s="220"/>
      <c r="NBT1" s="216"/>
      <c r="NBU1" s="217"/>
      <c r="NBV1" s="217"/>
      <c r="NBW1" s="220"/>
      <c r="NBX1" s="216"/>
      <c r="NBY1" s="217"/>
      <c r="NBZ1" s="217"/>
      <c r="NCA1" s="220"/>
      <c r="NCB1" s="216"/>
      <c r="NCC1" s="217"/>
      <c r="NCD1" s="217"/>
      <c r="NCE1" s="220"/>
      <c r="NCF1" s="216"/>
      <c r="NCG1" s="217"/>
      <c r="NCH1" s="217"/>
      <c r="NCI1" s="220"/>
      <c r="NCJ1" s="216"/>
      <c r="NCK1" s="217"/>
      <c r="NCL1" s="217"/>
      <c r="NCM1" s="220"/>
      <c r="NCN1" s="216"/>
      <c r="NCO1" s="217"/>
      <c r="NCP1" s="217"/>
      <c r="NCQ1" s="220"/>
      <c r="NCR1" s="216"/>
      <c r="NCS1" s="217"/>
      <c r="NCT1" s="217"/>
      <c r="NCU1" s="220"/>
      <c r="NCV1" s="216"/>
      <c r="NCW1" s="217"/>
      <c r="NCX1" s="217"/>
      <c r="NCY1" s="220"/>
      <c r="NCZ1" s="216"/>
      <c r="NDA1" s="217"/>
      <c r="NDB1" s="217"/>
      <c r="NDC1" s="220"/>
      <c r="NDD1" s="216"/>
      <c r="NDE1" s="217"/>
      <c r="NDF1" s="217"/>
      <c r="NDG1" s="220"/>
      <c r="NDH1" s="216"/>
      <c r="NDI1" s="217"/>
      <c r="NDJ1" s="217"/>
      <c r="NDK1" s="220"/>
      <c r="NDL1" s="216"/>
      <c r="NDM1" s="217"/>
      <c r="NDN1" s="217"/>
      <c r="NDO1" s="220"/>
      <c r="NDP1" s="216"/>
      <c r="NDQ1" s="217"/>
      <c r="NDR1" s="217"/>
      <c r="NDS1" s="220"/>
      <c r="NDT1" s="216"/>
      <c r="NDU1" s="217"/>
      <c r="NDV1" s="217"/>
      <c r="NDW1" s="220"/>
      <c r="NDX1" s="216"/>
      <c r="NDY1" s="217"/>
      <c r="NDZ1" s="217"/>
      <c r="NEA1" s="220"/>
      <c r="NEB1" s="216"/>
      <c r="NEC1" s="217"/>
      <c r="NED1" s="217"/>
      <c r="NEE1" s="220"/>
      <c r="NEF1" s="216"/>
      <c r="NEG1" s="217"/>
      <c r="NEH1" s="217"/>
      <c r="NEI1" s="220"/>
      <c r="NEJ1" s="216"/>
      <c r="NEK1" s="217"/>
      <c r="NEL1" s="217"/>
      <c r="NEM1" s="220"/>
      <c r="NEN1" s="216"/>
      <c r="NEO1" s="217"/>
      <c r="NEP1" s="217"/>
      <c r="NEQ1" s="220"/>
      <c r="NER1" s="216"/>
      <c r="NES1" s="217"/>
      <c r="NET1" s="217"/>
      <c r="NEU1" s="220"/>
      <c r="NEV1" s="216"/>
      <c r="NEW1" s="217"/>
      <c r="NEX1" s="217"/>
      <c r="NEY1" s="220"/>
      <c r="NEZ1" s="216"/>
      <c r="NFA1" s="217"/>
      <c r="NFB1" s="217"/>
      <c r="NFC1" s="220"/>
      <c r="NFD1" s="216"/>
      <c r="NFE1" s="217"/>
      <c r="NFF1" s="217"/>
      <c r="NFG1" s="220"/>
      <c r="NFH1" s="216"/>
      <c r="NFI1" s="217"/>
      <c r="NFJ1" s="217"/>
      <c r="NFK1" s="220"/>
      <c r="NFL1" s="216"/>
      <c r="NFM1" s="217"/>
      <c r="NFN1" s="217"/>
      <c r="NFO1" s="220"/>
      <c r="NFP1" s="216"/>
      <c r="NFQ1" s="217"/>
      <c r="NFR1" s="217"/>
      <c r="NFS1" s="220"/>
      <c r="NFT1" s="216"/>
      <c r="NFU1" s="217"/>
      <c r="NFV1" s="217"/>
      <c r="NFW1" s="220"/>
      <c r="NFX1" s="216"/>
      <c r="NFY1" s="217"/>
      <c r="NFZ1" s="217"/>
      <c r="NGA1" s="220"/>
      <c r="NGB1" s="216"/>
      <c r="NGC1" s="217"/>
      <c r="NGD1" s="217"/>
      <c r="NGE1" s="220"/>
      <c r="NGF1" s="216"/>
      <c r="NGG1" s="217"/>
      <c r="NGH1" s="217"/>
      <c r="NGI1" s="220"/>
      <c r="NGJ1" s="216"/>
      <c r="NGK1" s="217"/>
      <c r="NGL1" s="217"/>
      <c r="NGM1" s="220"/>
      <c r="NGN1" s="216"/>
      <c r="NGO1" s="217"/>
      <c r="NGP1" s="217"/>
      <c r="NGQ1" s="220"/>
      <c r="NGR1" s="216"/>
      <c r="NGS1" s="217"/>
      <c r="NGT1" s="217"/>
      <c r="NGU1" s="220"/>
      <c r="NGV1" s="216"/>
      <c r="NGW1" s="217"/>
      <c r="NGX1" s="217"/>
      <c r="NGY1" s="220"/>
      <c r="NGZ1" s="216"/>
      <c r="NHA1" s="217"/>
      <c r="NHB1" s="217"/>
      <c r="NHC1" s="220"/>
      <c r="NHD1" s="216"/>
      <c r="NHE1" s="217"/>
      <c r="NHF1" s="217"/>
      <c r="NHG1" s="220"/>
      <c r="NHH1" s="216"/>
      <c r="NHI1" s="217"/>
      <c r="NHJ1" s="217"/>
      <c r="NHK1" s="220"/>
      <c r="NHL1" s="216"/>
      <c r="NHM1" s="217"/>
      <c r="NHN1" s="217"/>
      <c r="NHO1" s="220"/>
      <c r="NHP1" s="216"/>
      <c r="NHQ1" s="217"/>
      <c r="NHR1" s="217"/>
      <c r="NHS1" s="220"/>
      <c r="NHT1" s="216"/>
      <c r="NHU1" s="217"/>
      <c r="NHV1" s="217"/>
      <c r="NHW1" s="220"/>
      <c r="NHX1" s="216"/>
      <c r="NHY1" s="217"/>
      <c r="NHZ1" s="217"/>
      <c r="NIA1" s="220"/>
      <c r="NIB1" s="216"/>
      <c r="NIC1" s="217"/>
      <c r="NID1" s="217"/>
      <c r="NIE1" s="220"/>
      <c r="NIF1" s="216"/>
      <c r="NIG1" s="217"/>
      <c r="NIH1" s="217"/>
      <c r="NII1" s="220"/>
      <c r="NIJ1" s="216"/>
      <c r="NIK1" s="217"/>
      <c r="NIL1" s="217"/>
      <c r="NIM1" s="220"/>
      <c r="NIN1" s="216"/>
      <c r="NIO1" s="217"/>
      <c r="NIP1" s="217"/>
      <c r="NIQ1" s="220"/>
      <c r="NIR1" s="216"/>
      <c r="NIS1" s="217"/>
      <c r="NIT1" s="217"/>
      <c r="NIU1" s="220"/>
      <c r="NIV1" s="216"/>
      <c r="NIW1" s="217"/>
      <c r="NIX1" s="217"/>
      <c r="NIY1" s="220"/>
      <c r="NIZ1" s="216"/>
      <c r="NJA1" s="217"/>
      <c r="NJB1" s="217"/>
      <c r="NJC1" s="220"/>
      <c r="NJD1" s="216"/>
      <c r="NJE1" s="217"/>
      <c r="NJF1" s="217"/>
      <c r="NJG1" s="220"/>
      <c r="NJH1" s="216"/>
      <c r="NJI1" s="217"/>
      <c r="NJJ1" s="217"/>
      <c r="NJK1" s="220"/>
      <c r="NJL1" s="216"/>
      <c r="NJM1" s="217"/>
      <c r="NJN1" s="217"/>
      <c r="NJO1" s="220"/>
      <c r="NJP1" s="216"/>
      <c r="NJQ1" s="217"/>
      <c r="NJR1" s="217"/>
      <c r="NJS1" s="220"/>
      <c r="NJT1" s="216"/>
      <c r="NJU1" s="217"/>
      <c r="NJV1" s="217"/>
      <c r="NJW1" s="220"/>
      <c r="NJX1" s="216"/>
      <c r="NJY1" s="217"/>
      <c r="NJZ1" s="217"/>
      <c r="NKA1" s="220"/>
      <c r="NKB1" s="216"/>
      <c r="NKC1" s="217"/>
      <c r="NKD1" s="217"/>
      <c r="NKE1" s="220"/>
      <c r="NKF1" s="216"/>
      <c r="NKG1" s="217"/>
      <c r="NKH1" s="217"/>
      <c r="NKI1" s="220"/>
      <c r="NKJ1" s="216"/>
      <c r="NKK1" s="217"/>
      <c r="NKL1" s="217"/>
      <c r="NKM1" s="220"/>
      <c r="NKN1" s="216"/>
      <c r="NKO1" s="217"/>
      <c r="NKP1" s="217"/>
      <c r="NKQ1" s="220"/>
      <c r="NKR1" s="216"/>
      <c r="NKS1" s="217"/>
      <c r="NKT1" s="217"/>
      <c r="NKU1" s="220"/>
      <c r="NKV1" s="216"/>
      <c r="NKW1" s="217"/>
      <c r="NKX1" s="217"/>
      <c r="NKY1" s="220"/>
      <c r="NKZ1" s="216"/>
      <c r="NLA1" s="217"/>
      <c r="NLB1" s="217"/>
      <c r="NLC1" s="220"/>
      <c r="NLD1" s="216"/>
      <c r="NLE1" s="217"/>
      <c r="NLF1" s="217"/>
      <c r="NLG1" s="220"/>
      <c r="NLH1" s="216"/>
      <c r="NLI1" s="217"/>
      <c r="NLJ1" s="217"/>
      <c r="NLK1" s="220"/>
      <c r="NLL1" s="216"/>
      <c r="NLM1" s="217"/>
      <c r="NLN1" s="217"/>
      <c r="NLO1" s="220"/>
      <c r="NLP1" s="216"/>
      <c r="NLQ1" s="217"/>
      <c r="NLR1" s="217"/>
      <c r="NLS1" s="220"/>
      <c r="NLT1" s="216"/>
      <c r="NLU1" s="217"/>
      <c r="NLV1" s="217"/>
      <c r="NLW1" s="220"/>
      <c r="NLX1" s="216"/>
      <c r="NLY1" s="217"/>
      <c r="NLZ1" s="217"/>
      <c r="NMA1" s="220"/>
      <c r="NMB1" s="216"/>
      <c r="NMC1" s="217"/>
      <c r="NMD1" s="217"/>
      <c r="NME1" s="220"/>
      <c r="NMF1" s="216"/>
      <c r="NMG1" s="217"/>
      <c r="NMH1" s="217"/>
      <c r="NMI1" s="220"/>
      <c r="NMJ1" s="216"/>
      <c r="NMK1" s="217"/>
      <c r="NML1" s="217"/>
      <c r="NMM1" s="220"/>
      <c r="NMN1" s="216"/>
      <c r="NMO1" s="217"/>
      <c r="NMP1" s="217"/>
      <c r="NMQ1" s="220"/>
      <c r="NMR1" s="216"/>
      <c r="NMS1" s="217"/>
      <c r="NMT1" s="217"/>
      <c r="NMU1" s="220"/>
      <c r="NMV1" s="216"/>
      <c r="NMW1" s="217"/>
      <c r="NMX1" s="217"/>
      <c r="NMY1" s="220"/>
      <c r="NMZ1" s="216"/>
      <c r="NNA1" s="217"/>
      <c r="NNB1" s="217"/>
      <c r="NNC1" s="220"/>
      <c r="NND1" s="216"/>
      <c r="NNE1" s="217"/>
      <c r="NNF1" s="217"/>
      <c r="NNG1" s="220"/>
      <c r="NNH1" s="216"/>
      <c r="NNI1" s="217"/>
      <c r="NNJ1" s="217"/>
      <c r="NNK1" s="220"/>
      <c r="NNL1" s="216"/>
      <c r="NNM1" s="217"/>
      <c r="NNN1" s="217"/>
      <c r="NNO1" s="220"/>
      <c r="NNP1" s="216"/>
      <c r="NNQ1" s="217"/>
      <c r="NNR1" s="217"/>
      <c r="NNS1" s="220"/>
      <c r="NNT1" s="216"/>
      <c r="NNU1" s="217"/>
      <c r="NNV1" s="217"/>
      <c r="NNW1" s="220"/>
      <c r="NNX1" s="216"/>
      <c r="NNY1" s="217"/>
      <c r="NNZ1" s="217"/>
      <c r="NOA1" s="220"/>
      <c r="NOB1" s="216"/>
      <c r="NOC1" s="217"/>
      <c r="NOD1" s="217"/>
      <c r="NOE1" s="220"/>
      <c r="NOF1" s="216"/>
      <c r="NOG1" s="217"/>
      <c r="NOH1" s="217"/>
      <c r="NOI1" s="220"/>
      <c r="NOJ1" s="216"/>
      <c r="NOK1" s="217"/>
      <c r="NOL1" s="217"/>
      <c r="NOM1" s="220"/>
      <c r="NON1" s="216"/>
      <c r="NOO1" s="217"/>
      <c r="NOP1" s="217"/>
      <c r="NOQ1" s="220"/>
      <c r="NOR1" s="216"/>
      <c r="NOS1" s="217"/>
      <c r="NOT1" s="217"/>
      <c r="NOU1" s="220"/>
      <c r="NOV1" s="216"/>
      <c r="NOW1" s="217"/>
      <c r="NOX1" s="217"/>
      <c r="NOY1" s="220"/>
      <c r="NOZ1" s="216"/>
      <c r="NPA1" s="217"/>
      <c r="NPB1" s="217"/>
      <c r="NPC1" s="220"/>
      <c r="NPD1" s="216"/>
      <c r="NPE1" s="217"/>
      <c r="NPF1" s="217"/>
      <c r="NPG1" s="220"/>
      <c r="NPH1" s="216"/>
      <c r="NPI1" s="217"/>
      <c r="NPJ1" s="217"/>
      <c r="NPK1" s="220"/>
      <c r="NPL1" s="216"/>
      <c r="NPM1" s="217"/>
      <c r="NPN1" s="217"/>
      <c r="NPO1" s="220"/>
      <c r="NPP1" s="216"/>
      <c r="NPQ1" s="217"/>
      <c r="NPR1" s="217"/>
      <c r="NPS1" s="220"/>
      <c r="NPT1" s="216"/>
      <c r="NPU1" s="217"/>
      <c r="NPV1" s="217"/>
      <c r="NPW1" s="220"/>
      <c r="NPX1" s="216"/>
      <c r="NPY1" s="217"/>
      <c r="NPZ1" s="217"/>
      <c r="NQA1" s="220"/>
      <c r="NQB1" s="216"/>
      <c r="NQC1" s="217"/>
      <c r="NQD1" s="217"/>
      <c r="NQE1" s="220"/>
      <c r="NQF1" s="216"/>
      <c r="NQG1" s="217"/>
      <c r="NQH1" s="217"/>
      <c r="NQI1" s="220"/>
      <c r="NQJ1" s="216"/>
      <c r="NQK1" s="217"/>
      <c r="NQL1" s="217"/>
      <c r="NQM1" s="220"/>
      <c r="NQN1" s="216"/>
      <c r="NQO1" s="217"/>
      <c r="NQP1" s="217"/>
      <c r="NQQ1" s="220"/>
      <c r="NQR1" s="216"/>
      <c r="NQS1" s="217"/>
      <c r="NQT1" s="217"/>
      <c r="NQU1" s="220"/>
      <c r="NQV1" s="216"/>
      <c r="NQW1" s="217"/>
      <c r="NQX1" s="217"/>
      <c r="NQY1" s="220"/>
      <c r="NQZ1" s="216"/>
      <c r="NRA1" s="217"/>
      <c r="NRB1" s="217"/>
      <c r="NRC1" s="220"/>
      <c r="NRD1" s="216"/>
      <c r="NRE1" s="217"/>
      <c r="NRF1" s="217"/>
      <c r="NRG1" s="220"/>
      <c r="NRH1" s="216"/>
      <c r="NRI1" s="217"/>
      <c r="NRJ1" s="217"/>
      <c r="NRK1" s="220"/>
      <c r="NRL1" s="216"/>
      <c r="NRM1" s="217"/>
      <c r="NRN1" s="217"/>
      <c r="NRO1" s="220"/>
      <c r="NRP1" s="216"/>
      <c r="NRQ1" s="217"/>
      <c r="NRR1" s="217"/>
      <c r="NRS1" s="220"/>
      <c r="NRT1" s="216"/>
      <c r="NRU1" s="217"/>
      <c r="NRV1" s="217"/>
      <c r="NRW1" s="220"/>
      <c r="NRX1" s="216"/>
      <c r="NRY1" s="217"/>
      <c r="NRZ1" s="217"/>
      <c r="NSA1" s="220"/>
      <c r="NSB1" s="216"/>
      <c r="NSC1" s="217"/>
      <c r="NSD1" s="217"/>
      <c r="NSE1" s="220"/>
      <c r="NSF1" s="216"/>
      <c r="NSG1" s="217"/>
      <c r="NSH1" s="217"/>
      <c r="NSI1" s="220"/>
      <c r="NSJ1" s="216"/>
      <c r="NSK1" s="217"/>
      <c r="NSL1" s="217"/>
      <c r="NSM1" s="220"/>
      <c r="NSN1" s="216"/>
      <c r="NSO1" s="217"/>
      <c r="NSP1" s="217"/>
      <c r="NSQ1" s="220"/>
      <c r="NSR1" s="216"/>
      <c r="NSS1" s="217"/>
      <c r="NST1" s="217"/>
      <c r="NSU1" s="220"/>
      <c r="NSV1" s="216"/>
      <c r="NSW1" s="217"/>
      <c r="NSX1" s="217"/>
      <c r="NSY1" s="220"/>
      <c r="NSZ1" s="216"/>
      <c r="NTA1" s="217"/>
      <c r="NTB1" s="217"/>
      <c r="NTC1" s="220"/>
      <c r="NTD1" s="216"/>
      <c r="NTE1" s="217"/>
      <c r="NTF1" s="217"/>
      <c r="NTG1" s="220"/>
      <c r="NTH1" s="216"/>
      <c r="NTI1" s="217"/>
      <c r="NTJ1" s="217"/>
      <c r="NTK1" s="220"/>
      <c r="NTL1" s="216"/>
      <c r="NTM1" s="217"/>
      <c r="NTN1" s="217"/>
      <c r="NTO1" s="220"/>
      <c r="NTP1" s="216"/>
      <c r="NTQ1" s="217"/>
      <c r="NTR1" s="217"/>
      <c r="NTS1" s="220"/>
      <c r="NTT1" s="216"/>
      <c r="NTU1" s="217"/>
      <c r="NTV1" s="217"/>
      <c r="NTW1" s="220"/>
      <c r="NTX1" s="216"/>
      <c r="NTY1" s="217"/>
      <c r="NTZ1" s="217"/>
      <c r="NUA1" s="220"/>
      <c r="NUB1" s="216"/>
      <c r="NUC1" s="217"/>
      <c r="NUD1" s="217"/>
      <c r="NUE1" s="220"/>
      <c r="NUF1" s="216"/>
      <c r="NUG1" s="217"/>
      <c r="NUH1" s="217"/>
      <c r="NUI1" s="220"/>
      <c r="NUJ1" s="216"/>
      <c r="NUK1" s="217"/>
      <c r="NUL1" s="217"/>
      <c r="NUM1" s="220"/>
      <c r="NUN1" s="216"/>
      <c r="NUO1" s="217"/>
      <c r="NUP1" s="217"/>
      <c r="NUQ1" s="220"/>
      <c r="NUR1" s="216"/>
      <c r="NUS1" s="217"/>
      <c r="NUT1" s="217"/>
      <c r="NUU1" s="220"/>
      <c r="NUV1" s="216"/>
      <c r="NUW1" s="217"/>
      <c r="NUX1" s="217"/>
      <c r="NUY1" s="220"/>
      <c r="NUZ1" s="216"/>
      <c r="NVA1" s="217"/>
      <c r="NVB1" s="217"/>
      <c r="NVC1" s="220"/>
      <c r="NVD1" s="216"/>
      <c r="NVE1" s="217"/>
      <c r="NVF1" s="217"/>
      <c r="NVG1" s="220"/>
      <c r="NVH1" s="216"/>
      <c r="NVI1" s="217"/>
      <c r="NVJ1" s="217"/>
      <c r="NVK1" s="220"/>
      <c r="NVL1" s="216"/>
      <c r="NVM1" s="217"/>
      <c r="NVN1" s="217"/>
      <c r="NVO1" s="220"/>
      <c r="NVP1" s="216"/>
      <c r="NVQ1" s="217"/>
      <c r="NVR1" s="217"/>
      <c r="NVS1" s="220"/>
      <c r="NVT1" s="216"/>
      <c r="NVU1" s="217"/>
      <c r="NVV1" s="217"/>
      <c r="NVW1" s="220"/>
      <c r="NVX1" s="216"/>
      <c r="NVY1" s="217"/>
      <c r="NVZ1" s="217"/>
      <c r="NWA1" s="220"/>
      <c r="NWB1" s="216"/>
      <c r="NWC1" s="217"/>
      <c r="NWD1" s="217"/>
      <c r="NWE1" s="220"/>
      <c r="NWF1" s="216"/>
      <c r="NWG1" s="217"/>
      <c r="NWH1" s="217"/>
      <c r="NWI1" s="220"/>
      <c r="NWJ1" s="216"/>
      <c r="NWK1" s="217"/>
      <c r="NWL1" s="217"/>
      <c r="NWM1" s="220"/>
      <c r="NWN1" s="216"/>
      <c r="NWO1" s="217"/>
      <c r="NWP1" s="217"/>
      <c r="NWQ1" s="220"/>
      <c r="NWR1" s="216"/>
      <c r="NWS1" s="217"/>
      <c r="NWT1" s="217"/>
      <c r="NWU1" s="220"/>
      <c r="NWV1" s="216"/>
      <c r="NWW1" s="217"/>
      <c r="NWX1" s="217"/>
      <c r="NWY1" s="220"/>
      <c r="NWZ1" s="216"/>
      <c r="NXA1" s="217"/>
      <c r="NXB1" s="217"/>
      <c r="NXC1" s="220"/>
      <c r="NXD1" s="216"/>
      <c r="NXE1" s="217"/>
      <c r="NXF1" s="217"/>
      <c r="NXG1" s="220"/>
      <c r="NXH1" s="216"/>
      <c r="NXI1" s="217"/>
      <c r="NXJ1" s="217"/>
      <c r="NXK1" s="220"/>
      <c r="NXL1" s="216"/>
      <c r="NXM1" s="217"/>
      <c r="NXN1" s="217"/>
      <c r="NXO1" s="220"/>
      <c r="NXP1" s="216"/>
      <c r="NXQ1" s="217"/>
      <c r="NXR1" s="217"/>
      <c r="NXS1" s="220"/>
      <c r="NXT1" s="216"/>
      <c r="NXU1" s="217"/>
      <c r="NXV1" s="217"/>
      <c r="NXW1" s="220"/>
      <c r="NXX1" s="216"/>
      <c r="NXY1" s="217"/>
      <c r="NXZ1" s="217"/>
      <c r="NYA1" s="220"/>
      <c r="NYB1" s="216"/>
      <c r="NYC1" s="217"/>
      <c r="NYD1" s="217"/>
      <c r="NYE1" s="220"/>
      <c r="NYF1" s="216"/>
      <c r="NYG1" s="217"/>
      <c r="NYH1" s="217"/>
      <c r="NYI1" s="220"/>
      <c r="NYJ1" s="216"/>
      <c r="NYK1" s="217"/>
      <c r="NYL1" s="217"/>
      <c r="NYM1" s="220"/>
      <c r="NYN1" s="216"/>
      <c r="NYO1" s="217"/>
      <c r="NYP1" s="217"/>
      <c r="NYQ1" s="220"/>
      <c r="NYR1" s="216"/>
      <c r="NYS1" s="217"/>
      <c r="NYT1" s="217"/>
      <c r="NYU1" s="220"/>
      <c r="NYV1" s="216"/>
      <c r="NYW1" s="217"/>
      <c r="NYX1" s="217"/>
      <c r="NYY1" s="220"/>
      <c r="NYZ1" s="216"/>
      <c r="NZA1" s="217"/>
      <c r="NZB1" s="217"/>
      <c r="NZC1" s="220"/>
      <c r="NZD1" s="216"/>
      <c r="NZE1" s="217"/>
      <c r="NZF1" s="217"/>
      <c r="NZG1" s="220"/>
      <c r="NZH1" s="216"/>
      <c r="NZI1" s="217"/>
      <c r="NZJ1" s="217"/>
      <c r="NZK1" s="220"/>
      <c r="NZL1" s="216"/>
      <c r="NZM1" s="217"/>
      <c r="NZN1" s="217"/>
      <c r="NZO1" s="220"/>
      <c r="NZP1" s="216"/>
      <c r="NZQ1" s="217"/>
      <c r="NZR1" s="217"/>
      <c r="NZS1" s="220"/>
      <c r="NZT1" s="216"/>
      <c r="NZU1" s="217"/>
      <c r="NZV1" s="217"/>
      <c r="NZW1" s="220"/>
      <c r="NZX1" s="216"/>
      <c r="NZY1" s="217"/>
      <c r="NZZ1" s="217"/>
      <c r="OAA1" s="220"/>
      <c r="OAB1" s="216"/>
      <c r="OAC1" s="217"/>
      <c r="OAD1" s="217"/>
      <c r="OAE1" s="220"/>
      <c r="OAF1" s="216"/>
      <c r="OAG1" s="217"/>
      <c r="OAH1" s="217"/>
      <c r="OAI1" s="220"/>
      <c r="OAJ1" s="216"/>
      <c r="OAK1" s="217"/>
      <c r="OAL1" s="217"/>
      <c r="OAM1" s="220"/>
      <c r="OAN1" s="216"/>
      <c r="OAO1" s="217"/>
      <c r="OAP1" s="217"/>
      <c r="OAQ1" s="220"/>
      <c r="OAR1" s="216"/>
      <c r="OAS1" s="217"/>
      <c r="OAT1" s="217"/>
      <c r="OAU1" s="220"/>
      <c r="OAV1" s="216"/>
      <c r="OAW1" s="217"/>
      <c r="OAX1" s="217"/>
      <c r="OAY1" s="220"/>
      <c r="OAZ1" s="216"/>
      <c r="OBA1" s="217"/>
      <c r="OBB1" s="217"/>
      <c r="OBC1" s="220"/>
      <c r="OBD1" s="216"/>
      <c r="OBE1" s="217"/>
      <c r="OBF1" s="217"/>
      <c r="OBG1" s="220"/>
      <c r="OBH1" s="216"/>
      <c r="OBI1" s="217"/>
      <c r="OBJ1" s="217"/>
      <c r="OBK1" s="220"/>
      <c r="OBL1" s="216"/>
      <c r="OBM1" s="217"/>
      <c r="OBN1" s="217"/>
      <c r="OBO1" s="220"/>
      <c r="OBP1" s="216"/>
      <c r="OBQ1" s="217"/>
      <c r="OBR1" s="217"/>
      <c r="OBS1" s="220"/>
      <c r="OBT1" s="216"/>
      <c r="OBU1" s="217"/>
      <c r="OBV1" s="217"/>
      <c r="OBW1" s="220"/>
      <c r="OBX1" s="216"/>
      <c r="OBY1" s="217"/>
      <c r="OBZ1" s="217"/>
      <c r="OCA1" s="220"/>
      <c r="OCB1" s="216"/>
      <c r="OCC1" s="217"/>
      <c r="OCD1" s="217"/>
      <c r="OCE1" s="220"/>
      <c r="OCF1" s="216"/>
      <c r="OCG1" s="217"/>
      <c r="OCH1" s="217"/>
      <c r="OCI1" s="220"/>
      <c r="OCJ1" s="216"/>
      <c r="OCK1" s="217"/>
      <c r="OCL1" s="217"/>
      <c r="OCM1" s="220"/>
      <c r="OCN1" s="216"/>
      <c r="OCO1" s="217"/>
      <c r="OCP1" s="217"/>
      <c r="OCQ1" s="220"/>
      <c r="OCR1" s="216"/>
      <c r="OCS1" s="217"/>
      <c r="OCT1" s="217"/>
      <c r="OCU1" s="220"/>
      <c r="OCV1" s="216"/>
      <c r="OCW1" s="217"/>
      <c r="OCX1" s="217"/>
      <c r="OCY1" s="220"/>
      <c r="OCZ1" s="216"/>
      <c r="ODA1" s="217"/>
      <c r="ODB1" s="217"/>
      <c r="ODC1" s="220"/>
      <c r="ODD1" s="216"/>
      <c r="ODE1" s="217"/>
      <c r="ODF1" s="217"/>
      <c r="ODG1" s="220"/>
      <c r="ODH1" s="216"/>
      <c r="ODI1" s="217"/>
      <c r="ODJ1" s="217"/>
      <c r="ODK1" s="220"/>
      <c r="ODL1" s="216"/>
      <c r="ODM1" s="217"/>
      <c r="ODN1" s="217"/>
      <c r="ODO1" s="220"/>
      <c r="ODP1" s="216"/>
      <c r="ODQ1" s="217"/>
      <c r="ODR1" s="217"/>
      <c r="ODS1" s="220"/>
      <c r="ODT1" s="216"/>
      <c r="ODU1" s="217"/>
      <c r="ODV1" s="217"/>
      <c r="ODW1" s="220"/>
      <c r="ODX1" s="216"/>
      <c r="ODY1" s="217"/>
      <c r="ODZ1" s="217"/>
      <c r="OEA1" s="220"/>
      <c r="OEB1" s="216"/>
      <c r="OEC1" s="217"/>
      <c r="OED1" s="217"/>
      <c r="OEE1" s="220"/>
      <c r="OEF1" s="216"/>
      <c r="OEG1" s="217"/>
      <c r="OEH1" s="217"/>
      <c r="OEI1" s="220"/>
      <c r="OEJ1" s="216"/>
      <c r="OEK1" s="217"/>
      <c r="OEL1" s="217"/>
      <c r="OEM1" s="220"/>
      <c r="OEN1" s="216"/>
      <c r="OEO1" s="217"/>
      <c r="OEP1" s="217"/>
      <c r="OEQ1" s="220"/>
      <c r="OER1" s="216"/>
      <c r="OES1" s="217"/>
      <c r="OET1" s="217"/>
      <c r="OEU1" s="220"/>
      <c r="OEV1" s="216"/>
      <c r="OEW1" s="217"/>
      <c r="OEX1" s="217"/>
      <c r="OEY1" s="220"/>
      <c r="OEZ1" s="216"/>
      <c r="OFA1" s="217"/>
      <c r="OFB1" s="217"/>
      <c r="OFC1" s="220"/>
      <c r="OFD1" s="216"/>
      <c r="OFE1" s="217"/>
      <c r="OFF1" s="217"/>
      <c r="OFG1" s="220"/>
      <c r="OFH1" s="216"/>
      <c r="OFI1" s="217"/>
      <c r="OFJ1" s="217"/>
      <c r="OFK1" s="220"/>
      <c r="OFL1" s="216"/>
      <c r="OFM1" s="217"/>
      <c r="OFN1" s="217"/>
      <c r="OFO1" s="220"/>
      <c r="OFP1" s="216"/>
      <c r="OFQ1" s="217"/>
      <c r="OFR1" s="217"/>
      <c r="OFS1" s="220"/>
      <c r="OFT1" s="216"/>
      <c r="OFU1" s="217"/>
      <c r="OFV1" s="217"/>
      <c r="OFW1" s="220"/>
      <c r="OFX1" s="216"/>
      <c r="OFY1" s="217"/>
      <c r="OFZ1" s="217"/>
      <c r="OGA1" s="220"/>
      <c r="OGB1" s="216"/>
      <c r="OGC1" s="217"/>
      <c r="OGD1" s="217"/>
      <c r="OGE1" s="220"/>
      <c r="OGF1" s="216"/>
      <c r="OGG1" s="217"/>
      <c r="OGH1" s="217"/>
      <c r="OGI1" s="220"/>
      <c r="OGJ1" s="216"/>
      <c r="OGK1" s="217"/>
      <c r="OGL1" s="217"/>
      <c r="OGM1" s="220"/>
      <c r="OGN1" s="216"/>
      <c r="OGO1" s="217"/>
      <c r="OGP1" s="217"/>
      <c r="OGQ1" s="220"/>
      <c r="OGR1" s="216"/>
      <c r="OGS1" s="217"/>
      <c r="OGT1" s="217"/>
      <c r="OGU1" s="220"/>
      <c r="OGV1" s="216"/>
      <c r="OGW1" s="217"/>
      <c r="OGX1" s="217"/>
      <c r="OGY1" s="220"/>
      <c r="OGZ1" s="216"/>
      <c r="OHA1" s="217"/>
      <c r="OHB1" s="217"/>
      <c r="OHC1" s="220"/>
      <c r="OHD1" s="216"/>
      <c r="OHE1" s="217"/>
      <c r="OHF1" s="217"/>
      <c r="OHG1" s="220"/>
      <c r="OHH1" s="216"/>
      <c r="OHI1" s="217"/>
      <c r="OHJ1" s="217"/>
      <c r="OHK1" s="220"/>
      <c r="OHL1" s="216"/>
      <c r="OHM1" s="217"/>
      <c r="OHN1" s="217"/>
      <c r="OHO1" s="220"/>
      <c r="OHP1" s="216"/>
      <c r="OHQ1" s="217"/>
      <c r="OHR1" s="217"/>
      <c r="OHS1" s="220"/>
      <c r="OHT1" s="216"/>
      <c r="OHU1" s="217"/>
      <c r="OHV1" s="217"/>
      <c r="OHW1" s="220"/>
      <c r="OHX1" s="216"/>
      <c r="OHY1" s="217"/>
      <c r="OHZ1" s="217"/>
      <c r="OIA1" s="220"/>
      <c r="OIB1" s="216"/>
      <c r="OIC1" s="217"/>
      <c r="OID1" s="217"/>
      <c r="OIE1" s="220"/>
      <c r="OIF1" s="216"/>
      <c r="OIG1" s="217"/>
      <c r="OIH1" s="217"/>
      <c r="OII1" s="220"/>
      <c r="OIJ1" s="216"/>
      <c r="OIK1" s="217"/>
      <c r="OIL1" s="217"/>
      <c r="OIM1" s="220"/>
      <c r="OIN1" s="216"/>
      <c r="OIO1" s="217"/>
      <c r="OIP1" s="217"/>
      <c r="OIQ1" s="220"/>
      <c r="OIR1" s="216"/>
      <c r="OIS1" s="217"/>
      <c r="OIT1" s="217"/>
      <c r="OIU1" s="220"/>
      <c r="OIV1" s="216"/>
      <c r="OIW1" s="217"/>
      <c r="OIX1" s="217"/>
      <c r="OIY1" s="220"/>
      <c r="OIZ1" s="216"/>
      <c r="OJA1" s="217"/>
      <c r="OJB1" s="217"/>
      <c r="OJC1" s="220"/>
      <c r="OJD1" s="216"/>
      <c r="OJE1" s="217"/>
      <c r="OJF1" s="217"/>
      <c r="OJG1" s="220"/>
      <c r="OJH1" s="216"/>
      <c r="OJI1" s="217"/>
      <c r="OJJ1" s="217"/>
      <c r="OJK1" s="220"/>
      <c r="OJL1" s="216"/>
      <c r="OJM1" s="217"/>
      <c r="OJN1" s="217"/>
      <c r="OJO1" s="220"/>
      <c r="OJP1" s="216"/>
      <c r="OJQ1" s="217"/>
      <c r="OJR1" s="217"/>
      <c r="OJS1" s="220"/>
      <c r="OJT1" s="216"/>
      <c r="OJU1" s="217"/>
      <c r="OJV1" s="217"/>
      <c r="OJW1" s="220"/>
      <c r="OJX1" s="216"/>
      <c r="OJY1" s="217"/>
      <c r="OJZ1" s="217"/>
      <c r="OKA1" s="220"/>
      <c r="OKB1" s="216"/>
      <c r="OKC1" s="217"/>
      <c r="OKD1" s="217"/>
      <c r="OKE1" s="220"/>
      <c r="OKF1" s="216"/>
      <c r="OKG1" s="217"/>
      <c r="OKH1" s="217"/>
      <c r="OKI1" s="220"/>
      <c r="OKJ1" s="216"/>
      <c r="OKK1" s="217"/>
      <c r="OKL1" s="217"/>
      <c r="OKM1" s="220"/>
      <c r="OKN1" s="216"/>
      <c r="OKO1" s="217"/>
      <c r="OKP1" s="217"/>
      <c r="OKQ1" s="220"/>
      <c r="OKR1" s="216"/>
      <c r="OKS1" s="217"/>
      <c r="OKT1" s="217"/>
      <c r="OKU1" s="220"/>
      <c r="OKV1" s="216"/>
      <c r="OKW1" s="217"/>
      <c r="OKX1" s="217"/>
      <c r="OKY1" s="220"/>
      <c r="OKZ1" s="216"/>
      <c r="OLA1" s="217"/>
      <c r="OLB1" s="217"/>
      <c r="OLC1" s="220"/>
      <c r="OLD1" s="216"/>
      <c r="OLE1" s="217"/>
      <c r="OLF1" s="217"/>
      <c r="OLG1" s="220"/>
      <c r="OLH1" s="216"/>
      <c r="OLI1" s="217"/>
      <c r="OLJ1" s="217"/>
      <c r="OLK1" s="220"/>
      <c r="OLL1" s="216"/>
      <c r="OLM1" s="217"/>
      <c r="OLN1" s="217"/>
      <c r="OLO1" s="220"/>
      <c r="OLP1" s="216"/>
      <c r="OLQ1" s="217"/>
      <c r="OLR1" s="217"/>
      <c r="OLS1" s="220"/>
      <c r="OLT1" s="216"/>
      <c r="OLU1" s="217"/>
      <c r="OLV1" s="217"/>
      <c r="OLW1" s="220"/>
      <c r="OLX1" s="216"/>
      <c r="OLY1" s="217"/>
      <c r="OLZ1" s="217"/>
      <c r="OMA1" s="220"/>
      <c r="OMB1" s="216"/>
      <c r="OMC1" s="217"/>
      <c r="OMD1" s="217"/>
      <c r="OME1" s="220"/>
      <c r="OMF1" s="216"/>
      <c r="OMG1" s="217"/>
      <c r="OMH1" s="217"/>
      <c r="OMI1" s="220"/>
      <c r="OMJ1" s="216"/>
      <c r="OMK1" s="217"/>
      <c r="OML1" s="217"/>
      <c r="OMM1" s="220"/>
      <c r="OMN1" s="216"/>
      <c r="OMO1" s="217"/>
      <c r="OMP1" s="217"/>
      <c r="OMQ1" s="220"/>
      <c r="OMR1" s="216"/>
      <c r="OMS1" s="217"/>
      <c r="OMT1" s="217"/>
      <c r="OMU1" s="220"/>
      <c r="OMV1" s="216"/>
      <c r="OMW1" s="217"/>
      <c r="OMX1" s="217"/>
      <c r="OMY1" s="220"/>
      <c r="OMZ1" s="216"/>
      <c r="ONA1" s="217"/>
      <c r="ONB1" s="217"/>
      <c r="ONC1" s="220"/>
      <c r="OND1" s="216"/>
      <c r="ONE1" s="217"/>
      <c r="ONF1" s="217"/>
      <c r="ONG1" s="220"/>
      <c r="ONH1" s="216"/>
      <c r="ONI1" s="217"/>
      <c r="ONJ1" s="217"/>
      <c r="ONK1" s="220"/>
      <c r="ONL1" s="216"/>
      <c r="ONM1" s="217"/>
      <c r="ONN1" s="217"/>
      <c r="ONO1" s="220"/>
      <c r="ONP1" s="216"/>
      <c r="ONQ1" s="217"/>
      <c r="ONR1" s="217"/>
      <c r="ONS1" s="220"/>
      <c r="ONT1" s="216"/>
      <c r="ONU1" s="217"/>
      <c r="ONV1" s="217"/>
      <c r="ONW1" s="220"/>
      <c r="ONX1" s="216"/>
      <c r="ONY1" s="217"/>
      <c r="ONZ1" s="217"/>
      <c r="OOA1" s="220"/>
      <c r="OOB1" s="216"/>
      <c r="OOC1" s="217"/>
      <c r="OOD1" s="217"/>
      <c r="OOE1" s="220"/>
      <c r="OOF1" s="216"/>
      <c r="OOG1" s="217"/>
      <c r="OOH1" s="217"/>
      <c r="OOI1" s="220"/>
      <c r="OOJ1" s="216"/>
      <c r="OOK1" s="217"/>
      <c r="OOL1" s="217"/>
      <c r="OOM1" s="220"/>
      <c r="OON1" s="216"/>
      <c r="OOO1" s="217"/>
      <c r="OOP1" s="217"/>
      <c r="OOQ1" s="220"/>
      <c r="OOR1" s="216"/>
      <c r="OOS1" s="217"/>
      <c r="OOT1" s="217"/>
      <c r="OOU1" s="220"/>
      <c r="OOV1" s="216"/>
      <c r="OOW1" s="217"/>
      <c r="OOX1" s="217"/>
      <c r="OOY1" s="220"/>
      <c r="OOZ1" s="216"/>
      <c r="OPA1" s="217"/>
      <c r="OPB1" s="217"/>
      <c r="OPC1" s="220"/>
      <c r="OPD1" s="216"/>
      <c r="OPE1" s="217"/>
      <c r="OPF1" s="217"/>
      <c r="OPG1" s="220"/>
      <c r="OPH1" s="216"/>
      <c r="OPI1" s="217"/>
      <c r="OPJ1" s="217"/>
      <c r="OPK1" s="220"/>
      <c r="OPL1" s="216"/>
      <c r="OPM1" s="217"/>
      <c r="OPN1" s="217"/>
      <c r="OPO1" s="220"/>
      <c r="OPP1" s="216"/>
      <c r="OPQ1" s="217"/>
      <c r="OPR1" s="217"/>
      <c r="OPS1" s="220"/>
      <c r="OPT1" s="216"/>
      <c r="OPU1" s="217"/>
      <c r="OPV1" s="217"/>
      <c r="OPW1" s="220"/>
      <c r="OPX1" s="216"/>
      <c r="OPY1" s="217"/>
      <c r="OPZ1" s="217"/>
      <c r="OQA1" s="220"/>
      <c r="OQB1" s="216"/>
      <c r="OQC1" s="217"/>
      <c r="OQD1" s="217"/>
      <c r="OQE1" s="220"/>
      <c r="OQF1" s="216"/>
      <c r="OQG1" s="217"/>
      <c r="OQH1" s="217"/>
      <c r="OQI1" s="220"/>
      <c r="OQJ1" s="216"/>
      <c r="OQK1" s="217"/>
      <c r="OQL1" s="217"/>
      <c r="OQM1" s="220"/>
      <c r="OQN1" s="216"/>
      <c r="OQO1" s="217"/>
      <c r="OQP1" s="217"/>
      <c r="OQQ1" s="220"/>
      <c r="OQR1" s="216"/>
      <c r="OQS1" s="217"/>
      <c r="OQT1" s="217"/>
      <c r="OQU1" s="220"/>
      <c r="OQV1" s="216"/>
      <c r="OQW1" s="217"/>
      <c r="OQX1" s="217"/>
      <c r="OQY1" s="220"/>
      <c r="OQZ1" s="216"/>
      <c r="ORA1" s="217"/>
      <c r="ORB1" s="217"/>
      <c r="ORC1" s="220"/>
      <c r="ORD1" s="216"/>
      <c r="ORE1" s="217"/>
      <c r="ORF1" s="217"/>
      <c r="ORG1" s="220"/>
      <c r="ORH1" s="216"/>
      <c r="ORI1" s="217"/>
      <c r="ORJ1" s="217"/>
      <c r="ORK1" s="220"/>
      <c r="ORL1" s="216"/>
      <c r="ORM1" s="217"/>
      <c r="ORN1" s="217"/>
      <c r="ORO1" s="220"/>
      <c r="ORP1" s="216"/>
      <c r="ORQ1" s="217"/>
      <c r="ORR1" s="217"/>
      <c r="ORS1" s="220"/>
      <c r="ORT1" s="216"/>
      <c r="ORU1" s="217"/>
      <c r="ORV1" s="217"/>
      <c r="ORW1" s="220"/>
      <c r="ORX1" s="216"/>
      <c r="ORY1" s="217"/>
      <c r="ORZ1" s="217"/>
      <c r="OSA1" s="220"/>
      <c r="OSB1" s="216"/>
      <c r="OSC1" s="217"/>
      <c r="OSD1" s="217"/>
      <c r="OSE1" s="220"/>
      <c r="OSF1" s="216"/>
      <c r="OSG1" s="217"/>
      <c r="OSH1" s="217"/>
      <c r="OSI1" s="220"/>
      <c r="OSJ1" s="216"/>
      <c r="OSK1" s="217"/>
      <c r="OSL1" s="217"/>
      <c r="OSM1" s="220"/>
      <c r="OSN1" s="216"/>
      <c r="OSO1" s="217"/>
      <c r="OSP1" s="217"/>
      <c r="OSQ1" s="220"/>
      <c r="OSR1" s="216"/>
      <c r="OSS1" s="217"/>
      <c r="OST1" s="217"/>
      <c r="OSU1" s="220"/>
      <c r="OSV1" s="216"/>
      <c r="OSW1" s="217"/>
      <c r="OSX1" s="217"/>
      <c r="OSY1" s="220"/>
      <c r="OSZ1" s="216"/>
      <c r="OTA1" s="217"/>
      <c r="OTB1" s="217"/>
      <c r="OTC1" s="220"/>
      <c r="OTD1" s="216"/>
      <c r="OTE1" s="217"/>
      <c r="OTF1" s="217"/>
      <c r="OTG1" s="220"/>
      <c r="OTH1" s="216"/>
      <c r="OTI1" s="217"/>
      <c r="OTJ1" s="217"/>
      <c r="OTK1" s="220"/>
      <c r="OTL1" s="216"/>
      <c r="OTM1" s="217"/>
      <c r="OTN1" s="217"/>
      <c r="OTO1" s="220"/>
      <c r="OTP1" s="216"/>
      <c r="OTQ1" s="217"/>
      <c r="OTR1" s="217"/>
      <c r="OTS1" s="220"/>
      <c r="OTT1" s="216"/>
      <c r="OTU1" s="217"/>
      <c r="OTV1" s="217"/>
      <c r="OTW1" s="220"/>
      <c r="OTX1" s="216"/>
      <c r="OTY1" s="217"/>
      <c r="OTZ1" s="217"/>
      <c r="OUA1" s="220"/>
      <c r="OUB1" s="216"/>
      <c r="OUC1" s="217"/>
      <c r="OUD1" s="217"/>
      <c r="OUE1" s="220"/>
      <c r="OUF1" s="216"/>
      <c r="OUG1" s="217"/>
      <c r="OUH1" s="217"/>
      <c r="OUI1" s="220"/>
      <c r="OUJ1" s="216"/>
      <c r="OUK1" s="217"/>
      <c r="OUL1" s="217"/>
      <c r="OUM1" s="220"/>
      <c r="OUN1" s="216"/>
      <c r="OUO1" s="217"/>
      <c r="OUP1" s="217"/>
      <c r="OUQ1" s="220"/>
      <c r="OUR1" s="216"/>
      <c r="OUS1" s="217"/>
      <c r="OUT1" s="217"/>
      <c r="OUU1" s="220"/>
      <c r="OUV1" s="216"/>
      <c r="OUW1" s="217"/>
      <c r="OUX1" s="217"/>
      <c r="OUY1" s="220"/>
      <c r="OUZ1" s="216"/>
      <c r="OVA1" s="217"/>
      <c r="OVB1" s="217"/>
      <c r="OVC1" s="220"/>
      <c r="OVD1" s="216"/>
      <c r="OVE1" s="217"/>
      <c r="OVF1" s="217"/>
      <c r="OVG1" s="220"/>
      <c r="OVH1" s="216"/>
      <c r="OVI1" s="217"/>
      <c r="OVJ1" s="217"/>
      <c r="OVK1" s="220"/>
      <c r="OVL1" s="216"/>
      <c r="OVM1" s="217"/>
      <c r="OVN1" s="217"/>
      <c r="OVO1" s="220"/>
      <c r="OVP1" s="216"/>
      <c r="OVQ1" s="217"/>
      <c r="OVR1" s="217"/>
      <c r="OVS1" s="220"/>
      <c r="OVT1" s="216"/>
      <c r="OVU1" s="217"/>
      <c r="OVV1" s="217"/>
      <c r="OVW1" s="220"/>
      <c r="OVX1" s="216"/>
      <c r="OVY1" s="217"/>
      <c r="OVZ1" s="217"/>
      <c r="OWA1" s="220"/>
      <c r="OWB1" s="216"/>
      <c r="OWC1" s="217"/>
      <c r="OWD1" s="217"/>
      <c r="OWE1" s="220"/>
      <c r="OWF1" s="216"/>
      <c r="OWG1" s="217"/>
      <c r="OWH1" s="217"/>
      <c r="OWI1" s="220"/>
      <c r="OWJ1" s="216"/>
      <c r="OWK1" s="217"/>
      <c r="OWL1" s="217"/>
      <c r="OWM1" s="220"/>
      <c r="OWN1" s="216"/>
      <c r="OWO1" s="217"/>
      <c r="OWP1" s="217"/>
      <c r="OWQ1" s="220"/>
      <c r="OWR1" s="216"/>
      <c r="OWS1" s="217"/>
      <c r="OWT1" s="217"/>
      <c r="OWU1" s="220"/>
      <c r="OWV1" s="216"/>
      <c r="OWW1" s="217"/>
      <c r="OWX1" s="217"/>
      <c r="OWY1" s="220"/>
      <c r="OWZ1" s="216"/>
      <c r="OXA1" s="217"/>
      <c r="OXB1" s="217"/>
      <c r="OXC1" s="220"/>
      <c r="OXD1" s="216"/>
      <c r="OXE1" s="217"/>
      <c r="OXF1" s="217"/>
      <c r="OXG1" s="220"/>
      <c r="OXH1" s="216"/>
      <c r="OXI1" s="217"/>
      <c r="OXJ1" s="217"/>
      <c r="OXK1" s="220"/>
      <c r="OXL1" s="216"/>
      <c r="OXM1" s="217"/>
      <c r="OXN1" s="217"/>
      <c r="OXO1" s="220"/>
      <c r="OXP1" s="216"/>
      <c r="OXQ1" s="217"/>
      <c r="OXR1" s="217"/>
      <c r="OXS1" s="220"/>
      <c r="OXT1" s="216"/>
      <c r="OXU1" s="217"/>
      <c r="OXV1" s="217"/>
      <c r="OXW1" s="220"/>
      <c r="OXX1" s="216"/>
      <c r="OXY1" s="217"/>
      <c r="OXZ1" s="217"/>
      <c r="OYA1" s="220"/>
      <c r="OYB1" s="216"/>
      <c r="OYC1" s="217"/>
      <c r="OYD1" s="217"/>
      <c r="OYE1" s="220"/>
      <c r="OYF1" s="216"/>
      <c r="OYG1" s="217"/>
      <c r="OYH1" s="217"/>
      <c r="OYI1" s="220"/>
      <c r="OYJ1" s="216"/>
      <c r="OYK1" s="217"/>
      <c r="OYL1" s="217"/>
      <c r="OYM1" s="220"/>
      <c r="OYN1" s="216"/>
      <c r="OYO1" s="217"/>
      <c r="OYP1" s="217"/>
      <c r="OYQ1" s="220"/>
      <c r="OYR1" s="216"/>
      <c r="OYS1" s="217"/>
      <c r="OYT1" s="217"/>
      <c r="OYU1" s="220"/>
      <c r="OYV1" s="216"/>
      <c r="OYW1" s="217"/>
      <c r="OYX1" s="217"/>
      <c r="OYY1" s="220"/>
      <c r="OYZ1" s="216"/>
      <c r="OZA1" s="217"/>
      <c r="OZB1" s="217"/>
      <c r="OZC1" s="220"/>
      <c r="OZD1" s="216"/>
      <c r="OZE1" s="217"/>
      <c r="OZF1" s="217"/>
      <c r="OZG1" s="220"/>
      <c r="OZH1" s="216"/>
      <c r="OZI1" s="217"/>
      <c r="OZJ1" s="217"/>
      <c r="OZK1" s="220"/>
      <c r="OZL1" s="216"/>
      <c r="OZM1" s="217"/>
      <c r="OZN1" s="217"/>
      <c r="OZO1" s="220"/>
      <c r="OZP1" s="216"/>
      <c r="OZQ1" s="217"/>
      <c r="OZR1" s="217"/>
      <c r="OZS1" s="220"/>
      <c r="OZT1" s="216"/>
      <c r="OZU1" s="217"/>
      <c r="OZV1" s="217"/>
      <c r="OZW1" s="220"/>
      <c r="OZX1" s="216"/>
      <c r="OZY1" s="217"/>
      <c r="OZZ1" s="217"/>
      <c r="PAA1" s="220"/>
      <c r="PAB1" s="216"/>
      <c r="PAC1" s="217"/>
      <c r="PAD1" s="217"/>
      <c r="PAE1" s="220"/>
      <c r="PAF1" s="216"/>
      <c r="PAG1" s="217"/>
      <c r="PAH1" s="217"/>
      <c r="PAI1" s="220"/>
      <c r="PAJ1" s="216"/>
      <c r="PAK1" s="217"/>
      <c r="PAL1" s="217"/>
      <c r="PAM1" s="220"/>
      <c r="PAN1" s="216"/>
      <c r="PAO1" s="217"/>
      <c r="PAP1" s="217"/>
      <c r="PAQ1" s="220"/>
      <c r="PAR1" s="216"/>
      <c r="PAS1" s="217"/>
      <c r="PAT1" s="217"/>
      <c r="PAU1" s="220"/>
      <c r="PAV1" s="216"/>
      <c r="PAW1" s="217"/>
      <c r="PAX1" s="217"/>
      <c r="PAY1" s="220"/>
      <c r="PAZ1" s="216"/>
      <c r="PBA1" s="217"/>
      <c r="PBB1" s="217"/>
      <c r="PBC1" s="220"/>
      <c r="PBD1" s="216"/>
      <c r="PBE1" s="217"/>
      <c r="PBF1" s="217"/>
      <c r="PBG1" s="220"/>
      <c r="PBH1" s="216"/>
      <c r="PBI1" s="217"/>
      <c r="PBJ1" s="217"/>
      <c r="PBK1" s="220"/>
      <c r="PBL1" s="216"/>
      <c r="PBM1" s="217"/>
      <c r="PBN1" s="217"/>
      <c r="PBO1" s="220"/>
      <c r="PBP1" s="216"/>
      <c r="PBQ1" s="217"/>
      <c r="PBR1" s="217"/>
      <c r="PBS1" s="220"/>
      <c r="PBT1" s="216"/>
      <c r="PBU1" s="217"/>
      <c r="PBV1" s="217"/>
      <c r="PBW1" s="220"/>
      <c r="PBX1" s="216"/>
      <c r="PBY1" s="217"/>
      <c r="PBZ1" s="217"/>
      <c r="PCA1" s="220"/>
      <c r="PCB1" s="216"/>
      <c r="PCC1" s="217"/>
      <c r="PCD1" s="217"/>
      <c r="PCE1" s="220"/>
      <c r="PCF1" s="216"/>
      <c r="PCG1" s="217"/>
      <c r="PCH1" s="217"/>
      <c r="PCI1" s="220"/>
      <c r="PCJ1" s="216"/>
      <c r="PCK1" s="217"/>
      <c r="PCL1" s="217"/>
      <c r="PCM1" s="220"/>
      <c r="PCN1" s="216"/>
      <c r="PCO1" s="217"/>
      <c r="PCP1" s="217"/>
      <c r="PCQ1" s="220"/>
      <c r="PCR1" s="216"/>
      <c r="PCS1" s="217"/>
      <c r="PCT1" s="217"/>
      <c r="PCU1" s="220"/>
      <c r="PCV1" s="216"/>
      <c r="PCW1" s="217"/>
      <c r="PCX1" s="217"/>
      <c r="PCY1" s="220"/>
      <c r="PCZ1" s="216"/>
      <c r="PDA1" s="217"/>
      <c r="PDB1" s="217"/>
      <c r="PDC1" s="220"/>
      <c r="PDD1" s="216"/>
      <c r="PDE1" s="217"/>
      <c r="PDF1" s="217"/>
      <c r="PDG1" s="220"/>
      <c r="PDH1" s="216"/>
      <c r="PDI1" s="217"/>
      <c r="PDJ1" s="217"/>
      <c r="PDK1" s="220"/>
      <c r="PDL1" s="216"/>
      <c r="PDM1" s="217"/>
      <c r="PDN1" s="217"/>
      <c r="PDO1" s="220"/>
      <c r="PDP1" s="216"/>
      <c r="PDQ1" s="217"/>
      <c r="PDR1" s="217"/>
      <c r="PDS1" s="220"/>
      <c r="PDT1" s="216"/>
      <c r="PDU1" s="217"/>
      <c r="PDV1" s="217"/>
      <c r="PDW1" s="220"/>
      <c r="PDX1" s="216"/>
      <c r="PDY1" s="217"/>
      <c r="PDZ1" s="217"/>
      <c r="PEA1" s="220"/>
      <c r="PEB1" s="216"/>
      <c r="PEC1" s="217"/>
      <c r="PED1" s="217"/>
      <c r="PEE1" s="220"/>
      <c r="PEF1" s="216"/>
      <c r="PEG1" s="217"/>
      <c r="PEH1" s="217"/>
      <c r="PEI1" s="220"/>
      <c r="PEJ1" s="216"/>
      <c r="PEK1" s="217"/>
      <c r="PEL1" s="217"/>
      <c r="PEM1" s="220"/>
      <c r="PEN1" s="216"/>
      <c r="PEO1" s="217"/>
      <c r="PEP1" s="217"/>
      <c r="PEQ1" s="220"/>
      <c r="PER1" s="216"/>
      <c r="PES1" s="217"/>
      <c r="PET1" s="217"/>
      <c r="PEU1" s="220"/>
      <c r="PEV1" s="216"/>
      <c r="PEW1" s="217"/>
      <c r="PEX1" s="217"/>
      <c r="PEY1" s="220"/>
      <c r="PEZ1" s="216"/>
      <c r="PFA1" s="217"/>
      <c r="PFB1" s="217"/>
      <c r="PFC1" s="220"/>
      <c r="PFD1" s="216"/>
      <c r="PFE1" s="217"/>
      <c r="PFF1" s="217"/>
      <c r="PFG1" s="220"/>
      <c r="PFH1" s="216"/>
      <c r="PFI1" s="217"/>
      <c r="PFJ1" s="217"/>
      <c r="PFK1" s="220"/>
      <c r="PFL1" s="216"/>
      <c r="PFM1" s="217"/>
      <c r="PFN1" s="217"/>
      <c r="PFO1" s="220"/>
      <c r="PFP1" s="216"/>
      <c r="PFQ1" s="217"/>
      <c r="PFR1" s="217"/>
      <c r="PFS1" s="220"/>
      <c r="PFT1" s="216"/>
      <c r="PFU1" s="217"/>
      <c r="PFV1" s="217"/>
      <c r="PFW1" s="220"/>
      <c r="PFX1" s="216"/>
      <c r="PFY1" s="217"/>
      <c r="PFZ1" s="217"/>
      <c r="PGA1" s="220"/>
      <c r="PGB1" s="216"/>
      <c r="PGC1" s="217"/>
      <c r="PGD1" s="217"/>
      <c r="PGE1" s="220"/>
      <c r="PGF1" s="216"/>
      <c r="PGG1" s="217"/>
      <c r="PGH1" s="217"/>
      <c r="PGI1" s="220"/>
      <c r="PGJ1" s="216"/>
      <c r="PGK1" s="217"/>
      <c r="PGL1" s="217"/>
      <c r="PGM1" s="220"/>
      <c r="PGN1" s="216"/>
      <c r="PGO1" s="217"/>
      <c r="PGP1" s="217"/>
      <c r="PGQ1" s="220"/>
      <c r="PGR1" s="216"/>
      <c r="PGS1" s="217"/>
      <c r="PGT1" s="217"/>
      <c r="PGU1" s="220"/>
      <c r="PGV1" s="216"/>
      <c r="PGW1" s="217"/>
      <c r="PGX1" s="217"/>
      <c r="PGY1" s="220"/>
      <c r="PGZ1" s="216"/>
      <c r="PHA1" s="217"/>
      <c r="PHB1" s="217"/>
      <c r="PHC1" s="220"/>
      <c r="PHD1" s="216"/>
      <c r="PHE1" s="217"/>
      <c r="PHF1" s="217"/>
      <c r="PHG1" s="220"/>
      <c r="PHH1" s="216"/>
      <c r="PHI1" s="217"/>
      <c r="PHJ1" s="217"/>
      <c r="PHK1" s="220"/>
      <c r="PHL1" s="216"/>
      <c r="PHM1" s="217"/>
      <c r="PHN1" s="217"/>
      <c r="PHO1" s="220"/>
      <c r="PHP1" s="216"/>
      <c r="PHQ1" s="217"/>
      <c r="PHR1" s="217"/>
      <c r="PHS1" s="220"/>
      <c r="PHT1" s="216"/>
      <c r="PHU1" s="217"/>
      <c r="PHV1" s="217"/>
      <c r="PHW1" s="220"/>
      <c r="PHX1" s="216"/>
      <c r="PHY1" s="217"/>
      <c r="PHZ1" s="217"/>
      <c r="PIA1" s="220"/>
      <c r="PIB1" s="216"/>
      <c r="PIC1" s="217"/>
      <c r="PID1" s="217"/>
      <c r="PIE1" s="220"/>
      <c r="PIF1" s="216"/>
      <c r="PIG1" s="217"/>
      <c r="PIH1" s="217"/>
      <c r="PII1" s="220"/>
      <c r="PIJ1" s="216"/>
      <c r="PIK1" s="217"/>
      <c r="PIL1" s="217"/>
      <c r="PIM1" s="220"/>
      <c r="PIN1" s="216"/>
      <c r="PIO1" s="217"/>
      <c r="PIP1" s="217"/>
      <c r="PIQ1" s="220"/>
      <c r="PIR1" s="216"/>
      <c r="PIS1" s="217"/>
      <c r="PIT1" s="217"/>
      <c r="PIU1" s="220"/>
      <c r="PIV1" s="216"/>
      <c r="PIW1" s="217"/>
      <c r="PIX1" s="217"/>
      <c r="PIY1" s="220"/>
      <c r="PIZ1" s="216"/>
      <c r="PJA1" s="217"/>
      <c r="PJB1" s="217"/>
      <c r="PJC1" s="220"/>
      <c r="PJD1" s="216"/>
      <c r="PJE1" s="217"/>
      <c r="PJF1" s="217"/>
      <c r="PJG1" s="220"/>
      <c r="PJH1" s="216"/>
      <c r="PJI1" s="217"/>
      <c r="PJJ1" s="217"/>
      <c r="PJK1" s="220"/>
      <c r="PJL1" s="216"/>
      <c r="PJM1" s="217"/>
      <c r="PJN1" s="217"/>
      <c r="PJO1" s="220"/>
      <c r="PJP1" s="216"/>
      <c r="PJQ1" s="217"/>
      <c r="PJR1" s="217"/>
      <c r="PJS1" s="220"/>
      <c r="PJT1" s="216"/>
      <c r="PJU1" s="217"/>
      <c r="PJV1" s="217"/>
      <c r="PJW1" s="220"/>
      <c r="PJX1" s="216"/>
      <c r="PJY1" s="217"/>
      <c r="PJZ1" s="217"/>
      <c r="PKA1" s="220"/>
      <c r="PKB1" s="216"/>
      <c r="PKC1" s="217"/>
      <c r="PKD1" s="217"/>
      <c r="PKE1" s="220"/>
      <c r="PKF1" s="216"/>
      <c r="PKG1" s="217"/>
      <c r="PKH1" s="217"/>
      <c r="PKI1" s="220"/>
      <c r="PKJ1" s="216"/>
      <c r="PKK1" s="217"/>
      <c r="PKL1" s="217"/>
      <c r="PKM1" s="220"/>
      <c r="PKN1" s="216"/>
      <c r="PKO1" s="217"/>
      <c r="PKP1" s="217"/>
      <c r="PKQ1" s="220"/>
      <c r="PKR1" s="216"/>
      <c r="PKS1" s="217"/>
      <c r="PKT1" s="217"/>
      <c r="PKU1" s="220"/>
      <c r="PKV1" s="216"/>
      <c r="PKW1" s="217"/>
      <c r="PKX1" s="217"/>
      <c r="PKY1" s="220"/>
      <c r="PKZ1" s="216"/>
      <c r="PLA1" s="217"/>
      <c r="PLB1" s="217"/>
      <c r="PLC1" s="220"/>
      <c r="PLD1" s="216"/>
      <c r="PLE1" s="217"/>
      <c r="PLF1" s="217"/>
      <c r="PLG1" s="220"/>
      <c r="PLH1" s="216"/>
      <c r="PLI1" s="217"/>
      <c r="PLJ1" s="217"/>
      <c r="PLK1" s="220"/>
      <c r="PLL1" s="216"/>
      <c r="PLM1" s="217"/>
      <c r="PLN1" s="217"/>
      <c r="PLO1" s="220"/>
      <c r="PLP1" s="216"/>
      <c r="PLQ1" s="217"/>
      <c r="PLR1" s="217"/>
      <c r="PLS1" s="220"/>
      <c r="PLT1" s="216"/>
      <c r="PLU1" s="217"/>
      <c r="PLV1" s="217"/>
      <c r="PLW1" s="220"/>
      <c r="PLX1" s="216"/>
      <c r="PLY1" s="217"/>
      <c r="PLZ1" s="217"/>
      <c r="PMA1" s="220"/>
      <c r="PMB1" s="216"/>
      <c r="PMC1" s="217"/>
      <c r="PMD1" s="217"/>
      <c r="PME1" s="220"/>
      <c r="PMF1" s="216"/>
      <c r="PMG1" s="217"/>
      <c r="PMH1" s="217"/>
      <c r="PMI1" s="220"/>
      <c r="PMJ1" s="216"/>
      <c r="PMK1" s="217"/>
      <c r="PML1" s="217"/>
      <c r="PMM1" s="220"/>
      <c r="PMN1" s="216"/>
      <c r="PMO1" s="217"/>
      <c r="PMP1" s="217"/>
      <c r="PMQ1" s="220"/>
      <c r="PMR1" s="216"/>
      <c r="PMS1" s="217"/>
      <c r="PMT1" s="217"/>
      <c r="PMU1" s="220"/>
      <c r="PMV1" s="216"/>
      <c r="PMW1" s="217"/>
      <c r="PMX1" s="217"/>
      <c r="PMY1" s="220"/>
      <c r="PMZ1" s="216"/>
      <c r="PNA1" s="217"/>
      <c r="PNB1" s="217"/>
      <c r="PNC1" s="220"/>
      <c r="PND1" s="216"/>
      <c r="PNE1" s="217"/>
      <c r="PNF1" s="217"/>
      <c r="PNG1" s="220"/>
      <c r="PNH1" s="216"/>
      <c r="PNI1" s="217"/>
      <c r="PNJ1" s="217"/>
      <c r="PNK1" s="220"/>
      <c r="PNL1" s="216"/>
      <c r="PNM1" s="217"/>
      <c r="PNN1" s="217"/>
      <c r="PNO1" s="220"/>
      <c r="PNP1" s="216"/>
      <c r="PNQ1" s="217"/>
      <c r="PNR1" s="217"/>
      <c r="PNS1" s="220"/>
      <c r="PNT1" s="216"/>
      <c r="PNU1" s="217"/>
      <c r="PNV1" s="217"/>
      <c r="PNW1" s="220"/>
      <c r="PNX1" s="216"/>
      <c r="PNY1" s="217"/>
      <c r="PNZ1" s="217"/>
      <c r="POA1" s="220"/>
      <c r="POB1" s="216"/>
      <c r="POC1" s="217"/>
      <c r="POD1" s="217"/>
      <c r="POE1" s="220"/>
      <c r="POF1" s="216"/>
      <c r="POG1" s="217"/>
      <c r="POH1" s="217"/>
      <c r="POI1" s="220"/>
      <c r="POJ1" s="216"/>
      <c r="POK1" s="217"/>
      <c r="POL1" s="217"/>
      <c r="POM1" s="220"/>
      <c r="PON1" s="216"/>
      <c r="POO1" s="217"/>
      <c r="POP1" s="217"/>
      <c r="POQ1" s="220"/>
      <c r="POR1" s="216"/>
      <c r="POS1" s="217"/>
      <c r="POT1" s="217"/>
      <c r="POU1" s="220"/>
      <c r="POV1" s="216"/>
      <c r="POW1" s="217"/>
      <c r="POX1" s="217"/>
      <c r="POY1" s="220"/>
      <c r="POZ1" s="216"/>
      <c r="PPA1" s="217"/>
      <c r="PPB1" s="217"/>
      <c r="PPC1" s="220"/>
      <c r="PPD1" s="216"/>
      <c r="PPE1" s="217"/>
      <c r="PPF1" s="217"/>
      <c r="PPG1" s="220"/>
      <c r="PPH1" s="216"/>
      <c r="PPI1" s="217"/>
      <c r="PPJ1" s="217"/>
      <c r="PPK1" s="220"/>
      <c r="PPL1" s="216"/>
      <c r="PPM1" s="217"/>
      <c r="PPN1" s="217"/>
      <c r="PPO1" s="220"/>
      <c r="PPP1" s="216"/>
      <c r="PPQ1" s="217"/>
      <c r="PPR1" s="217"/>
      <c r="PPS1" s="220"/>
      <c r="PPT1" s="216"/>
      <c r="PPU1" s="217"/>
      <c r="PPV1" s="217"/>
      <c r="PPW1" s="220"/>
      <c r="PPX1" s="216"/>
      <c r="PPY1" s="217"/>
      <c r="PPZ1" s="217"/>
      <c r="PQA1" s="220"/>
      <c r="PQB1" s="216"/>
      <c r="PQC1" s="217"/>
      <c r="PQD1" s="217"/>
      <c r="PQE1" s="220"/>
      <c r="PQF1" s="216"/>
      <c r="PQG1" s="217"/>
      <c r="PQH1" s="217"/>
      <c r="PQI1" s="220"/>
      <c r="PQJ1" s="216"/>
      <c r="PQK1" s="217"/>
      <c r="PQL1" s="217"/>
      <c r="PQM1" s="220"/>
      <c r="PQN1" s="216"/>
      <c r="PQO1" s="217"/>
      <c r="PQP1" s="217"/>
      <c r="PQQ1" s="220"/>
      <c r="PQR1" s="216"/>
      <c r="PQS1" s="217"/>
      <c r="PQT1" s="217"/>
      <c r="PQU1" s="220"/>
      <c r="PQV1" s="216"/>
      <c r="PQW1" s="217"/>
      <c r="PQX1" s="217"/>
      <c r="PQY1" s="220"/>
      <c r="PQZ1" s="216"/>
      <c r="PRA1" s="217"/>
      <c r="PRB1" s="217"/>
      <c r="PRC1" s="220"/>
      <c r="PRD1" s="216"/>
      <c r="PRE1" s="217"/>
      <c r="PRF1" s="217"/>
      <c r="PRG1" s="220"/>
      <c r="PRH1" s="216"/>
      <c r="PRI1" s="217"/>
      <c r="PRJ1" s="217"/>
      <c r="PRK1" s="220"/>
      <c r="PRL1" s="216"/>
      <c r="PRM1" s="217"/>
      <c r="PRN1" s="217"/>
      <c r="PRO1" s="220"/>
      <c r="PRP1" s="216"/>
      <c r="PRQ1" s="217"/>
      <c r="PRR1" s="217"/>
      <c r="PRS1" s="220"/>
      <c r="PRT1" s="216"/>
      <c r="PRU1" s="217"/>
      <c r="PRV1" s="217"/>
      <c r="PRW1" s="220"/>
      <c r="PRX1" s="216"/>
      <c r="PRY1" s="217"/>
      <c r="PRZ1" s="217"/>
      <c r="PSA1" s="220"/>
      <c r="PSB1" s="216"/>
      <c r="PSC1" s="217"/>
      <c r="PSD1" s="217"/>
      <c r="PSE1" s="220"/>
      <c r="PSF1" s="216"/>
      <c r="PSG1" s="217"/>
      <c r="PSH1" s="217"/>
      <c r="PSI1" s="220"/>
      <c r="PSJ1" s="216"/>
      <c r="PSK1" s="217"/>
      <c r="PSL1" s="217"/>
      <c r="PSM1" s="220"/>
      <c r="PSN1" s="216"/>
      <c r="PSO1" s="217"/>
      <c r="PSP1" s="217"/>
      <c r="PSQ1" s="220"/>
      <c r="PSR1" s="216"/>
      <c r="PSS1" s="217"/>
      <c r="PST1" s="217"/>
      <c r="PSU1" s="220"/>
      <c r="PSV1" s="216"/>
      <c r="PSW1" s="217"/>
      <c r="PSX1" s="217"/>
      <c r="PSY1" s="220"/>
      <c r="PSZ1" s="216"/>
      <c r="PTA1" s="217"/>
      <c r="PTB1" s="217"/>
      <c r="PTC1" s="220"/>
      <c r="PTD1" s="216"/>
      <c r="PTE1" s="217"/>
      <c r="PTF1" s="217"/>
      <c r="PTG1" s="220"/>
      <c r="PTH1" s="216"/>
      <c r="PTI1" s="217"/>
      <c r="PTJ1" s="217"/>
      <c r="PTK1" s="220"/>
      <c r="PTL1" s="216"/>
      <c r="PTM1" s="217"/>
      <c r="PTN1" s="217"/>
      <c r="PTO1" s="220"/>
      <c r="PTP1" s="216"/>
      <c r="PTQ1" s="217"/>
      <c r="PTR1" s="217"/>
      <c r="PTS1" s="220"/>
      <c r="PTT1" s="216"/>
      <c r="PTU1" s="217"/>
      <c r="PTV1" s="217"/>
      <c r="PTW1" s="220"/>
      <c r="PTX1" s="216"/>
      <c r="PTY1" s="217"/>
      <c r="PTZ1" s="217"/>
      <c r="PUA1" s="220"/>
      <c r="PUB1" s="216"/>
      <c r="PUC1" s="217"/>
      <c r="PUD1" s="217"/>
      <c r="PUE1" s="220"/>
      <c r="PUF1" s="216"/>
      <c r="PUG1" s="217"/>
      <c r="PUH1" s="217"/>
      <c r="PUI1" s="220"/>
      <c r="PUJ1" s="216"/>
      <c r="PUK1" s="217"/>
      <c r="PUL1" s="217"/>
      <c r="PUM1" s="220"/>
      <c r="PUN1" s="216"/>
      <c r="PUO1" s="217"/>
      <c r="PUP1" s="217"/>
      <c r="PUQ1" s="220"/>
      <c r="PUR1" s="216"/>
      <c r="PUS1" s="217"/>
      <c r="PUT1" s="217"/>
      <c r="PUU1" s="220"/>
      <c r="PUV1" s="216"/>
      <c r="PUW1" s="217"/>
      <c r="PUX1" s="217"/>
      <c r="PUY1" s="220"/>
      <c r="PUZ1" s="216"/>
      <c r="PVA1" s="217"/>
      <c r="PVB1" s="217"/>
      <c r="PVC1" s="220"/>
      <c r="PVD1" s="216"/>
      <c r="PVE1" s="217"/>
      <c r="PVF1" s="217"/>
      <c r="PVG1" s="220"/>
      <c r="PVH1" s="216"/>
      <c r="PVI1" s="217"/>
      <c r="PVJ1" s="217"/>
      <c r="PVK1" s="220"/>
      <c r="PVL1" s="216"/>
      <c r="PVM1" s="217"/>
      <c r="PVN1" s="217"/>
      <c r="PVO1" s="220"/>
      <c r="PVP1" s="216"/>
      <c r="PVQ1" s="217"/>
      <c r="PVR1" s="217"/>
      <c r="PVS1" s="220"/>
      <c r="PVT1" s="216"/>
      <c r="PVU1" s="217"/>
      <c r="PVV1" s="217"/>
      <c r="PVW1" s="220"/>
      <c r="PVX1" s="216"/>
      <c r="PVY1" s="217"/>
      <c r="PVZ1" s="217"/>
      <c r="PWA1" s="220"/>
      <c r="PWB1" s="216"/>
      <c r="PWC1" s="217"/>
      <c r="PWD1" s="217"/>
      <c r="PWE1" s="220"/>
      <c r="PWF1" s="216"/>
      <c r="PWG1" s="217"/>
      <c r="PWH1" s="217"/>
      <c r="PWI1" s="220"/>
      <c r="PWJ1" s="216"/>
      <c r="PWK1" s="217"/>
      <c r="PWL1" s="217"/>
      <c r="PWM1" s="220"/>
      <c r="PWN1" s="216"/>
      <c r="PWO1" s="217"/>
      <c r="PWP1" s="217"/>
      <c r="PWQ1" s="220"/>
      <c r="PWR1" s="216"/>
      <c r="PWS1" s="217"/>
      <c r="PWT1" s="217"/>
      <c r="PWU1" s="220"/>
      <c r="PWV1" s="216"/>
      <c r="PWW1" s="217"/>
      <c r="PWX1" s="217"/>
      <c r="PWY1" s="220"/>
      <c r="PWZ1" s="216"/>
      <c r="PXA1" s="217"/>
      <c r="PXB1" s="217"/>
      <c r="PXC1" s="220"/>
      <c r="PXD1" s="216"/>
      <c r="PXE1" s="217"/>
      <c r="PXF1" s="217"/>
      <c r="PXG1" s="220"/>
      <c r="PXH1" s="216"/>
      <c r="PXI1" s="217"/>
      <c r="PXJ1" s="217"/>
      <c r="PXK1" s="220"/>
      <c r="PXL1" s="216"/>
      <c r="PXM1" s="217"/>
      <c r="PXN1" s="217"/>
      <c r="PXO1" s="220"/>
      <c r="PXP1" s="216"/>
      <c r="PXQ1" s="217"/>
      <c r="PXR1" s="217"/>
      <c r="PXS1" s="220"/>
      <c r="PXT1" s="216"/>
      <c r="PXU1" s="217"/>
      <c r="PXV1" s="217"/>
      <c r="PXW1" s="220"/>
      <c r="PXX1" s="216"/>
      <c r="PXY1" s="217"/>
      <c r="PXZ1" s="217"/>
      <c r="PYA1" s="220"/>
      <c r="PYB1" s="216"/>
      <c r="PYC1" s="217"/>
      <c r="PYD1" s="217"/>
      <c r="PYE1" s="220"/>
      <c r="PYF1" s="216"/>
      <c r="PYG1" s="217"/>
      <c r="PYH1" s="217"/>
      <c r="PYI1" s="220"/>
      <c r="PYJ1" s="216"/>
      <c r="PYK1" s="217"/>
      <c r="PYL1" s="217"/>
      <c r="PYM1" s="220"/>
      <c r="PYN1" s="216"/>
      <c r="PYO1" s="217"/>
      <c r="PYP1" s="217"/>
      <c r="PYQ1" s="220"/>
      <c r="PYR1" s="216"/>
      <c r="PYS1" s="217"/>
      <c r="PYT1" s="217"/>
      <c r="PYU1" s="220"/>
      <c r="PYV1" s="216"/>
      <c r="PYW1" s="217"/>
      <c r="PYX1" s="217"/>
      <c r="PYY1" s="220"/>
      <c r="PYZ1" s="216"/>
      <c r="PZA1" s="217"/>
      <c r="PZB1" s="217"/>
      <c r="PZC1" s="220"/>
      <c r="PZD1" s="216"/>
      <c r="PZE1" s="217"/>
      <c r="PZF1" s="217"/>
      <c r="PZG1" s="220"/>
      <c r="PZH1" s="216"/>
      <c r="PZI1" s="217"/>
      <c r="PZJ1" s="217"/>
      <c r="PZK1" s="220"/>
      <c r="PZL1" s="216"/>
      <c r="PZM1" s="217"/>
      <c r="PZN1" s="217"/>
      <c r="PZO1" s="220"/>
      <c r="PZP1" s="216"/>
      <c r="PZQ1" s="217"/>
      <c r="PZR1" s="217"/>
      <c r="PZS1" s="220"/>
      <c r="PZT1" s="216"/>
      <c r="PZU1" s="217"/>
      <c r="PZV1" s="217"/>
      <c r="PZW1" s="220"/>
      <c r="PZX1" s="216"/>
      <c r="PZY1" s="217"/>
      <c r="PZZ1" s="217"/>
      <c r="QAA1" s="220"/>
      <c r="QAB1" s="216"/>
      <c r="QAC1" s="217"/>
      <c r="QAD1" s="217"/>
      <c r="QAE1" s="220"/>
      <c r="QAF1" s="216"/>
      <c r="QAG1" s="217"/>
      <c r="QAH1" s="217"/>
      <c r="QAI1" s="220"/>
      <c r="QAJ1" s="216"/>
      <c r="QAK1" s="217"/>
      <c r="QAL1" s="217"/>
      <c r="QAM1" s="220"/>
      <c r="QAN1" s="216"/>
      <c r="QAO1" s="217"/>
      <c r="QAP1" s="217"/>
      <c r="QAQ1" s="220"/>
      <c r="QAR1" s="216"/>
      <c r="QAS1" s="217"/>
      <c r="QAT1" s="217"/>
      <c r="QAU1" s="220"/>
      <c r="QAV1" s="216"/>
      <c r="QAW1" s="217"/>
      <c r="QAX1" s="217"/>
      <c r="QAY1" s="220"/>
      <c r="QAZ1" s="216"/>
      <c r="QBA1" s="217"/>
      <c r="QBB1" s="217"/>
      <c r="QBC1" s="220"/>
      <c r="QBD1" s="216"/>
      <c r="QBE1" s="217"/>
      <c r="QBF1" s="217"/>
      <c r="QBG1" s="220"/>
      <c r="QBH1" s="216"/>
      <c r="QBI1" s="217"/>
      <c r="QBJ1" s="217"/>
      <c r="QBK1" s="220"/>
      <c r="QBL1" s="216"/>
      <c r="QBM1" s="217"/>
      <c r="QBN1" s="217"/>
      <c r="QBO1" s="220"/>
      <c r="QBP1" s="216"/>
      <c r="QBQ1" s="217"/>
      <c r="QBR1" s="217"/>
      <c r="QBS1" s="220"/>
      <c r="QBT1" s="216"/>
      <c r="QBU1" s="217"/>
      <c r="QBV1" s="217"/>
      <c r="QBW1" s="220"/>
      <c r="QBX1" s="216"/>
      <c r="QBY1" s="217"/>
      <c r="QBZ1" s="217"/>
      <c r="QCA1" s="220"/>
      <c r="QCB1" s="216"/>
      <c r="QCC1" s="217"/>
      <c r="QCD1" s="217"/>
      <c r="QCE1" s="220"/>
      <c r="QCF1" s="216"/>
      <c r="QCG1" s="217"/>
      <c r="QCH1" s="217"/>
      <c r="QCI1" s="220"/>
      <c r="QCJ1" s="216"/>
      <c r="QCK1" s="217"/>
      <c r="QCL1" s="217"/>
      <c r="QCM1" s="220"/>
      <c r="QCN1" s="216"/>
      <c r="QCO1" s="217"/>
      <c r="QCP1" s="217"/>
      <c r="QCQ1" s="220"/>
      <c r="QCR1" s="216"/>
      <c r="QCS1" s="217"/>
      <c r="QCT1" s="217"/>
      <c r="QCU1" s="220"/>
      <c r="QCV1" s="216"/>
      <c r="QCW1" s="217"/>
      <c r="QCX1" s="217"/>
      <c r="QCY1" s="220"/>
      <c r="QCZ1" s="216"/>
      <c r="QDA1" s="217"/>
      <c r="QDB1" s="217"/>
      <c r="QDC1" s="220"/>
      <c r="QDD1" s="216"/>
      <c r="QDE1" s="217"/>
      <c r="QDF1" s="217"/>
      <c r="QDG1" s="220"/>
      <c r="QDH1" s="216"/>
      <c r="QDI1" s="217"/>
      <c r="QDJ1" s="217"/>
      <c r="QDK1" s="220"/>
      <c r="QDL1" s="216"/>
      <c r="QDM1" s="217"/>
      <c r="QDN1" s="217"/>
      <c r="QDO1" s="220"/>
      <c r="QDP1" s="216"/>
      <c r="QDQ1" s="217"/>
      <c r="QDR1" s="217"/>
      <c r="QDS1" s="220"/>
      <c r="QDT1" s="216"/>
      <c r="QDU1" s="217"/>
      <c r="QDV1" s="217"/>
      <c r="QDW1" s="220"/>
      <c r="QDX1" s="216"/>
      <c r="QDY1" s="217"/>
      <c r="QDZ1" s="217"/>
      <c r="QEA1" s="220"/>
      <c r="QEB1" s="216"/>
      <c r="QEC1" s="217"/>
      <c r="QED1" s="217"/>
      <c r="QEE1" s="220"/>
      <c r="QEF1" s="216"/>
      <c r="QEG1" s="217"/>
      <c r="QEH1" s="217"/>
      <c r="QEI1" s="220"/>
      <c r="QEJ1" s="216"/>
      <c r="QEK1" s="217"/>
      <c r="QEL1" s="217"/>
      <c r="QEM1" s="220"/>
      <c r="QEN1" s="216"/>
      <c r="QEO1" s="217"/>
      <c r="QEP1" s="217"/>
      <c r="QEQ1" s="220"/>
      <c r="QER1" s="216"/>
      <c r="QES1" s="217"/>
      <c r="QET1" s="217"/>
      <c r="QEU1" s="220"/>
      <c r="QEV1" s="216"/>
      <c r="QEW1" s="217"/>
      <c r="QEX1" s="217"/>
      <c r="QEY1" s="220"/>
      <c r="QEZ1" s="216"/>
      <c r="QFA1" s="217"/>
      <c r="QFB1" s="217"/>
      <c r="QFC1" s="220"/>
      <c r="QFD1" s="216"/>
      <c r="QFE1" s="217"/>
      <c r="QFF1" s="217"/>
      <c r="QFG1" s="220"/>
      <c r="QFH1" s="216"/>
      <c r="QFI1" s="217"/>
      <c r="QFJ1" s="217"/>
      <c r="QFK1" s="220"/>
      <c r="QFL1" s="216"/>
      <c r="QFM1" s="217"/>
      <c r="QFN1" s="217"/>
      <c r="QFO1" s="220"/>
      <c r="QFP1" s="216"/>
      <c r="QFQ1" s="217"/>
      <c r="QFR1" s="217"/>
      <c r="QFS1" s="220"/>
      <c r="QFT1" s="216"/>
      <c r="QFU1" s="217"/>
      <c r="QFV1" s="217"/>
      <c r="QFW1" s="220"/>
      <c r="QFX1" s="216"/>
      <c r="QFY1" s="217"/>
      <c r="QFZ1" s="217"/>
      <c r="QGA1" s="220"/>
      <c r="QGB1" s="216"/>
      <c r="QGC1" s="217"/>
      <c r="QGD1" s="217"/>
      <c r="QGE1" s="220"/>
      <c r="QGF1" s="216"/>
      <c r="QGG1" s="217"/>
      <c r="QGH1" s="217"/>
      <c r="QGI1" s="220"/>
      <c r="QGJ1" s="216"/>
      <c r="QGK1" s="217"/>
      <c r="QGL1" s="217"/>
      <c r="QGM1" s="220"/>
      <c r="QGN1" s="216"/>
      <c r="QGO1" s="217"/>
      <c r="QGP1" s="217"/>
      <c r="QGQ1" s="220"/>
      <c r="QGR1" s="216"/>
      <c r="QGS1" s="217"/>
      <c r="QGT1" s="217"/>
      <c r="QGU1" s="220"/>
      <c r="QGV1" s="216"/>
      <c r="QGW1" s="217"/>
      <c r="QGX1" s="217"/>
      <c r="QGY1" s="220"/>
      <c r="QGZ1" s="216"/>
      <c r="QHA1" s="217"/>
      <c r="QHB1" s="217"/>
      <c r="QHC1" s="220"/>
      <c r="QHD1" s="216"/>
      <c r="QHE1" s="217"/>
      <c r="QHF1" s="217"/>
      <c r="QHG1" s="220"/>
      <c r="QHH1" s="216"/>
      <c r="QHI1" s="217"/>
      <c r="QHJ1" s="217"/>
      <c r="QHK1" s="220"/>
      <c r="QHL1" s="216"/>
      <c r="QHM1" s="217"/>
      <c r="QHN1" s="217"/>
      <c r="QHO1" s="220"/>
      <c r="QHP1" s="216"/>
      <c r="QHQ1" s="217"/>
      <c r="QHR1" s="217"/>
      <c r="QHS1" s="220"/>
      <c r="QHT1" s="216"/>
      <c r="QHU1" s="217"/>
      <c r="QHV1" s="217"/>
      <c r="QHW1" s="220"/>
      <c r="QHX1" s="216"/>
      <c r="QHY1" s="217"/>
      <c r="QHZ1" s="217"/>
      <c r="QIA1" s="220"/>
      <c r="QIB1" s="216"/>
      <c r="QIC1" s="217"/>
      <c r="QID1" s="217"/>
      <c r="QIE1" s="220"/>
      <c r="QIF1" s="216"/>
      <c r="QIG1" s="217"/>
      <c r="QIH1" s="217"/>
      <c r="QII1" s="220"/>
      <c r="QIJ1" s="216"/>
      <c r="QIK1" s="217"/>
      <c r="QIL1" s="217"/>
      <c r="QIM1" s="220"/>
      <c r="QIN1" s="216"/>
      <c r="QIO1" s="217"/>
      <c r="QIP1" s="217"/>
      <c r="QIQ1" s="220"/>
      <c r="QIR1" s="216"/>
      <c r="QIS1" s="217"/>
      <c r="QIT1" s="217"/>
      <c r="QIU1" s="220"/>
      <c r="QIV1" s="216"/>
      <c r="QIW1" s="217"/>
      <c r="QIX1" s="217"/>
      <c r="QIY1" s="220"/>
      <c r="QIZ1" s="216"/>
      <c r="QJA1" s="217"/>
      <c r="QJB1" s="217"/>
      <c r="QJC1" s="220"/>
      <c r="QJD1" s="216"/>
      <c r="QJE1" s="217"/>
      <c r="QJF1" s="217"/>
      <c r="QJG1" s="220"/>
      <c r="QJH1" s="216"/>
      <c r="QJI1" s="217"/>
      <c r="QJJ1" s="217"/>
      <c r="QJK1" s="220"/>
      <c r="QJL1" s="216"/>
      <c r="QJM1" s="217"/>
      <c r="QJN1" s="217"/>
      <c r="QJO1" s="220"/>
      <c r="QJP1" s="216"/>
      <c r="QJQ1" s="217"/>
      <c r="QJR1" s="217"/>
      <c r="QJS1" s="220"/>
      <c r="QJT1" s="216"/>
      <c r="QJU1" s="217"/>
      <c r="QJV1" s="217"/>
      <c r="QJW1" s="220"/>
      <c r="QJX1" s="216"/>
      <c r="QJY1" s="217"/>
      <c r="QJZ1" s="217"/>
      <c r="QKA1" s="220"/>
      <c r="QKB1" s="216"/>
      <c r="QKC1" s="217"/>
      <c r="QKD1" s="217"/>
      <c r="QKE1" s="220"/>
      <c r="QKF1" s="216"/>
      <c r="QKG1" s="217"/>
      <c r="QKH1" s="217"/>
      <c r="QKI1" s="220"/>
      <c r="QKJ1" s="216"/>
      <c r="QKK1" s="217"/>
      <c r="QKL1" s="217"/>
      <c r="QKM1" s="220"/>
      <c r="QKN1" s="216"/>
      <c r="QKO1" s="217"/>
      <c r="QKP1" s="217"/>
      <c r="QKQ1" s="220"/>
      <c r="QKR1" s="216"/>
      <c r="QKS1" s="217"/>
      <c r="QKT1" s="217"/>
      <c r="QKU1" s="220"/>
      <c r="QKV1" s="216"/>
      <c r="QKW1" s="217"/>
      <c r="QKX1" s="217"/>
      <c r="QKY1" s="220"/>
      <c r="QKZ1" s="216"/>
      <c r="QLA1" s="217"/>
      <c r="QLB1" s="217"/>
      <c r="QLC1" s="220"/>
      <c r="QLD1" s="216"/>
      <c r="QLE1" s="217"/>
      <c r="QLF1" s="217"/>
      <c r="QLG1" s="220"/>
      <c r="QLH1" s="216"/>
      <c r="QLI1" s="217"/>
      <c r="QLJ1" s="217"/>
      <c r="QLK1" s="220"/>
      <c r="QLL1" s="216"/>
      <c r="QLM1" s="217"/>
      <c r="QLN1" s="217"/>
      <c r="QLO1" s="220"/>
      <c r="QLP1" s="216"/>
      <c r="QLQ1" s="217"/>
      <c r="QLR1" s="217"/>
      <c r="QLS1" s="220"/>
      <c r="QLT1" s="216"/>
      <c r="QLU1" s="217"/>
      <c r="QLV1" s="217"/>
      <c r="QLW1" s="220"/>
      <c r="QLX1" s="216"/>
      <c r="QLY1" s="217"/>
      <c r="QLZ1" s="217"/>
      <c r="QMA1" s="220"/>
      <c r="QMB1" s="216"/>
      <c r="QMC1" s="217"/>
      <c r="QMD1" s="217"/>
      <c r="QME1" s="220"/>
      <c r="QMF1" s="216"/>
      <c r="QMG1" s="217"/>
      <c r="QMH1" s="217"/>
      <c r="QMI1" s="220"/>
      <c r="QMJ1" s="216"/>
      <c r="QMK1" s="217"/>
      <c r="QML1" s="217"/>
      <c r="QMM1" s="220"/>
      <c r="QMN1" s="216"/>
      <c r="QMO1" s="217"/>
      <c r="QMP1" s="217"/>
      <c r="QMQ1" s="220"/>
      <c r="QMR1" s="216"/>
      <c r="QMS1" s="217"/>
      <c r="QMT1" s="217"/>
      <c r="QMU1" s="220"/>
      <c r="QMV1" s="216"/>
      <c r="QMW1" s="217"/>
      <c r="QMX1" s="217"/>
      <c r="QMY1" s="220"/>
      <c r="QMZ1" s="216"/>
      <c r="QNA1" s="217"/>
      <c r="QNB1" s="217"/>
      <c r="QNC1" s="220"/>
      <c r="QND1" s="216"/>
      <c r="QNE1" s="217"/>
      <c r="QNF1" s="217"/>
      <c r="QNG1" s="220"/>
      <c r="QNH1" s="216"/>
      <c r="QNI1" s="217"/>
      <c r="QNJ1" s="217"/>
      <c r="QNK1" s="220"/>
      <c r="QNL1" s="216"/>
      <c r="QNM1" s="217"/>
      <c r="QNN1" s="217"/>
      <c r="QNO1" s="220"/>
      <c r="QNP1" s="216"/>
      <c r="QNQ1" s="217"/>
      <c r="QNR1" s="217"/>
      <c r="QNS1" s="220"/>
      <c r="QNT1" s="216"/>
      <c r="QNU1" s="217"/>
      <c r="QNV1" s="217"/>
      <c r="QNW1" s="220"/>
      <c r="QNX1" s="216"/>
      <c r="QNY1" s="217"/>
      <c r="QNZ1" s="217"/>
      <c r="QOA1" s="220"/>
      <c r="QOB1" s="216"/>
      <c r="QOC1" s="217"/>
      <c r="QOD1" s="217"/>
      <c r="QOE1" s="220"/>
      <c r="QOF1" s="216"/>
      <c r="QOG1" s="217"/>
      <c r="QOH1" s="217"/>
      <c r="QOI1" s="220"/>
      <c r="QOJ1" s="216"/>
      <c r="QOK1" s="217"/>
      <c r="QOL1" s="217"/>
      <c r="QOM1" s="220"/>
      <c r="QON1" s="216"/>
      <c r="QOO1" s="217"/>
      <c r="QOP1" s="217"/>
      <c r="QOQ1" s="220"/>
      <c r="QOR1" s="216"/>
      <c r="QOS1" s="217"/>
      <c r="QOT1" s="217"/>
      <c r="QOU1" s="220"/>
      <c r="QOV1" s="216"/>
      <c r="QOW1" s="217"/>
      <c r="QOX1" s="217"/>
      <c r="QOY1" s="220"/>
      <c r="QOZ1" s="216"/>
      <c r="QPA1" s="217"/>
      <c r="QPB1" s="217"/>
      <c r="QPC1" s="220"/>
      <c r="QPD1" s="216"/>
      <c r="QPE1" s="217"/>
      <c r="QPF1" s="217"/>
      <c r="QPG1" s="220"/>
      <c r="QPH1" s="216"/>
      <c r="QPI1" s="217"/>
      <c r="QPJ1" s="217"/>
      <c r="QPK1" s="220"/>
      <c r="QPL1" s="216"/>
      <c r="QPM1" s="217"/>
      <c r="QPN1" s="217"/>
      <c r="QPO1" s="220"/>
      <c r="QPP1" s="216"/>
      <c r="QPQ1" s="217"/>
      <c r="QPR1" s="217"/>
      <c r="QPS1" s="220"/>
      <c r="QPT1" s="216"/>
      <c r="QPU1" s="217"/>
      <c r="QPV1" s="217"/>
      <c r="QPW1" s="220"/>
      <c r="QPX1" s="216"/>
      <c r="QPY1" s="217"/>
      <c r="QPZ1" s="217"/>
      <c r="QQA1" s="220"/>
      <c r="QQB1" s="216"/>
      <c r="QQC1" s="217"/>
      <c r="QQD1" s="217"/>
      <c r="QQE1" s="220"/>
      <c r="QQF1" s="216"/>
      <c r="QQG1" s="217"/>
      <c r="QQH1" s="217"/>
      <c r="QQI1" s="220"/>
      <c r="QQJ1" s="216"/>
      <c r="QQK1" s="217"/>
      <c r="QQL1" s="217"/>
      <c r="QQM1" s="220"/>
      <c r="QQN1" s="216"/>
      <c r="QQO1" s="217"/>
      <c r="QQP1" s="217"/>
      <c r="QQQ1" s="220"/>
      <c r="QQR1" s="216"/>
      <c r="QQS1" s="217"/>
      <c r="QQT1" s="217"/>
      <c r="QQU1" s="220"/>
      <c r="QQV1" s="216"/>
      <c r="QQW1" s="217"/>
      <c r="QQX1" s="217"/>
      <c r="QQY1" s="220"/>
      <c r="QQZ1" s="216"/>
      <c r="QRA1" s="217"/>
      <c r="QRB1" s="217"/>
      <c r="QRC1" s="220"/>
      <c r="QRD1" s="216"/>
      <c r="QRE1" s="217"/>
      <c r="QRF1" s="217"/>
      <c r="QRG1" s="220"/>
      <c r="QRH1" s="216"/>
      <c r="QRI1" s="217"/>
      <c r="QRJ1" s="217"/>
      <c r="QRK1" s="220"/>
      <c r="QRL1" s="216"/>
      <c r="QRM1" s="217"/>
      <c r="QRN1" s="217"/>
      <c r="QRO1" s="220"/>
      <c r="QRP1" s="216"/>
      <c r="QRQ1" s="217"/>
      <c r="QRR1" s="217"/>
      <c r="QRS1" s="220"/>
      <c r="QRT1" s="216"/>
      <c r="QRU1" s="217"/>
      <c r="QRV1" s="217"/>
      <c r="QRW1" s="220"/>
      <c r="QRX1" s="216"/>
      <c r="QRY1" s="217"/>
      <c r="QRZ1" s="217"/>
      <c r="QSA1" s="220"/>
      <c r="QSB1" s="216"/>
      <c r="QSC1" s="217"/>
      <c r="QSD1" s="217"/>
      <c r="QSE1" s="220"/>
      <c r="QSF1" s="216"/>
      <c r="QSG1" s="217"/>
      <c r="QSH1" s="217"/>
      <c r="QSI1" s="220"/>
      <c r="QSJ1" s="216"/>
      <c r="QSK1" s="217"/>
      <c r="QSL1" s="217"/>
      <c r="QSM1" s="220"/>
      <c r="QSN1" s="216"/>
      <c r="QSO1" s="217"/>
      <c r="QSP1" s="217"/>
      <c r="QSQ1" s="220"/>
      <c r="QSR1" s="216"/>
      <c r="QSS1" s="217"/>
      <c r="QST1" s="217"/>
      <c r="QSU1" s="220"/>
      <c r="QSV1" s="216"/>
      <c r="QSW1" s="217"/>
      <c r="QSX1" s="217"/>
      <c r="QSY1" s="220"/>
      <c r="QSZ1" s="216"/>
      <c r="QTA1" s="217"/>
      <c r="QTB1" s="217"/>
      <c r="QTC1" s="220"/>
      <c r="QTD1" s="216"/>
      <c r="QTE1" s="217"/>
      <c r="QTF1" s="217"/>
      <c r="QTG1" s="220"/>
      <c r="QTH1" s="216"/>
      <c r="QTI1" s="217"/>
      <c r="QTJ1" s="217"/>
      <c r="QTK1" s="220"/>
      <c r="QTL1" s="216"/>
      <c r="QTM1" s="217"/>
      <c r="QTN1" s="217"/>
      <c r="QTO1" s="220"/>
      <c r="QTP1" s="216"/>
      <c r="QTQ1" s="217"/>
      <c r="QTR1" s="217"/>
      <c r="QTS1" s="220"/>
      <c r="QTT1" s="216"/>
      <c r="QTU1" s="217"/>
      <c r="QTV1" s="217"/>
      <c r="QTW1" s="220"/>
      <c r="QTX1" s="216"/>
      <c r="QTY1" s="217"/>
      <c r="QTZ1" s="217"/>
      <c r="QUA1" s="220"/>
      <c r="QUB1" s="216"/>
      <c r="QUC1" s="217"/>
      <c r="QUD1" s="217"/>
      <c r="QUE1" s="220"/>
      <c r="QUF1" s="216"/>
      <c r="QUG1" s="217"/>
      <c r="QUH1" s="217"/>
      <c r="QUI1" s="220"/>
      <c r="QUJ1" s="216"/>
      <c r="QUK1" s="217"/>
      <c r="QUL1" s="217"/>
      <c r="QUM1" s="220"/>
      <c r="QUN1" s="216"/>
      <c r="QUO1" s="217"/>
      <c r="QUP1" s="217"/>
      <c r="QUQ1" s="220"/>
      <c r="QUR1" s="216"/>
      <c r="QUS1" s="217"/>
      <c r="QUT1" s="217"/>
      <c r="QUU1" s="220"/>
      <c r="QUV1" s="216"/>
      <c r="QUW1" s="217"/>
      <c r="QUX1" s="217"/>
      <c r="QUY1" s="220"/>
      <c r="QUZ1" s="216"/>
      <c r="QVA1" s="217"/>
      <c r="QVB1" s="217"/>
      <c r="QVC1" s="220"/>
      <c r="QVD1" s="216"/>
      <c r="QVE1" s="217"/>
      <c r="QVF1" s="217"/>
      <c r="QVG1" s="220"/>
      <c r="QVH1" s="216"/>
      <c r="QVI1" s="217"/>
      <c r="QVJ1" s="217"/>
      <c r="QVK1" s="220"/>
      <c r="QVL1" s="216"/>
      <c r="QVM1" s="217"/>
      <c r="QVN1" s="217"/>
      <c r="QVO1" s="220"/>
      <c r="QVP1" s="216"/>
      <c r="QVQ1" s="217"/>
      <c r="QVR1" s="217"/>
      <c r="QVS1" s="220"/>
      <c r="QVT1" s="216"/>
      <c r="QVU1" s="217"/>
      <c r="QVV1" s="217"/>
      <c r="QVW1" s="220"/>
      <c r="QVX1" s="216"/>
      <c r="QVY1" s="217"/>
      <c r="QVZ1" s="217"/>
      <c r="QWA1" s="220"/>
      <c r="QWB1" s="216"/>
      <c r="QWC1" s="217"/>
      <c r="QWD1" s="217"/>
      <c r="QWE1" s="220"/>
      <c r="QWF1" s="216"/>
      <c r="QWG1" s="217"/>
      <c r="QWH1" s="217"/>
      <c r="QWI1" s="220"/>
      <c r="QWJ1" s="216"/>
      <c r="QWK1" s="217"/>
      <c r="QWL1" s="217"/>
      <c r="QWM1" s="220"/>
      <c r="QWN1" s="216"/>
      <c r="QWO1" s="217"/>
      <c r="QWP1" s="217"/>
      <c r="QWQ1" s="220"/>
      <c r="QWR1" s="216"/>
      <c r="QWS1" s="217"/>
      <c r="QWT1" s="217"/>
      <c r="QWU1" s="220"/>
      <c r="QWV1" s="216"/>
      <c r="QWW1" s="217"/>
      <c r="QWX1" s="217"/>
      <c r="QWY1" s="220"/>
      <c r="QWZ1" s="216"/>
      <c r="QXA1" s="217"/>
      <c r="QXB1" s="217"/>
      <c r="QXC1" s="220"/>
      <c r="QXD1" s="216"/>
      <c r="QXE1" s="217"/>
      <c r="QXF1" s="217"/>
      <c r="QXG1" s="220"/>
      <c r="QXH1" s="216"/>
      <c r="QXI1" s="217"/>
      <c r="QXJ1" s="217"/>
      <c r="QXK1" s="220"/>
      <c r="QXL1" s="216"/>
      <c r="QXM1" s="217"/>
      <c r="QXN1" s="217"/>
      <c r="QXO1" s="220"/>
      <c r="QXP1" s="216"/>
      <c r="QXQ1" s="217"/>
      <c r="QXR1" s="217"/>
      <c r="QXS1" s="220"/>
      <c r="QXT1" s="216"/>
      <c r="QXU1" s="217"/>
      <c r="QXV1" s="217"/>
      <c r="QXW1" s="220"/>
      <c r="QXX1" s="216"/>
      <c r="QXY1" s="217"/>
      <c r="QXZ1" s="217"/>
      <c r="QYA1" s="220"/>
      <c r="QYB1" s="216"/>
      <c r="QYC1" s="217"/>
      <c r="QYD1" s="217"/>
      <c r="QYE1" s="220"/>
      <c r="QYF1" s="216"/>
      <c r="QYG1" s="217"/>
      <c r="QYH1" s="217"/>
      <c r="QYI1" s="220"/>
      <c r="QYJ1" s="216"/>
      <c r="QYK1" s="217"/>
      <c r="QYL1" s="217"/>
      <c r="QYM1" s="220"/>
      <c r="QYN1" s="216"/>
      <c r="QYO1" s="217"/>
      <c r="QYP1" s="217"/>
      <c r="QYQ1" s="220"/>
      <c r="QYR1" s="216"/>
      <c r="QYS1" s="217"/>
      <c r="QYT1" s="217"/>
      <c r="QYU1" s="220"/>
      <c r="QYV1" s="216"/>
      <c r="QYW1" s="217"/>
      <c r="QYX1" s="217"/>
      <c r="QYY1" s="220"/>
      <c r="QYZ1" s="216"/>
      <c r="QZA1" s="217"/>
      <c r="QZB1" s="217"/>
      <c r="QZC1" s="220"/>
      <c r="QZD1" s="216"/>
      <c r="QZE1" s="217"/>
      <c r="QZF1" s="217"/>
      <c r="QZG1" s="220"/>
      <c r="QZH1" s="216"/>
      <c r="QZI1" s="217"/>
      <c r="QZJ1" s="217"/>
      <c r="QZK1" s="220"/>
      <c r="QZL1" s="216"/>
      <c r="QZM1" s="217"/>
      <c r="QZN1" s="217"/>
      <c r="QZO1" s="220"/>
      <c r="QZP1" s="216"/>
      <c r="QZQ1" s="217"/>
      <c r="QZR1" s="217"/>
      <c r="QZS1" s="220"/>
      <c r="QZT1" s="216"/>
      <c r="QZU1" s="217"/>
      <c r="QZV1" s="217"/>
      <c r="QZW1" s="220"/>
      <c r="QZX1" s="216"/>
      <c r="QZY1" s="217"/>
      <c r="QZZ1" s="217"/>
      <c r="RAA1" s="220"/>
      <c r="RAB1" s="216"/>
      <c r="RAC1" s="217"/>
      <c r="RAD1" s="217"/>
      <c r="RAE1" s="220"/>
      <c r="RAF1" s="216"/>
      <c r="RAG1" s="217"/>
      <c r="RAH1" s="217"/>
      <c r="RAI1" s="220"/>
      <c r="RAJ1" s="216"/>
      <c r="RAK1" s="217"/>
      <c r="RAL1" s="217"/>
      <c r="RAM1" s="220"/>
      <c r="RAN1" s="216"/>
      <c r="RAO1" s="217"/>
      <c r="RAP1" s="217"/>
      <c r="RAQ1" s="220"/>
      <c r="RAR1" s="216"/>
      <c r="RAS1" s="217"/>
      <c r="RAT1" s="217"/>
      <c r="RAU1" s="220"/>
      <c r="RAV1" s="216"/>
      <c r="RAW1" s="217"/>
      <c r="RAX1" s="217"/>
      <c r="RAY1" s="220"/>
      <c r="RAZ1" s="216"/>
      <c r="RBA1" s="217"/>
      <c r="RBB1" s="217"/>
      <c r="RBC1" s="220"/>
      <c r="RBD1" s="216"/>
      <c r="RBE1" s="217"/>
      <c r="RBF1" s="217"/>
      <c r="RBG1" s="220"/>
      <c r="RBH1" s="216"/>
      <c r="RBI1" s="217"/>
      <c r="RBJ1" s="217"/>
      <c r="RBK1" s="220"/>
      <c r="RBL1" s="216"/>
      <c r="RBM1" s="217"/>
      <c r="RBN1" s="217"/>
      <c r="RBO1" s="220"/>
      <c r="RBP1" s="216"/>
      <c r="RBQ1" s="217"/>
      <c r="RBR1" s="217"/>
      <c r="RBS1" s="220"/>
      <c r="RBT1" s="216"/>
      <c r="RBU1" s="217"/>
      <c r="RBV1" s="217"/>
      <c r="RBW1" s="220"/>
      <c r="RBX1" s="216"/>
      <c r="RBY1" s="217"/>
      <c r="RBZ1" s="217"/>
      <c r="RCA1" s="220"/>
      <c r="RCB1" s="216"/>
      <c r="RCC1" s="217"/>
      <c r="RCD1" s="217"/>
      <c r="RCE1" s="220"/>
      <c r="RCF1" s="216"/>
      <c r="RCG1" s="217"/>
      <c r="RCH1" s="217"/>
      <c r="RCI1" s="220"/>
      <c r="RCJ1" s="216"/>
      <c r="RCK1" s="217"/>
      <c r="RCL1" s="217"/>
      <c r="RCM1" s="220"/>
      <c r="RCN1" s="216"/>
      <c r="RCO1" s="217"/>
      <c r="RCP1" s="217"/>
      <c r="RCQ1" s="220"/>
      <c r="RCR1" s="216"/>
      <c r="RCS1" s="217"/>
      <c r="RCT1" s="217"/>
      <c r="RCU1" s="220"/>
      <c r="RCV1" s="216"/>
      <c r="RCW1" s="217"/>
      <c r="RCX1" s="217"/>
      <c r="RCY1" s="220"/>
      <c r="RCZ1" s="216"/>
      <c r="RDA1" s="217"/>
      <c r="RDB1" s="217"/>
      <c r="RDC1" s="220"/>
      <c r="RDD1" s="216"/>
      <c r="RDE1" s="217"/>
      <c r="RDF1" s="217"/>
      <c r="RDG1" s="220"/>
      <c r="RDH1" s="216"/>
      <c r="RDI1" s="217"/>
      <c r="RDJ1" s="217"/>
      <c r="RDK1" s="220"/>
      <c r="RDL1" s="216"/>
      <c r="RDM1" s="217"/>
      <c r="RDN1" s="217"/>
      <c r="RDO1" s="220"/>
      <c r="RDP1" s="216"/>
      <c r="RDQ1" s="217"/>
      <c r="RDR1" s="217"/>
      <c r="RDS1" s="220"/>
      <c r="RDT1" s="216"/>
      <c r="RDU1" s="217"/>
      <c r="RDV1" s="217"/>
      <c r="RDW1" s="220"/>
      <c r="RDX1" s="216"/>
      <c r="RDY1" s="217"/>
      <c r="RDZ1" s="217"/>
      <c r="REA1" s="220"/>
      <c r="REB1" s="216"/>
      <c r="REC1" s="217"/>
      <c r="RED1" s="217"/>
      <c r="REE1" s="220"/>
      <c r="REF1" s="216"/>
      <c r="REG1" s="217"/>
      <c r="REH1" s="217"/>
      <c r="REI1" s="220"/>
      <c r="REJ1" s="216"/>
      <c r="REK1" s="217"/>
      <c r="REL1" s="217"/>
      <c r="REM1" s="220"/>
      <c r="REN1" s="216"/>
      <c r="REO1" s="217"/>
      <c r="REP1" s="217"/>
      <c r="REQ1" s="220"/>
      <c r="RER1" s="216"/>
      <c r="RES1" s="217"/>
      <c r="RET1" s="217"/>
      <c r="REU1" s="220"/>
      <c r="REV1" s="216"/>
      <c r="REW1" s="217"/>
      <c r="REX1" s="217"/>
      <c r="REY1" s="220"/>
      <c r="REZ1" s="216"/>
      <c r="RFA1" s="217"/>
      <c r="RFB1" s="217"/>
      <c r="RFC1" s="220"/>
      <c r="RFD1" s="216"/>
      <c r="RFE1" s="217"/>
      <c r="RFF1" s="217"/>
      <c r="RFG1" s="220"/>
      <c r="RFH1" s="216"/>
      <c r="RFI1" s="217"/>
      <c r="RFJ1" s="217"/>
      <c r="RFK1" s="220"/>
      <c r="RFL1" s="216"/>
      <c r="RFM1" s="217"/>
      <c r="RFN1" s="217"/>
      <c r="RFO1" s="220"/>
      <c r="RFP1" s="216"/>
      <c r="RFQ1" s="217"/>
      <c r="RFR1" s="217"/>
      <c r="RFS1" s="220"/>
      <c r="RFT1" s="216"/>
      <c r="RFU1" s="217"/>
      <c r="RFV1" s="217"/>
      <c r="RFW1" s="220"/>
      <c r="RFX1" s="216"/>
      <c r="RFY1" s="217"/>
      <c r="RFZ1" s="217"/>
      <c r="RGA1" s="220"/>
      <c r="RGB1" s="216"/>
      <c r="RGC1" s="217"/>
      <c r="RGD1" s="217"/>
      <c r="RGE1" s="220"/>
      <c r="RGF1" s="216"/>
      <c r="RGG1" s="217"/>
      <c r="RGH1" s="217"/>
      <c r="RGI1" s="220"/>
      <c r="RGJ1" s="216"/>
      <c r="RGK1" s="217"/>
      <c r="RGL1" s="217"/>
      <c r="RGM1" s="220"/>
      <c r="RGN1" s="216"/>
      <c r="RGO1" s="217"/>
      <c r="RGP1" s="217"/>
      <c r="RGQ1" s="220"/>
      <c r="RGR1" s="216"/>
      <c r="RGS1" s="217"/>
      <c r="RGT1" s="217"/>
      <c r="RGU1" s="220"/>
      <c r="RGV1" s="216"/>
      <c r="RGW1" s="217"/>
      <c r="RGX1" s="217"/>
      <c r="RGY1" s="220"/>
      <c r="RGZ1" s="216"/>
      <c r="RHA1" s="217"/>
      <c r="RHB1" s="217"/>
      <c r="RHC1" s="220"/>
      <c r="RHD1" s="216"/>
      <c r="RHE1" s="217"/>
      <c r="RHF1" s="217"/>
      <c r="RHG1" s="220"/>
      <c r="RHH1" s="216"/>
      <c r="RHI1" s="217"/>
      <c r="RHJ1" s="217"/>
      <c r="RHK1" s="220"/>
      <c r="RHL1" s="216"/>
      <c r="RHM1" s="217"/>
      <c r="RHN1" s="217"/>
      <c r="RHO1" s="220"/>
      <c r="RHP1" s="216"/>
      <c r="RHQ1" s="217"/>
      <c r="RHR1" s="217"/>
      <c r="RHS1" s="220"/>
      <c r="RHT1" s="216"/>
      <c r="RHU1" s="217"/>
      <c r="RHV1" s="217"/>
      <c r="RHW1" s="220"/>
      <c r="RHX1" s="216"/>
      <c r="RHY1" s="217"/>
      <c r="RHZ1" s="217"/>
      <c r="RIA1" s="220"/>
      <c r="RIB1" s="216"/>
      <c r="RIC1" s="217"/>
      <c r="RID1" s="217"/>
      <c r="RIE1" s="220"/>
      <c r="RIF1" s="216"/>
      <c r="RIG1" s="217"/>
      <c r="RIH1" s="217"/>
      <c r="RII1" s="220"/>
      <c r="RIJ1" s="216"/>
      <c r="RIK1" s="217"/>
      <c r="RIL1" s="217"/>
      <c r="RIM1" s="220"/>
      <c r="RIN1" s="216"/>
      <c r="RIO1" s="217"/>
      <c r="RIP1" s="217"/>
      <c r="RIQ1" s="220"/>
      <c r="RIR1" s="216"/>
      <c r="RIS1" s="217"/>
      <c r="RIT1" s="217"/>
      <c r="RIU1" s="220"/>
      <c r="RIV1" s="216"/>
      <c r="RIW1" s="217"/>
      <c r="RIX1" s="217"/>
      <c r="RIY1" s="220"/>
      <c r="RIZ1" s="216"/>
      <c r="RJA1" s="217"/>
      <c r="RJB1" s="217"/>
      <c r="RJC1" s="220"/>
      <c r="RJD1" s="216"/>
      <c r="RJE1" s="217"/>
      <c r="RJF1" s="217"/>
      <c r="RJG1" s="220"/>
      <c r="RJH1" s="216"/>
      <c r="RJI1" s="217"/>
      <c r="RJJ1" s="217"/>
      <c r="RJK1" s="220"/>
      <c r="RJL1" s="216"/>
      <c r="RJM1" s="217"/>
      <c r="RJN1" s="217"/>
      <c r="RJO1" s="220"/>
      <c r="RJP1" s="216"/>
      <c r="RJQ1" s="217"/>
      <c r="RJR1" s="217"/>
      <c r="RJS1" s="220"/>
      <c r="RJT1" s="216"/>
      <c r="RJU1" s="217"/>
      <c r="RJV1" s="217"/>
      <c r="RJW1" s="220"/>
      <c r="RJX1" s="216"/>
      <c r="RJY1" s="217"/>
      <c r="RJZ1" s="217"/>
      <c r="RKA1" s="220"/>
      <c r="RKB1" s="216"/>
      <c r="RKC1" s="217"/>
      <c r="RKD1" s="217"/>
      <c r="RKE1" s="220"/>
      <c r="RKF1" s="216"/>
      <c r="RKG1" s="217"/>
      <c r="RKH1" s="217"/>
      <c r="RKI1" s="220"/>
      <c r="RKJ1" s="216"/>
      <c r="RKK1" s="217"/>
      <c r="RKL1" s="217"/>
      <c r="RKM1" s="220"/>
      <c r="RKN1" s="216"/>
      <c r="RKO1" s="217"/>
      <c r="RKP1" s="217"/>
      <c r="RKQ1" s="220"/>
      <c r="RKR1" s="216"/>
      <c r="RKS1" s="217"/>
      <c r="RKT1" s="217"/>
      <c r="RKU1" s="220"/>
      <c r="RKV1" s="216"/>
      <c r="RKW1" s="217"/>
      <c r="RKX1" s="217"/>
      <c r="RKY1" s="220"/>
      <c r="RKZ1" s="216"/>
      <c r="RLA1" s="217"/>
      <c r="RLB1" s="217"/>
      <c r="RLC1" s="220"/>
      <c r="RLD1" s="216"/>
      <c r="RLE1" s="217"/>
      <c r="RLF1" s="217"/>
      <c r="RLG1" s="220"/>
      <c r="RLH1" s="216"/>
      <c r="RLI1" s="217"/>
      <c r="RLJ1" s="217"/>
      <c r="RLK1" s="220"/>
      <c r="RLL1" s="216"/>
      <c r="RLM1" s="217"/>
      <c r="RLN1" s="217"/>
      <c r="RLO1" s="220"/>
      <c r="RLP1" s="216"/>
      <c r="RLQ1" s="217"/>
      <c r="RLR1" s="217"/>
      <c r="RLS1" s="220"/>
      <c r="RLT1" s="216"/>
      <c r="RLU1" s="217"/>
      <c r="RLV1" s="217"/>
      <c r="RLW1" s="220"/>
      <c r="RLX1" s="216"/>
      <c r="RLY1" s="217"/>
      <c r="RLZ1" s="217"/>
      <c r="RMA1" s="220"/>
      <c r="RMB1" s="216"/>
      <c r="RMC1" s="217"/>
      <c r="RMD1" s="217"/>
      <c r="RME1" s="220"/>
      <c r="RMF1" s="216"/>
      <c r="RMG1" s="217"/>
      <c r="RMH1" s="217"/>
      <c r="RMI1" s="220"/>
      <c r="RMJ1" s="216"/>
      <c r="RMK1" s="217"/>
      <c r="RML1" s="217"/>
      <c r="RMM1" s="220"/>
      <c r="RMN1" s="216"/>
      <c r="RMO1" s="217"/>
      <c r="RMP1" s="217"/>
      <c r="RMQ1" s="220"/>
      <c r="RMR1" s="216"/>
      <c r="RMS1" s="217"/>
      <c r="RMT1" s="217"/>
      <c r="RMU1" s="220"/>
      <c r="RMV1" s="216"/>
      <c r="RMW1" s="217"/>
      <c r="RMX1" s="217"/>
      <c r="RMY1" s="220"/>
      <c r="RMZ1" s="216"/>
      <c r="RNA1" s="217"/>
      <c r="RNB1" s="217"/>
      <c r="RNC1" s="220"/>
      <c r="RND1" s="216"/>
      <c r="RNE1" s="217"/>
      <c r="RNF1" s="217"/>
      <c r="RNG1" s="220"/>
      <c r="RNH1" s="216"/>
      <c r="RNI1" s="217"/>
      <c r="RNJ1" s="217"/>
      <c r="RNK1" s="220"/>
      <c r="RNL1" s="216"/>
      <c r="RNM1" s="217"/>
      <c r="RNN1" s="217"/>
      <c r="RNO1" s="220"/>
      <c r="RNP1" s="216"/>
      <c r="RNQ1" s="217"/>
      <c r="RNR1" s="217"/>
      <c r="RNS1" s="220"/>
      <c r="RNT1" s="216"/>
      <c r="RNU1" s="217"/>
      <c r="RNV1" s="217"/>
      <c r="RNW1" s="220"/>
      <c r="RNX1" s="216"/>
      <c r="RNY1" s="217"/>
      <c r="RNZ1" s="217"/>
      <c r="ROA1" s="220"/>
      <c r="ROB1" s="216"/>
      <c r="ROC1" s="217"/>
      <c r="ROD1" s="217"/>
      <c r="ROE1" s="220"/>
      <c r="ROF1" s="216"/>
      <c r="ROG1" s="217"/>
      <c r="ROH1" s="217"/>
      <c r="ROI1" s="220"/>
      <c r="ROJ1" s="216"/>
      <c r="ROK1" s="217"/>
      <c r="ROL1" s="217"/>
      <c r="ROM1" s="220"/>
      <c r="RON1" s="216"/>
      <c r="ROO1" s="217"/>
      <c r="ROP1" s="217"/>
      <c r="ROQ1" s="220"/>
      <c r="ROR1" s="216"/>
      <c r="ROS1" s="217"/>
      <c r="ROT1" s="217"/>
      <c r="ROU1" s="220"/>
      <c r="ROV1" s="216"/>
      <c r="ROW1" s="217"/>
      <c r="ROX1" s="217"/>
      <c r="ROY1" s="220"/>
      <c r="ROZ1" s="216"/>
      <c r="RPA1" s="217"/>
      <c r="RPB1" s="217"/>
      <c r="RPC1" s="220"/>
      <c r="RPD1" s="216"/>
      <c r="RPE1" s="217"/>
      <c r="RPF1" s="217"/>
      <c r="RPG1" s="220"/>
      <c r="RPH1" s="216"/>
      <c r="RPI1" s="217"/>
      <c r="RPJ1" s="217"/>
      <c r="RPK1" s="220"/>
      <c r="RPL1" s="216"/>
      <c r="RPM1" s="217"/>
      <c r="RPN1" s="217"/>
      <c r="RPO1" s="220"/>
      <c r="RPP1" s="216"/>
      <c r="RPQ1" s="217"/>
      <c r="RPR1" s="217"/>
      <c r="RPS1" s="220"/>
      <c r="RPT1" s="216"/>
      <c r="RPU1" s="217"/>
      <c r="RPV1" s="217"/>
      <c r="RPW1" s="220"/>
      <c r="RPX1" s="216"/>
      <c r="RPY1" s="217"/>
      <c r="RPZ1" s="217"/>
      <c r="RQA1" s="220"/>
      <c r="RQB1" s="216"/>
      <c r="RQC1" s="217"/>
      <c r="RQD1" s="217"/>
      <c r="RQE1" s="220"/>
      <c r="RQF1" s="216"/>
      <c r="RQG1" s="217"/>
      <c r="RQH1" s="217"/>
      <c r="RQI1" s="220"/>
      <c r="RQJ1" s="216"/>
      <c r="RQK1" s="217"/>
      <c r="RQL1" s="217"/>
      <c r="RQM1" s="220"/>
      <c r="RQN1" s="216"/>
      <c r="RQO1" s="217"/>
      <c r="RQP1" s="217"/>
      <c r="RQQ1" s="220"/>
      <c r="RQR1" s="216"/>
      <c r="RQS1" s="217"/>
      <c r="RQT1" s="217"/>
      <c r="RQU1" s="220"/>
      <c r="RQV1" s="216"/>
      <c r="RQW1" s="217"/>
      <c r="RQX1" s="217"/>
      <c r="RQY1" s="220"/>
      <c r="RQZ1" s="216"/>
      <c r="RRA1" s="217"/>
      <c r="RRB1" s="217"/>
      <c r="RRC1" s="220"/>
      <c r="RRD1" s="216"/>
      <c r="RRE1" s="217"/>
      <c r="RRF1" s="217"/>
      <c r="RRG1" s="220"/>
      <c r="RRH1" s="216"/>
      <c r="RRI1" s="217"/>
      <c r="RRJ1" s="217"/>
      <c r="RRK1" s="220"/>
      <c r="RRL1" s="216"/>
      <c r="RRM1" s="217"/>
      <c r="RRN1" s="217"/>
      <c r="RRO1" s="220"/>
      <c r="RRP1" s="216"/>
      <c r="RRQ1" s="217"/>
      <c r="RRR1" s="217"/>
      <c r="RRS1" s="220"/>
      <c r="RRT1" s="216"/>
      <c r="RRU1" s="217"/>
      <c r="RRV1" s="217"/>
      <c r="RRW1" s="220"/>
      <c r="RRX1" s="216"/>
      <c r="RRY1" s="217"/>
      <c r="RRZ1" s="217"/>
      <c r="RSA1" s="220"/>
      <c r="RSB1" s="216"/>
      <c r="RSC1" s="217"/>
      <c r="RSD1" s="217"/>
      <c r="RSE1" s="220"/>
      <c r="RSF1" s="216"/>
      <c r="RSG1" s="217"/>
      <c r="RSH1" s="217"/>
      <c r="RSI1" s="220"/>
      <c r="RSJ1" s="216"/>
      <c r="RSK1" s="217"/>
      <c r="RSL1" s="217"/>
      <c r="RSM1" s="220"/>
      <c r="RSN1" s="216"/>
      <c r="RSO1" s="217"/>
      <c r="RSP1" s="217"/>
      <c r="RSQ1" s="220"/>
      <c r="RSR1" s="216"/>
      <c r="RSS1" s="217"/>
      <c r="RST1" s="217"/>
      <c r="RSU1" s="220"/>
      <c r="RSV1" s="216"/>
      <c r="RSW1" s="217"/>
      <c r="RSX1" s="217"/>
      <c r="RSY1" s="220"/>
      <c r="RSZ1" s="216"/>
      <c r="RTA1" s="217"/>
      <c r="RTB1" s="217"/>
      <c r="RTC1" s="220"/>
      <c r="RTD1" s="216"/>
      <c r="RTE1" s="217"/>
      <c r="RTF1" s="217"/>
      <c r="RTG1" s="220"/>
      <c r="RTH1" s="216"/>
      <c r="RTI1" s="217"/>
      <c r="RTJ1" s="217"/>
      <c r="RTK1" s="220"/>
      <c r="RTL1" s="216"/>
      <c r="RTM1" s="217"/>
      <c r="RTN1" s="217"/>
      <c r="RTO1" s="220"/>
      <c r="RTP1" s="216"/>
      <c r="RTQ1" s="217"/>
      <c r="RTR1" s="217"/>
      <c r="RTS1" s="220"/>
      <c r="RTT1" s="216"/>
      <c r="RTU1" s="217"/>
      <c r="RTV1" s="217"/>
      <c r="RTW1" s="220"/>
      <c r="RTX1" s="216"/>
      <c r="RTY1" s="217"/>
      <c r="RTZ1" s="217"/>
      <c r="RUA1" s="220"/>
      <c r="RUB1" s="216"/>
      <c r="RUC1" s="217"/>
      <c r="RUD1" s="217"/>
      <c r="RUE1" s="220"/>
      <c r="RUF1" s="216"/>
      <c r="RUG1" s="217"/>
      <c r="RUH1" s="217"/>
      <c r="RUI1" s="220"/>
      <c r="RUJ1" s="216"/>
      <c r="RUK1" s="217"/>
      <c r="RUL1" s="217"/>
      <c r="RUM1" s="220"/>
      <c r="RUN1" s="216"/>
      <c r="RUO1" s="217"/>
      <c r="RUP1" s="217"/>
      <c r="RUQ1" s="220"/>
      <c r="RUR1" s="216"/>
      <c r="RUS1" s="217"/>
      <c r="RUT1" s="217"/>
      <c r="RUU1" s="220"/>
      <c r="RUV1" s="216"/>
      <c r="RUW1" s="217"/>
      <c r="RUX1" s="217"/>
      <c r="RUY1" s="220"/>
      <c r="RUZ1" s="216"/>
      <c r="RVA1" s="217"/>
      <c r="RVB1" s="217"/>
      <c r="RVC1" s="220"/>
      <c r="RVD1" s="216"/>
      <c r="RVE1" s="217"/>
      <c r="RVF1" s="217"/>
      <c r="RVG1" s="220"/>
      <c r="RVH1" s="216"/>
      <c r="RVI1" s="217"/>
      <c r="RVJ1" s="217"/>
      <c r="RVK1" s="220"/>
      <c r="RVL1" s="216"/>
      <c r="RVM1" s="217"/>
      <c r="RVN1" s="217"/>
      <c r="RVO1" s="220"/>
      <c r="RVP1" s="216"/>
      <c r="RVQ1" s="217"/>
      <c r="RVR1" s="217"/>
      <c r="RVS1" s="220"/>
      <c r="RVT1" s="216"/>
      <c r="RVU1" s="217"/>
      <c r="RVV1" s="217"/>
      <c r="RVW1" s="220"/>
      <c r="RVX1" s="216"/>
      <c r="RVY1" s="217"/>
      <c r="RVZ1" s="217"/>
      <c r="RWA1" s="220"/>
      <c r="RWB1" s="216"/>
      <c r="RWC1" s="217"/>
      <c r="RWD1" s="217"/>
      <c r="RWE1" s="220"/>
      <c r="RWF1" s="216"/>
      <c r="RWG1" s="217"/>
      <c r="RWH1" s="217"/>
      <c r="RWI1" s="220"/>
      <c r="RWJ1" s="216"/>
      <c r="RWK1" s="217"/>
      <c r="RWL1" s="217"/>
      <c r="RWM1" s="220"/>
      <c r="RWN1" s="216"/>
      <c r="RWO1" s="217"/>
      <c r="RWP1" s="217"/>
      <c r="RWQ1" s="220"/>
      <c r="RWR1" s="216"/>
      <c r="RWS1" s="217"/>
      <c r="RWT1" s="217"/>
      <c r="RWU1" s="220"/>
      <c r="RWV1" s="216"/>
      <c r="RWW1" s="217"/>
      <c r="RWX1" s="217"/>
      <c r="RWY1" s="220"/>
      <c r="RWZ1" s="216"/>
      <c r="RXA1" s="217"/>
      <c r="RXB1" s="217"/>
      <c r="RXC1" s="220"/>
      <c r="RXD1" s="216"/>
      <c r="RXE1" s="217"/>
      <c r="RXF1" s="217"/>
      <c r="RXG1" s="220"/>
      <c r="RXH1" s="216"/>
      <c r="RXI1" s="217"/>
      <c r="RXJ1" s="217"/>
      <c r="RXK1" s="220"/>
      <c r="RXL1" s="216"/>
      <c r="RXM1" s="217"/>
      <c r="RXN1" s="217"/>
      <c r="RXO1" s="220"/>
      <c r="RXP1" s="216"/>
      <c r="RXQ1" s="217"/>
      <c r="RXR1" s="217"/>
      <c r="RXS1" s="220"/>
      <c r="RXT1" s="216"/>
      <c r="RXU1" s="217"/>
      <c r="RXV1" s="217"/>
      <c r="RXW1" s="220"/>
      <c r="RXX1" s="216"/>
      <c r="RXY1" s="217"/>
      <c r="RXZ1" s="217"/>
      <c r="RYA1" s="220"/>
      <c r="RYB1" s="216"/>
      <c r="RYC1" s="217"/>
      <c r="RYD1" s="217"/>
      <c r="RYE1" s="220"/>
      <c r="RYF1" s="216"/>
      <c r="RYG1" s="217"/>
      <c r="RYH1" s="217"/>
      <c r="RYI1" s="220"/>
      <c r="RYJ1" s="216"/>
      <c r="RYK1" s="217"/>
      <c r="RYL1" s="217"/>
      <c r="RYM1" s="220"/>
      <c r="RYN1" s="216"/>
      <c r="RYO1" s="217"/>
      <c r="RYP1" s="217"/>
      <c r="RYQ1" s="220"/>
      <c r="RYR1" s="216"/>
      <c r="RYS1" s="217"/>
      <c r="RYT1" s="217"/>
      <c r="RYU1" s="220"/>
      <c r="RYV1" s="216"/>
      <c r="RYW1" s="217"/>
      <c r="RYX1" s="217"/>
      <c r="RYY1" s="220"/>
      <c r="RYZ1" s="216"/>
      <c r="RZA1" s="217"/>
      <c r="RZB1" s="217"/>
      <c r="RZC1" s="220"/>
      <c r="RZD1" s="216"/>
      <c r="RZE1" s="217"/>
      <c r="RZF1" s="217"/>
      <c r="RZG1" s="220"/>
      <c r="RZH1" s="216"/>
      <c r="RZI1" s="217"/>
      <c r="RZJ1" s="217"/>
      <c r="RZK1" s="220"/>
      <c r="RZL1" s="216"/>
      <c r="RZM1" s="217"/>
      <c r="RZN1" s="217"/>
      <c r="RZO1" s="220"/>
      <c r="RZP1" s="216"/>
      <c r="RZQ1" s="217"/>
      <c r="RZR1" s="217"/>
      <c r="RZS1" s="220"/>
      <c r="RZT1" s="216"/>
      <c r="RZU1" s="217"/>
      <c r="RZV1" s="217"/>
      <c r="RZW1" s="220"/>
      <c r="RZX1" s="216"/>
      <c r="RZY1" s="217"/>
      <c r="RZZ1" s="217"/>
      <c r="SAA1" s="220"/>
      <c r="SAB1" s="216"/>
      <c r="SAC1" s="217"/>
      <c r="SAD1" s="217"/>
      <c r="SAE1" s="220"/>
      <c r="SAF1" s="216"/>
      <c r="SAG1" s="217"/>
      <c r="SAH1" s="217"/>
      <c r="SAI1" s="220"/>
      <c r="SAJ1" s="216"/>
      <c r="SAK1" s="217"/>
      <c r="SAL1" s="217"/>
      <c r="SAM1" s="220"/>
      <c r="SAN1" s="216"/>
      <c r="SAO1" s="217"/>
      <c r="SAP1" s="217"/>
      <c r="SAQ1" s="220"/>
      <c r="SAR1" s="216"/>
      <c r="SAS1" s="217"/>
      <c r="SAT1" s="217"/>
      <c r="SAU1" s="220"/>
      <c r="SAV1" s="216"/>
      <c r="SAW1" s="217"/>
      <c r="SAX1" s="217"/>
      <c r="SAY1" s="220"/>
      <c r="SAZ1" s="216"/>
      <c r="SBA1" s="217"/>
      <c r="SBB1" s="217"/>
      <c r="SBC1" s="220"/>
      <c r="SBD1" s="216"/>
      <c r="SBE1" s="217"/>
      <c r="SBF1" s="217"/>
      <c r="SBG1" s="220"/>
      <c r="SBH1" s="216"/>
      <c r="SBI1" s="217"/>
      <c r="SBJ1" s="217"/>
      <c r="SBK1" s="220"/>
      <c r="SBL1" s="216"/>
      <c r="SBM1" s="217"/>
      <c r="SBN1" s="217"/>
      <c r="SBO1" s="220"/>
      <c r="SBP1" s="216"/>
      <c r="SBQ1" s="217"/>
      <c r="SBR1" s="217"/>
      <c r="SBS1" s="220"/>
      <c r="SBT1" s="216"/>
      <c r="SBU1" s="217"/>
      <c r="SBV1" s="217"/>
      <c r="SBW1" s="220"/>
      <c r="SBX1" s="216"/>
      <c r="SBY1" s="217"/>
      <c r="SBZ1" s="217"/>
      <c r="SCA1" s="220"/>
      <c r="SCB1" s="216"/>
      <c r="SCC1" s="217"/>
      <c r="SCD1" s="217"/>
      <c r="SCE1" s="220"/>
      <c r="SCF1" s="216"/>
      <c r="SCG1" s="217"/>
      <c r="SCH1" s="217"/>
      <c r="SCI1" s="220"/>
      <c r="SCJ1" s="216"/>
      <c r="SCK1" s="217"/>
      <c r="SCL1" s="217"/>
      <c r="SCM1" s="220"/>
      <c r="SCN1" s="216"/>
      <c r="SCO1" s="217"/>
      <c r="SCP1" s="217"/>
      <c r="SCQ1" s="220"/>
      <c r="SCR1" s="216"/>
      <c r="SCS1" s="217"/>
      <c r="SCT1" s="217"/>
      <c r="SCU1" s="220"/>
      <c r="SCV1" s="216"/>
      <c r="SCW1" s="217"/>
      <c r="SCX1" s="217"/>
      <c r="SCY1" s="220"/>
      <c r="SCZ1" s="216"/>
      <c r="SDA1" s="217"/>
      <c r="SDB1" s="217"/>
      <c r="SDC1" s="220"/>
      <c r="SDD1" s="216"/>
      <c r="SDE1" s="217"/>
      <c r="SDF1" s="217"/>
      <c r="SDG1" s="220"/>
      <c r="SDH1" s="216"/>
      <c r="SDI1" s="217"/>
      <c r="SDJ1" s="217"/>
      <c r="SDK1" s="220"/>
      <c r="SDL1" s="216"/>
      <c r="SDM1" s="217"/>
      <c r="SDN1" s="217"/>
      <c r="SDO1" s="220"/>
      <c r="SDP1" s="216"/>
      <c r="SDQ1" s="217"/>
      <c r="SDR1" s="217"/>
      <c r="SDS1" s="220"/>
      <c r="SDT1" s="216"/>
      <c r="SDU1" s="217"/>
      <c r="SDV1" s="217"/>
      <c r="SDW1" s="220"/>
      <c r="SDX1" s="216"/>
      <c r="SDY1" s="217"/>
      <c r="SDZ1" s="217"/>
      <c r="SEA1" s="220"/>
      <c r="SEB1" s="216"/>
      <c r="SEC1" s="217"/>
      <c r="SED1" s="217"/>
      <c r="SEE1" s="220"/>
      <c r="SEF1" s="216"/>
      <c r="SEG1" s="217"/>
      <c r="SEH1" s="217"/>
      <c r="SEI1" s="220"/>
      <c r="SEJ1" s="216"/>
      <c r="SEK1" s="217"/>
      <c r="SEL1" s="217"/>
      <c r="SEM1" s="220"/>
      <c r="SEN1" s="216"/>
      <c r="SEO1" s="217"/>
      <c r="SEP1" s="217"/>
      <c r="SEQ1" s="220"/>
      <c r="SER1" s="216"/>
      <c r="SES1" s="217"/>
      <c r="SET1" s="217"/>
      <c r="SEU1" s="220"/>
      <c r="SEV1" s="216"/>
      <c r="SEW1" s="217"/>
      <c r="SEX1" s="217"/>
      <c r="SEY1" s="220"/>
      <c r="SEZ1" s="216"/>
      <c r="SFA1" s="217"/>
      <c r="SFB1" s="217"/>
      <c r="SFC1" s="220"/>
      <c r="SFD1" s="216"/>
      <c r="SFE1" s="217"/>
      <c r="SFF1" s="217"/>
      <c r="SFG1" s="220"/>
      <c r="SFH1" s="216"/>
      <c r="SFI1" s="217"/>
      <c r="SFJ1" s="217"/>
      <c r="SFK1" s="220"/>
      <c r="SFL1" s="216"/>
      <c r="SFM1" s="217"/>
      <c r="SFN1" s="217"/>
      <c r="SFO1" s="220"/>
      <c r="SFP1" s="216"/>
      <c r="SFQ1" s="217"/>
      <c r="SFR1" s="217"/>
      <c r="SFS1" s="220"/>
      <c r="SFT1" s="216"/>
      <c r="SFU1" s="217"/>
      <c r="SFV1" s="217"/>
      <c r="SFW1" s="220"/>
      <c r="SFX1" s="216"/>
      <c r="SFY1" s="217"/>
      <c r="SFZ1" s="217"/>
      <c r="SGA1" s="220"/>
      <c r="SGB1" s="216"/>
      <c r="SGC1" s="217"/>
      <c r="SGD1" s="217"/>
      <c r="SGE1" s="220"/>
      <c r="SGF1" s="216"/>
      <c r="SGG1" s="217"/>
      <c r="SGH1" s="217"/>
      <c r="SGI1" s="220"/>
      <c r="SGJ1" s="216"/>
      <c r="SGK1" s="217"/>
      <c r="SGL1" s="217"/>
      <c r="SGM1" s="220"/>
      <c r="SGN1" s="216"/>
      <c r="SGO1" s="217"/>
      <c r="SGP1" s="217"/>
      <c r="SGQ1" s="220"/>
      <c r="SGR1" s="216"/>
      <c r="SGS1" s="217"/>
      <c r="SGT1" s="217"/>
      <c r="SGU1" s="220"/>
      <c r="SGV1" s="216"/>
      <c r="SGW1" s="217"/>
      <c r="SGX1" s="217"/>
      <c r="SGY1" s="220"/>
      <c r="SGZ1" s="216"/>
      <c r="SHA1" s="217"/>
      <c r="SHB1" s="217"/>
      <c r="SHC1" s="220"/>
      <c r="SHD1" s="216"/>
      <c r="SHE1" s="217"/>
      <c r="SHF1" s="217"/>
      <c r="SHG1" s="220"/>
      <c r="SHH1" s="216"/>
      <c r="SHI1" s="217"/>
      <c r="SHJ1" s="217"/>
      <c r="SHK1" s="220"/>
      <c r="SHL1" s="216"/>
      <c r="SHM1" s="217"/>
      <c r="SHN1" s="217"/>
      <c r="SHO1" s="220"/>
      <c r="SHP1" s="216"/>
      <c r="SHQ1" s="217"/>
      <c r="SHR1" s="217"/>
      <c r="SHS1" s="220"/>
      <c r="SHT1" s="216"/>
      <c r="SHU1" s="217"/>
      <c r="SHV1" s="217"/>
      <c r="SHW1" s="220"/>
      <c r="SHX1" s="216"/>
      <c r="SHY1" s="217"/>
      <c r="SHZ1" s="217"/>
      <c r="SIA1" s="220"/>
      <c r="SIB1" s="216"/>
      <c r="SIC1" s="217"/>
      <c r="SID1" s="217"/>
      <c r="SIE1" s="220"/>
      <c r="SIF1" s="216"/>
      <c r="SIG1" s="217"/>
      <c r="SIH1" s="217"/>
      <c r="SII1" s="220"/>
      <c r="SIJ1" s="216"/>
      <c r="SIK1" s="217"/>
      <c r="SIL1" s="217"/>
      <c r="SIM1" s="220"/>
      <c r="SIN1" s="216"/>
      <c r="SIO1" s="217"/>
      <c r="SIP1" s="217"/>
      <c r="SIQ1" s="220"/>
      <c r="SIR1" s="216"/>
      <c r="SIS1" s="217"/>
      <c r="SIT1" s="217"/>
      <c r="SIU1" s="220"/>
      <c r="SIV1" s="216"/>
      <c r="SIW1" s="217"/>
      <c r="SIX1" s="217"/>
      <c r="SIY1" s="220"/>
      <c r="SIZ1" s="216"/>
      <c r="SJA1" s="217"/>
      <c r="SJB1" s="217"/>
      <c r="SJC1" s="220"/>
      <c r="SJD1" s="216"/>
      <c r="SJE1" s="217"/>
      <c r="SJF1" s="217"/>
      <c r="SJG1" s="220"/>
      <c r="SJH1" s="216"/>
      <c r="SJI1" s="217"/>
      <c r="SJJ1" s="217"/>
      <c r="SJK1" s="220"/>
      <c r="SJL1" s="216"/>
      <c r="SJM1" s="217"/>
      <c r="SJN1" s="217"/>
      <c r="SJO1" s="220"/>
      <c r="SJP1" s="216"/>
      <c r="SJQ1" s="217"/>
      <c r="SJR1" s="217"/>
      <c r="SJS1" s="220"/>
      <c r="SJT1" s="216"/>
      <c r="SJU1" s="217"/>
      <c r="SJV1" s="217"/>
      <c r="SJW1" s="220"/>
      <c r="SJX1" s="216"/>
      <c r="SJY1" s="217"/>
      <c r="SJZ1" s="217"/>
      <c r="SKA1" s="220"/>
      <c r="SKB1" s="216"/>
      <c r="SKC1" s="217"/>
      <c r="SKD1" s="217"/>
      <c r="SKE1" s="220"/>
      <c r="SKF1" s="216"/>
      <c r="SKG1" s="217"/>
      <c r="SKH1" s="217"/>
      <c r="SKI1" s="220"/>
      <c r="SKJ1" s="216"/>
      <c r="SKK1" s="217"/>
      <c r="SKL1" s="217"/>
      <c r="SKM1" s="220"/>
      <c r="SKN1" s="216"/>
      <c r="SKO1" s="217"/>
      <c r="SKP1" s="217"/>
      <c r="SKQ1" s="220"/>
      <c r="SKR1" s="216"/>
      <c r="SKS1" s="217"/>
      <c r="SKT1" s="217"/>
      <c r="SKU1" s="220"/>
      <c r="SKV1" s="216"/>
      <c r="SKW1" s="217"/>
      <c r="SKX1" s="217"/>
      <c r="SKY1" s="220"/>
      <c r="SKZ1" s="216"/>
      <c r="SLA1" s="217"/>
      <c r="SLB1" s="217"/>
      <c r="SLC1" s="220"/>
      <c r="SLD1" s="216"/>
      <c r="SLE1" s="217"/>
      <c r="SLF1" s="217"/>
      <c r="SLG1" s="220"/>
      <c r="SLH1" s="216"/>
      <c r="SLI1" s="217"/>
      <c r="SLJ1" s="217"/>
      <c r="SLK1" s="220"/>
      <c r="SLL1" s="216"/>
      <c r="SLM1" s="217"/>
      <c r="SLN1" s="217"/>
      <c r="SLO1" s="220"/>
      <c r="SLP1" s="216"/>
      <c r="SLQ1" s="217"/>
      <c r="SLR1" s="217"/>
      <c r="SLS1" s="220"/>
      <c r="SLT1" s="216"/>
      <c r="SLU1" s="217"/>
      <c r="SLV1" s="217"/>
      <c r="SLW1" s="220"/>
      <c r="SLX1" s="216"/>
      <c r="SLY1" s="217"/>
      <c r="SLZ1" s="217"/>
      <c r="SMA1" s="220"/>
      <c r="SMB1" s="216"/>
      <c r="SMC1" s="217"/>
      <c r="SMD1" s="217"/>
      <c r="SME1" s="220"/>
      <c r="SMF1" s="216"/>
      <c r="SMG1" s="217"/>
      <c r="SMH1" s="217"/>
      <c r="SMI1" s="220"/>
      <c r="SMJ1" s="216"/>
      <c r="SMK1" s="217"/>
      <c r="SML1" s="217"/>
      <c r="SMM1" s="220"/>
      <c r="SMN1" s="216"/>
      <c r="SMO1" s="217"/>
      <c r="SMP1" s="217"/>
      <c r="SMQ1" s="220"/>
      <c r="SMR1" s="216"/>
      <c r="SMS1" s="217"/>
      <c r="SMT1" s="217"/>
      <c r="SMU1" s="220"/>
      <c r="SMV1" s="216"/>
      <c r="SMW1" s="217"/>
      <c r="SMX1" s="217"/>
      <c r="SMY1" s="220"/>
      <c r="SMZ1" s="216"/>
      <c r="SNA1" s="217"/>
      <c r="SNB1" s="217"/>
      <c r="SNC1" s="220"/>
      <c r="SND1" s="216"/>
      <c r="SNE1" s="217"/>
      <c r="SNF1" s="217"/>
      <c r="SNG1" s="220"/>
      <c r="SNH1" s="216"/>
      <c r="SNI1" s="217"/>
      <c r="SNJ1" s="217"/>
      <c r="SNK1" s="220"/>
      <c r="SNL1" s="216"/>
      <c r="SNM1" s="217"/>
      <c r="SNN1" s="217"/>
      <c r="SNO1" s="220"/>
      <c r="SNP1" s="216"/>
      <c r="SNQ1" s="217"/>
      <c r="SNR1" s="217"/>
      <c r="SNS1" s="220"/>
      <c r="SNT1" s="216"/>
      <c r="SNU1" s="217"/>
      <c r="SNV1" s="217"/>
      <c r="SNW1" s="220"/>
      <c r="SNX1" s="216"/>
      <c r="SNY1" s="217"/>
      <c r="SNZ1" s="217"/>
      <c r="SOA1" s="220"/>
      <c r="SOB1" s="216"/>
      <c r="SOC1" s="217"/>
      <c r="SOD1" s="217"/>
      <c r="SOE1" s="220"/>
      <c r="SOF1" s="216"/>
      <c r="SOG1" s="217"/>
      <c r="SOH1" s="217"/>
      <c r="SOI1" s="220"/>
      <c r="SOJ1" s="216"/>
      <c r="SOK1" s="217"/>
      <c r="SOL1" s="217"/>
      <c r="SOM1" s="220"/>
      <c r="SON1" s="216"/>
      <c r="SOO1" s="217"/>
      <c r="SOP1" s="217"/>
      <c r="SOQ1" s="220"/>
      <c r="SOR1" s="216"/>
      <c r="SOS1" s="217"/>
      <c r="SOT1" s="217"/>
      <c r="SOU1" s="220"/>
      <c r="SOV1" s="216"/>
      <c r="SOW1" s="217"/>
      <c r="SOX1" s="217"/>
      <c r="SOY1" s="220"/>
      <c r="SOZ1" s="216"/>
      <c r="SPA1" s="217"/>
      <c r="SPB1" s="217"/>
      <c r="SPC1" s="220"/>
      <c r="SPD1" s="216"/>
      <c r="SPE1" s="217"/>
      <c r="SPF1" s="217"/>
      <c r="SPG1" s="220"/>
      <c r="SPH1" s="216"/>
      <c r="SPI1" s="217"/>
      <c r="SPJ1" s="217"/>
      <c r="SPK1" s="220"/>
      <c r="SPL1" s="216"/>
      <c r="SPM1" s="217"/>
      <c r="SPN1" s="217"/>
      <c r="SPO1" s="220"/>
      <c r="SPP1" s="216"/>
      <c r="SPQ1" s="217"/>
      <c r="SPR1" s="217"/>
      <c r="SPS1" s="220"/>
      <c r="SPT1" s="216"/>
      <c r="SPU1" s="217"/>
      <c r="SPV1" s="217"/>
      <c r="SPW1" s="220"/>
      <c r="SPX1" s="216"/>
      <c r="SPY1" s="217"/>
      <c r="SPZ1" s="217"/>
      <c r="SQA1" s="220"/>
      <c r="SQB1" s="216"/>
      <c r="SQC1" s="217"/>
      <c r="SQD1" s="217"/>
      <c r="SQE1" s="220"/>
      <c r="SQF1" s="216"/>
      <c r="SQG1" s="217"/>
      <c r="SQH1" s="217"/>
      <c r="SQI1" s="220"/>
      <c r="SQJ1" s="216"/>
      <c r="SQK1" s="217"/>
      <c r="SQL1" s="217"/>
      <c r="SQM1" s="220"/>
      <c r="SQN1" s="216"/>
      <c r="SQO1" s="217"/>
      <c r="SQP1" s="217"/>
      <c r="SQQ1" s="220"/>
      <c r="SQR1" s="216"/>
      <c r="SQS1" s="217"/>
      <c r="SQT1" s="217"/>
      <c r="SQU1" s="220"/>
      <c r="SQV1" s="216"/>
      <c r="SQW1" s="217"/>
      <c r="SQX1" s="217"/>
      <c r="SQY1" s="220"/>
      <c r="SQZ1" s="216"/>
      <c r="SRA1" s="217"/>
      <c r="SRB1" s="217"/>
      <c r="SRC1" s="220"/>
      <c r="SRD1" s="216"/>
      <c r="SRE1" s="217"/>
      <c r="SRF1" s="217"/>
      <c r="SRG1" s="220"/>
      <c r="SRH1" s="216"/>
      <c r="SRI1" s="217"/>
      <c r="SRJ1" s="217"/>
      <c r="SRK1" s="220"/>
      <c r="SRL1" s="216"/>
      <c r="SRM1" s="217"/>
      <c r="SRN1" s="217"/>
      <c r="SRO1" s="220"/>
      <c r="SRP1" s="216"/>
      <c r="SRQ1" s="217"/>
      <c r="SRR1" s="217"/>
      <c r="SRS1" s="220"/>
      <c r="SRT1" s="216"/>
      <c r="SRU1" s="217"/>
      <c r="SRV1" s="217"/>
      <c r="SRW1" s="220"/>
      <c r="SRX1" s="216"/>
      <c r="SRY1" s="217"/>
      <c r="SRZ1" s="217"/>
      <c r="SSA1" s="220"/>
      <c r="SSB1" s="216"/>
      <c r="SSC1" s="217"/>
      <c r="SSD1" s="217"/>
      <c r="SSE1" s="220"/>
      <c r="SSF1" s="216"/>
      <c r="SSG1" s="217"/>
      <c r="SSH1" s="217"/>
      <c r="SSI1" s="220"/>
      <c r="SSJ1" s="216"/>
      <c r="SSK1" s="217"/>
      <c r="SSL1" s="217"/>
      <c r="SSM1" s="220"/>
      <c r="SSN1" s="216"/>
      <c r="SSO1" s="217"/>
      <c r="SSP1" s="217"/>
      <c r="SSQ1" s="220"/>
      <c r="SSR1" s="216"/>
      <c r="SSS1" s="217"/>
      <c r="SST1" s="217"/>
      <c r="SSU1" s="220"/>
      <c r="SSV1" s="216"/>
      <c r="SSW1" s="217"/>
      <c r="SSX1" s="217"/>
      <c r="SSY1" s="220"/>
      <c r="SSZ1" s="216"/>
      <c r="STA1" s="217"/>
      <c r="STB1" s="217"/>
      <c r="STC1" s="220"/>
      <c r="STD1" s="216"/>
      <c r="STE1" s="217"/>
      <c r="STF1" s="217"/>
      <c r="STG1" s="220"/>
      <c r="STH1" s="216"/>
      <c r="STI1" s="217"/>
      <c r="STJ1" s="217"/>
      <c r="STK1" s="220"/>
      <c r="STL1" s="216"/>
      <c r="STM1" s="217"/>
      <c r="STN1" s="217"/>
      <c r="STO1" s="220"/>
      <c r="STP1" s="216"/>
      <c r="STQ1" s="217"/>
      <c r="STR1" s="217"/>
      <c r="STS1" s="220"/>
      <c r="STT1" s="216"/>
      <c r="STU1" s="217"/>
      <c r="STV1" s="217"/>
      <c r="STW1" s="220"/>
      <c r="STX1" s="216"/>
      <c r="STY1" s="217"/>
      <c r="STZ1" s="217"/>
      <c r="SUA1" s="220"/>
      <c r="SUB1" s="216"/>
      <c r="SUC1" s="217"/>
      <c r="SUD1" s="217"/>
      <c r="SUE1" s="220"/>
      <c r="SUF1" s="216"/>
      <c r="SUG1" s="217"/>
      <c r="SUH1" s="217"/>
      <c r="SUI1" s="220"/>
      <c r="SUJ1" s="216"/>
      <c r="SUK1" s="217"/>
      <c r="SUL1" s="217"/>
      <c r="SUM1" s="220"/>
      <c r="SUN1" s="216"/>
      <c r="SUO1" s="217"/>
      <c r="SUP1" s="217"/>
      <c r="SUQ1" s="220"/>
      <c r="SUR1" s="216"/>
      <c r="SUS1" s="217"/>
      <c r="SUT1" s="217"/>
      <c r="SUU1" s="220"/>
      <c r="SUV1" s="216"/>
      <c r="SUW1" s="217"/>
      <c r="SUX1" s="217"/>
      <c r="SUY1" s="220"/>
      <c r="SUZ1" s="216"/>
      <c r="SVA1" s="217"/>
      <c r="SVB1" s="217"/>
      <c r="SVC1" s="220"/>
      <c r="SVD1" s="216"/>
      <c r="SVE1" s="217"/>
      <c r="SVF1" s="217"/>
      <c r="SVG1" s="220"/>
      <c r="SVH1" s="216"/>
      <c r="SVI1" s="217"/>
      <c r="SVJ1" s="217"/>
      <c r="SVK1" s="220"/>
      <c r="SVL1" s="216"/>
      <c r="SVM1" s="217"/>
      <c r="SVN1" s="217"/>
      <c r="SVO1" s="220"/>
      <c r="SVP1" s="216"/>
      <c r="SVQ1" s="217"/>
      <c r="SVR1" s="217"/>
      <c r="SVS1" s="220"/>
      <c r="SVT1" s="216"/>
      <c r="SVU1" s="217"/>
      <c r="SVV1" s="217"/>
      <c r="SVW1" s="220"/>
      <c r="SVX1" s="216"/>
      <c r="SVY1" s="217"/>
      <c r="SVZ1" s="217"/>
      <c r="SWA1" s="220"/>
      <c r="SWB1" s="216"/>
      <c r="SWC1" s="217"/>
      <c r="SWD1" s="217"/>
      <c r="SWE1" s="220"/>
      <c r="SWF1" s="216"/>
      <c r="SWG1" s="217"/>
      <c r="SWH1" s="217"/>
      <c r="SWI1" s="220"/>
      <c r="SWJ1" s="216"/>
      <c r="SWK1" s="217"/>
      <c r="SWL1" s="217"/>
      <c r="SWM1" s="220"/>
      <c r="SWN1" s="216"/>
      <c r="SWO1" s="217"/>
      <c r="SWP1" s="217"/>
      <c r="SWQ1" s="220"/>
      <c r="SWR1" s="216"/>
      <c r="SWS1" s="217"/>
      <c r="SWT1" s="217"/>
      <c r="SWU1" s="220"/>
      <c r="SWV1" s="216"/>
      <c r="SWW1" s="217"/>
      <c r="SWX1" s="217"/>
      <c r="SWY1" s="220"/>
      <c r="SWZ1" s="216"/>
      <c r="SXA1" s="217"/>
      <c r="SXB1" s="217"/>
      <c r="SXC1" s="220"/>
      <c r="SXD1" s="216"/>
      <c r="SXE1" s="217"/>
      <c r="SXF1" s="217"/>
      <c r="SXG1" s="220"/>
      <c r="SXH1" s="216"/>
      <c r="SXI1" s="217"/>
      <c r="SXJ1" s="217"/>
      <c r="SXK1" s="220"/>
      <c r="SXL1" s="216"/>
      <c r="SXM1" s="217"/>
      <c r="SXN1" s="217"/>
      <c r="SXO1" s="220"/>
      <c r="SXP1" s="216"/>
      <c r="SXQ1" s="217"/>
      <c r="SXR1" s="217"/>
      <c r="SXS1" s="220"/>
      <c r="SXT1" s="216"/>
      <c r="SXU1" s="217"/>
      <c r="SXV1" s="217"/>
      <c r="SXW1" s="220"/>
      <c r="SXX1" s="216"/>
      <c r="SXY1" s="217"/>
      <c r="SXZ1" s="217"/>
      <c r="SYA1" s="220"/>
      <c r="SYB1" s="216"/>
      <c r="SYC1" s="217"/>
      <c r="SYD1" s="217"/>
      <c r="SYE1" s="220"/>
      <c r="SYF1" s="216"/>
      <c r="SYG1" s="217"/>
      <c r="SYH1" s="217"/>
      <c r="SYI1" s="220"/>
      <c r="SYJ1" s="216"/>
      <c r="SYK1" s="217"/>
      <c r="SYL1" s="217"/>
      <c r="SYM1" s="220"/>
      <c r="SYN1" s="216"/>
      <c r="SYO1" s="217"/>
      <c r="SYP1" s="217"/>
      <c r="SYQ1" s="220"/>
      <c r="SYR1" s="216"/>
      <c r="SYS1" s="217"/>
      <c r="SYT1" s="217"/>
      <c r="SYU1" s="220"/>
      <c r="SYV1" s="216"/>
      <c r="SYW1" s="217"/>
      <c r="SYX1" s="217"/>
      <c r="SYY1" s="220"/>
      <c r="SYZ1" s="216"/>
      <c r="SZA1" s="217"/>
      <c r="SZB1" s="217"/>
      <c r="SZC1" s="220"/>
      <c r="SZD1" s="216"/>
      <c r="SZE1" s="217"/>
      <c r="SZF1" s="217"/>
      <c r="SZG1" s="220"/>
      <c r="SZH1" s="216"/>
      <c r="SZI1" s="217"/>
      <c r="SZJ1" s="217"/>
      <c r="SZK1" s="220"/>
      <c r="SZL1" s="216"/>
      <c r="SZM1" s="217"/>
      <c r="SZN1" s="217"/>
      <c r="SZO1" s="220"/>
      <c r="SZP1" s="216"/>
      <c r="SZQ1" s="217"/>
      <c r="SZR1" s="217"/>
      <c r="SZS1" s="220"/>
      <c r="SZT1" s="216"/>
      <c r="SZU1" s="217"/>
      <c r="SZV1" s="217"/>
      <c r="SZW1" s="220"/>
      <c r="SZX1" s="216"/>
      <c r="SZY1" s="217"/>
      <c r="SZZ1" s="217"/>
      <c r="TAA1" s="220"/>
      <c r="TAB1" s="216"/>
      <c r="TAC1" s="217"/>
      <c r="TAD1" s="217"/>
      <c r="TAE1" s="220"/>
      <c r="TAF1" s="216"/>
      <c r="TAG1" s="217"/>
      <c r="TAH1" s="217"/>
      <c r="TAI1" s="220"/>
      <c r="TAJ1" s="216"/>
      <c r="TAK1" s="217"/>
      <c r="TAL1" s="217"/>
      <c r="TAM1" s="220"/>
      <c r="TAN1" s="216"/>
      <c r="TAO1" s="217"/>
      <c r="TAP1" s="217"/>
      <c r="TAQ1" s="220"/>
      <c r="TAR1" s="216"/>
      <c r="TAS1" s="217"/>
      <c r="TAT1" s="217"/>
      <c r="TAU1" s="220"/>
      <c r="TAV1" s="216"/>
      <c r="TAW1" s="217"/>
      <c r="TAX1" s="217"/>
      <c r="TAY1" s="220"/>
      <c r="TAZ1" s="216"/>
      <c r="TBA1" s="217"/>
      <c r="TBB1" s="217"/>
      <c r="TBC1" s="220"/>
      <c r="TBD1" s="216"/>
      <c r="TBE1" s="217"/>
      <c r="TBF1" s="217"/>
      <c r="TBG1" s="220"/>
      <c r="TBH1" s="216"/>
      <c r="TBI1" s="217"/>
      <c r="TBJ1" s="217"/>
      <c r="TBK1" s="220"/>
      <c r="TBL1" s="216"/>
      <c r="TBM1" s="217"/>
      <c r="TBN1" s="217"/>
      <c r="TBO1" s="220"/>
      <c r="TBP1" s="216"/>
      <c r="TBQ1" s="217"/>
      <c r="TBR1" s="217"/>
      <c r="TBS1" s="220"/>
      <c r="TBT1" s="216"/>
      <c r="TBU1" s="217"/>
      <c r="TBV1" s="217"/>
      <c r="TBW1" s="220"/>
      <c r="TBX1" s="216"/>
      <c r="TBY1" s="217"/>
      <c r="TBZ1" s="217"/>
      <c r="TCA1" s="220"/>
      <c r="TCB1" s="216"/>
      <c r="TCC1" s="217"/>
      <c r="TCD1" s="217"/>
      <c r="TCE1" s="220"/>
      <c r="TCF1" s="216"/>
      <c r="TCG1" s="217"/>
      <c r="TCH1" s="217"/>
      <c r="TCI1" s="220"/>
      <c r="TCJ1" s="216"/>
      <c r="TCK1" s="217"/>
      <c r="TCL1" s="217"/>
      <c r="TCM1" s="220"/>
      <c r="TCN1" s="216"/>
      <c r="TCO1" s="217"/>
      <c r="TCP1" s="217"/>
      <c r="TCQ1" s="220"/>
      <c r="TCR1" s="216"/>
      <c r="TCS1" s="217"/>
      <c r="TCT1" s="217"/>
      <c r="TCU1" s="220"/>
      <c r="TCV1" s="216"/>
      <c r="TCW1" s="217"/>
      <c r="TCX1" s="217"/>
      <c r="TCY1" s="220"/>
      <c r="TCZ1" s="216"/>
      <c r="TDA1" s="217"/>
      <c r="TDB1" s="217"/>
      <c r="TDC1" s="220"/>
      <c r="TDD1" s="216"/>
      <c r="TDE1" s="217"/>
      <c r="TDF1" s="217"/>
      <c r="TDG1" s="220"/>
      <c r="TDH1" s="216"/>
      <c r="TDI1" s="217"/>
      <c r="TDJ1" s="217"/>
      <c r="TDK1" s="220"/>
      <c r="TDL1" s="216"/>
      <c r="TDM1" s="217"/>
      <c r="TDN1" s="217"/>
      <c r="TDO1" s="220"/>
      <c r="TDP1" s="216"/>
      <c r="TDQ1" s="217"/>
      <c r="TDR1" s="217"/>
      <c r="TDS1" s="220"/>
      <c r="TDT1" s="216"/>
      <c r="TDU1" s="217"/>
      <c r="TDV1" s="217"/>
      <c r="TDW1" s="220"/>
      <c r="TDX1" s="216"/>
      <c r="TDY1" s="217"/>
      <c r="TDZ1" s="217"/>
      <c r="TEA1" s="220"/>
      <c r="TEB1" s="216"/>
      <c r="TEC1" s="217"/>
      <c r="TED1" s="217"/>
      <c r="TEE1" s="220"/>
      <c r="TEF1" s="216"/>
      <c r="TEG1" s="217"/>
      <c r="TEH1" s="217"/>
      <c r="TEI1" s="220"/>
      <c r="TEJ1" s="216"/>
      <c r="TEK1" s="217"/>
      <c r="TEL1" s="217"/>
      <c r="TEM1" s="220"/>
      <c r="TEN1" s="216"/>
      <c r="TEO1" s="217"/>
      <c r="TEP1" s="217"/>
      <c r="TEQ1" s="220"/>
      <c r="TER1" s="216"/>
      <c r="TES1" s="217"/>
      <c r="TET1" s="217"/>
      <c r="TEU1" s="220"/>
      <c r="TEV1" s="216"/>
      <c r="TEW1" s="217"/>
      <c r="TEX1" s="217"/>
      <c r="TEY1" s="220"/>
      <c r="TEZ1" s="216"/>
      <c r="TFA1" s="217"/>
      <c r="TFB1" s="217"/>
      <c r="TFC1" s="220"/>
      <c r="TFD1" s="216"/>
      <c r="TFE1" s="217"/>
      <c r="TFF1" s="217"/>
      <c r="TFG1" s="220"/>
      <c r="TFH1" s="216"/>
      <c r="TFI1" s="217"/>
      <c r="TFJ1" s="217"/>
      <c r="TFK1" s="220"/>
      <c r="TFL1" s="216"/>
      <c r="TFM1" s="217"/>
      <c r="TFN1" s="217"/>
      <c r="TFO1" s="220"/>
      <c r="TFP1" s="216"/>
      <c r="TFQ1" s="217"/>
      <c r="TFR1" s="217"/>
      <c r="TFS1" s="220"/>
      <c r="TFT1" s="216"/>
      <c r="TFU1" s="217"/>
      <c r="TFV1" s="217"/>
      <c r="TFW1" s="220"/>
      <c r="TFX1" s="216"/>
      <c r="TFY1" s="217"/>
      <c r="TFZ1" s="217"/>
      <c r="TGA1" s="220"/>
      <c r="TGB1" s="216"/>
      <c r="TGC1" s="217"/>
      <c r="TGD1" s="217"/>
      <c r="TGE1" s="220"/>
      <c r="TGF1" s="216"/>
      <c r="TGG1" s="217"/>
      <c r="TGH1" s="217"/>
      <c r="TGI1" s="220"/>
      <c r="TGJ1" s="216"/>
      <c r="TGK1" s="217"/>
      <c r="TGL1" s="217"/>
      <c r="TGM1" s="220"/>
      <c r="TGN1" s="216"/>
      <c r="TGO1" s="217"/>
      <c r="TGP1" s="217"/>
      <c r="TGQ1" s="220"/>
      <c r="TGR1" s="216"/>
      <c r="TGS1" s="217"/>
      <c r="TGT1" s="217"/>
      <c r="TGU1" s="220"/>
      <c r="TGV1" s="216"/>
      <c r="TGW1" s="217"/>
      <c r="TGX1" s="217"/>
      <c r="TGY1" s="220"/>
      <c r="TGZ1" s="216"/>
      <c r="THA1" s="217"/>
      <c r="THB1" s="217"/>
      <c r="THC1" s="220"/>
      <c r="THD1" s="216"/>
      <c r="THE1" s="217"/>
      <c r="THF1" s="217"/>
      <c r="THG1" s="220"/>
      <c r="THH1" s="216"/>
      <c r="THI1" s="217"/>
      <c r="THJ1" s="217"/>
      <c r="THK1" s="220"/>
      <c r="THL1" s="216"/>
      <c r="THM1" s="217"/>
      <c r="THN1" s="217"/>
      <c r="THO1" s="220"/>
      <c r="THP1" s="216"/>
      <c r="THQ1" s="217"/>
      <c r="THR1" s="217"/>
      <c r="THS1" s="220"/>
      <c r="THT1" s="216"/>
      <c r="THU1" s="217"/>
      <c r="THV1" s="217"/>
      <c r="THW1" s="220"/>
      <c r="THX1" s="216"/>
      <c r="THY1" s="217"/>
      <c r="THZ1" s="217"/>
      <c r="TIA1" s="220"/>
      <c r="TIB1" s="216"/>
      <c r="TIC1" s="217"/>
      <c r="TID1" s="217"/>
      <c r="TIE1" s="220"/>
      <c r="TIF1" s="216"/>
      <c r="TIG1" s="217"/>
      <c r="TIH1" s="217"/>
      <c r="TII1" s="220"/>
      <c r="TIJ1" s="216"/>
      <c r="TIK1" s="217"/>
      <c r="TIL1" s="217"/>
      <c r="TIM1" s="220"/>
      <c r="TIN1" s="216"/>
      <c r="TIO1" s="217"/>
      <c r="TIP1" s="217"/>
      <c r="TIQ1" s="220"/>
      <c r="TIR1" s="216"/>
      <c r="TIS1" s="217"/>
      <c r="TIT1" s="217"/>
      <c r="TIU1" s="220"/>
      <c r="TIV1" s="216"/>
      <c r="TIW1" s="217"/>
      <c r="TIX1" s="217"/>
      <c r="TIY1" s="220"/>
      <c r="TIZ1" s="216"/>
      <c r="TJA1" s="217"/>
      <c r="TJB1" s="217"/>
      <c r="TJC1" s="220"/>
      <c r="TJD1" s="216"/>
      <c r="TJE1" s="217"/>
      <c r="TJF1" s="217"/>
      <c r="TJG1" s="220"/>
      <c r="TJH1" s="216"/>
      <c r="TJI1" s="217"/>
      <c r="TJJ1" s="217"/>
      <c r="TJK1" s="220"/>
      <c r="TJL1" s="216"/>
      <c r="TJM1" s="217"/>
      <c r="TJN1" s="217"/>
      <c r="TJO1" s="220"/>
      <c r="TJP1" s="216"/>
      <c r="TJQ1" s="217"/>
      <c r="TJR1" s="217"/>
      <c r="TJS1" s="220"/>
      <c r="TJT1" s="216"/>
      <c r="TJU1" s="217"/>
      <c r="TJV1" s="217"/>
      <c r="TJW1" s="220"/>
      <c r="TJX1" s="216"/>
      <c r="TJY1" s="217"/>
      <c r="TJZ1" s="217"/>
      <c r="TKA1" s="220"/>
      <c r="TKB1" s="216"/>
      <c r="TKC1" s="217"/>
      <c r="TKD1" s="217"/>
      <c r="TKE1" s="220"/>
      <c r="TKF1" s="216"/>
      <c r="TKG1" s="217"/>
      <c r="TKH1" s="217"/>
      <c r="TKI1" s="220"/>
      <c r="TKJ1" s="216"/>
      <c r="TKK1" s="217"/>
      <c r="TKL1" s="217"/>
      <c r="TKM1" s="220"/>
      <c r="TKN1" s="216"/>
      <c r="TKO1" s="217"/>
      <c r="TKP1" s="217"/>
      <c r="TKQ1" s="220"/>
      <c r="TKR1" s="216"/>
      <c r="TKS1" s="217"/>
      <c r="TKT1" s="217"/>
      <c r="TKU1" s="220"/>
      <c r="TKV1" s="216"/>
      <c r="TKW1" s="217"/>
      <c r="TKX1" s="217"/>
      <c r="TKY1" s="220"/>
      <c r="TKZ1" s="216"/>
      <c r="TLA1" s="217"/>
      <c r="TLB1" s="217"/>
      <c r="TLC1" s="220"/>
      <c r="TLD1" s="216"/>
      <c r="TLE1" s="217"/>
      <c r="TLF1" s="217"/>
      <c r="TLG1" s="220"/>
      <c r="TLH1" s="216"/>
      <c r="TLI1" s="217"/>
      <c r="TLJ1" s="217"/>
      <c r="TLK1" s="220"/>
      <c r="TLL1" s="216"/>
      <c r="TLM1" s="217"/>
      <c r="TLN1" s="217"/>
      <c r="TLO1" s="220"/>
      <c r="TLP1" s="216"/>
      <c r="TLQ1" s="217"/>
      <c r="TLR1" s="217"/>
      <c r="TLS1" s="220"/>
      <c r="TLT1" s="216"/>
      <c r="TLU1" s="217"/>
      <c r="TLV1" s="217"/>
      <c r="TLW1" s="220"/>
      <c r="TLX1" s="216"/>
      <c r="TLY1" s="217"/>
      <c r="TLZ1" s="217"/>
      <c r="TMA1" s="220"/>
      <c r="TMB1" s="216"/>
      <c r="TMC1" s="217"/>
      <c r="TMD1" s="217"/>
      <c r="TME1" s="220"/>
      <c r="TMF1" s="216"/>
      <c r="TMG1" s="217"/>
      <c r="TMH1" s="217"/>
      <c r="TMI1" s="220"/>
      <c r="TMJ1" s="216"/>
      <c r="TMK1" s="217"/>
      <c r="TML1" s="217"/>
      <c r="TMM1" s="220"/>
      <c r="TMN1" s="216"/>
      <c r="TMO1" s="217"/>
      <c r="TMP1" s="217"/>
      <c r="TMQ1" s="220"/>
      <c r="TMR1" s="216"/>
      <c r="TMS1" s="217"/>
      <c r="TMT1" s="217"/>
      <c r="TMU1" s="220"/>
      <c r="TMV1" s="216"/>
      <c r="TMW1" s="217"/>
      <c r="TMX1" s="217"/>
      <c r="TMY1" s="220"/>
      <c r="TMZ1" s="216"/>
      <c r="TNA1" s="217"/>
      <c r="TNB1" s="217"/>
      <c r="TNC1" s="220"/>
      <c r="TND1" s="216"/>
      <c r="TNE1" s="217"/>
      <c r="TNF1" s="217"/>
      <c r="TNG1" s="220"/>
      <c r="TNH1" s="216"/>
      <c r="TNI1" s="217"/>
      <c r="TNJ1" s="217"/>
      <c r="TNK1" s="220"/>
      <c r="TNL1" s="216"/>
      <c r="TNM1" s="217"/>
      <c r="TNN1" s="217"/>
      <c r="TNO1" s="220"/>
      <c r="TNP1" s="216"/>
      <c r="TNQ1" s="217"/>
      <c r="TNR1" s="217"/>
      <c r="TNS1" s="220"/>
      <c r="TNT1" s="216"/>
      <c r="TNU1" s="217"/>
      <c r="TNV1" s="217"/>
      <c r="TNW1" s="220"/>
      <c r="TNX1" s="216"/>
      <c r="TNY1" s="217"/>
      <c r="TNZ1" s="217"/>
      <c r="TOA1" s="220"/>
      <c r="TOB1" s="216"/>
      <c r="TOC1" s="217"/>
      <c r="TOD1" s="217"/>
      <c r="TOE1" s="220"/>
      <c r="TOF1" s="216"/>
      <c r="TOG1" s="217"/>
      <c r="TOH1" s="217"/>
      <c r="TOI1" s="220"/>
      <c r="TOJ1" s="216"/>
      <c r="TOK1" s="217"/>
      <c r="TOL1" s="217"/>
      <c r="TOM1" s="220"/>
      <c r="TON1" s="216"/>
      <c r="TOO1" s="217"/>
      <c r="TOP1" s="217"/>
      <c r="TOQ1" s="220"/>
      <c r="TOR1" s="216"/>
      <c r="TOS1" s="217"/>
      <c r="TOT1" s="217"/>
      <c r="TOU1" s="220"/>
      <c r="TOV1" s="216"/>
      <c r="TOW1" s="217"/>
      <c r="TOX1" s="217"/>
      <c r="TOY1" s="220"/>
      <c r="TOZ1" s="216"/>
      <c r="TPA1" s="217"/>
      <c r="TPB1" s="217"/>
      <c r="TPC1" s="220"/>
      <c r="TPD1" s="216"/>
      <c r="TPE1" s="217"/>
      <c r="TPF1" s="217"/>
      <c r="TPG1" s="220"/>
      <c r="TPH1" s="216"/>
      <c r="TPI1" s="217"/>
      <c r="TPJ1" s="217"/>
      <c r="TPK1" s="220"/>
      <c r="TPL1" s="216"/>
      <c r="TPM1" s="217"/>
      <c r="TPN1" s="217"/>
      <c r="TPO1" s="220"/>
      <c r="TPP1" s="216"/>
      <c r="TPQ1" s="217"/>
      <c r="TPR1" s="217"/>
      <c r="TPS1" s="220"/>
      <c r="TPT1" s="216"/>
      <c r="TPU1" s="217"/>
      <c r="TPV1" s="217"/>
      <c r="TPW1" s="220"/>
      <c r="TPX1" s="216"/>
      <c r="TPY1" s="217"/>
      <c r="TPZ1" s="217"/>
      <c r="TQA1" s="220"/>
      <c r="TQB1" s="216"/>
      <c r="TQC1" s="217"/>
      <c r="TQD1" s="217"/>
      <c r="TQE1" s="220"/>
      <c r="TQF1" s="216"/>
      <c r="TQG1" s="217"/>
      <c r="TQH1" s="217"/>
      <c r="TQI1" s="220"/>
      <c r="TQJ1" s="216"/>
      <c r="TQK1" s="217"/>
      <c r="TQL1" s="217"/>
      <c r="TQM1" s="220"/>
      <c r="TQN1" s="216"/>
      <c r="TQO1" s="217"/>
      <c r="TQP1" s="217"/>
      <c r="TQQ1" s="220"/>
      <c r="TQR1" s="216"/>
      <c r="TQS1" s="217"/>
      <c r="TQT1" s="217"/>
      <c r="TQU1" s="220"/>
      <c r="TQV1" s="216"/>
      <c r="TQW1" s="217"/>
      <c r="TQX1" s="217"/>
      <c r="TQY1" s="220"/>
      <c r="TQZ1" s="216"/>
      <c r="TRA1" s="217"/>
      <c r="TRB1" s="217"/>
      <c r="TRC1" s="220"/>
      <c r="TRD1" s="216"/>
      <c r="TRE1" s="217"/>
      <c r="TRF1" s="217"/>
      <c r="TRG1" s="220"/>
      <c r="TRH1" s="216"/>
      <c r="TRI1" s="217"/>
      <c r="TRJ1" s="217"/>
      <c r="TRK1" s="220"/>
      <c r="TRL1" s="216"/>
      <c r="TRM1" s="217"/>
      <c r="TRN1" s="217"/>
      <c r="TRO1" s="220"/>
      <c r="TRP1" s="216"/>
      <c r="TRQ1" s="217"/>
      <c r="TRR1" s="217"/>
      <c r="TRS1" s="220"/>
      <c r="TRT1" s="216"/>
      <c r="TRU1" s="217"/>
      <c r="TRV1" s="217"/>
      <c r="TRW1" s="220"/>
      <c r="TRX1" s="216"/>
      <c r="TRY1" s="217"/>
      <c r="TRZ1" s="217"/>
      <c r="TSA1" s="220"/>
      <c r="TSB1" s="216"/>
      <c r="TSC1" s="217"/>
      <c r="TSD1" s="217"/>
      <c r="TSE1" s="220"/>
      <c r="TSF1" s="216"/>
      <c r="TSG1" s="217"/>
      <c r="TSH1" s="217"/>
      <c r="TSI1" s="220"/>
      <c r="TSJ1" s="216"/>
      <c r="TSK1" s="217"/>
      <c r="TSL1" s="217"/>
      <c r="TSM1" s="220"/>
      <c r="TSN1" s="216"/>
      <c r="TSO1" s="217"/>
      <c r="TSP1" s="217"/>
      <c r="TSQ1" s="220"/>
      <c r="TSR1" s="216"/>
      <c r="TSS1" s="217"/>
      <c r="TST1" s="217"/>
      <c r="TSU1" s="220"/>
      <c r="TSV1" s="216"/>
      <c r="TSW1" s="217"/>
      <c r="TSX1" s="217"/>
      <c r="TSY1" s="220"/>
      <c r="TSZ1" s="216"/>
      <c r="TTA1" s="217"/>
      <c r="TTB1" s="217"/>
      <c r="TTC1" s="220"/>
      <c r="TTD1" s="216"/>
      <c r="TTE1" s="217"/>
      <c r="TTF1" s="217"/>
      <c r="TTG1" s="220"/>
      <c r="TTH1" s="216"/>
      <c r="TTI1" s="217"/>
      <c r="TTJ1" s="217"/>
      <c r="TTK1" s="220"/>
      <c r="TTL1" s="216"/>
      <c r="TTM1" s="217"/>
      <c r="TTN1" s="217"/>
      <c r="TTO1" s="220"/>
      <c r="TTP1" s="216"/>
      <c r="TTQ1" s="217"/>
      <c r="TTR1" s="217"/>
      <c r="TTS1" s="220"/>
      <c r="TTT1" s="216"/>
      <c r="TTU1" s="217"/>
      <c r="TTV1" s="217"/>
      <c r="TTW1" s="220"/>
      <c r="TTX1" s="216"/>
      <c r="TTY1" s="217"/>
      <c r="TTZ1" s="217"/>
      <c r="TUA1" s="220"/>
      <c r="TUB1" s="216"/>
      <c r="TUC1" s="217"/>
      <c r="TUD1" s="217"/>
      <c r="TUE1" s="220"/>
      <c r="TUF1" s="216"/>
      <c r="TUG1" s="217"/>
      <c r="TUH1" s="217"/>
      <c r="TUI1" s="220"/>
      <c r="TUJ1" s="216"/>
      <c r="TUK1" s="217"/>
      <c r="TUL1" s="217"/>
      <c r="TUM1" s="220"/>
      <c r="TUN1" s="216"/>
      <c r="TUO1" s="217"/>
      <c r="TUP1" s="217"/>
      <c r="TUQ1" s="220"/>
      <c r="TUR1" s="216"/>
      <c r="TUS1" s="217"/>
      <c r="TUT1" s="217"/>
      <c r="TUU1" s="220"/>
      <c r="TUV1" s="216"/>
      <c r="TUW1" s="217"/>
      <c r="TUX1" s="217"/>
      <c r="TUY1" s="220"/>
      <c r="TUZ1" s="216"/>
      <c r="TVA1" s="217"/>
      <c r="TVB1" s="217"/>
      <c r="TVC1" s="220"/>
      <c r="TVD1" s="216"/>
      <c r="TVE1" s="217"/>
      <c r="TVF1" s="217"/>
      <c r="TVG1" s="220"/>
      <c r="TVH1" s="216"/>
      <c r="TVI1" s="217"/>
      <c r="TVJ1" s="217"/>
      <c r="TVK1" s="220"/>
      <c r="TVL1" s="216"/>
      <c r="TVM1" s="217"/>
      <c r="TVN1" s="217"/>
      <c r="TVO1" s="220"/>
      <c r="TVP1" s="216"/>
      <c r="TVQ1" s="217"/>
      <c r="TVR1" s="217"/>
      <c r="TVS1" s="220"/>
      <c r="TVT1" s="216"/>
      <c r="TVU1" s="217"/>
      <c r="TVV1" s="217"/>
      <c r="TVW1" s="220"/>
      <c r="TVX1" s="216"/>
      <c r="TVY1" s="217"/>
      <c r="TVZ1" s="217"/>
      <c r="TWA1" s="220"/>
      <c r="TWB1" s="216"/>
      <c r="TWC1" s="217"/>
      <c r="TWD1" s="217"/>
      <c r="TWE1" s="220"/>
      <c r="TWF1" s="216"/>
      <c r="TWG1" s="217"/>
      <c r="TWH1" s="217"/>
      <c r="TWI1" s="220"/>
      <c r="TWJ1" s="216"/>
      <c r="TWK1" s="217"/>
      <c r="TWL1" s="217"/>
      <c r="TWM1" s="220"/>
      <c r="TWN1" s="216"/>
      <c r="TWO1" s="217"/>
      <c r="TWP1" s="217"/>
      <c r="TWQ1" s="220"/>
      <c r="TWR1" s="216"/>
      <c r="TWS1" s="217"/>
      <c r="TWT1" s="217"/>
      <c r="TWU1" s="220"/>
      <c r="TWV1" s="216"/>
      <c r="TWW1" s="217"/>
      <c r="TWX1" s="217"/>
      <c r="TWY1" s="220"/>
      <c r="TWZ1" s="216"/>
      <c r="TXA1" s="217"/>
      <c r="TXB1" s="217"/>
      <c r="TXC1" s="220"/>
      <c r="TXD1" s="216"/>
      <c r="TXE1" s="217"/>
      <c r="TXF1" s="217"/>
      <c r="TXG1" s="220"/>
      <c r="TXH1" s="216"/>
      <c r="TXI1" s="217"/>
      <c r="TXJ1" s="217"/>
      <c r="TXK1" s="220"/>
      <c r="TXL1" s="216"/>
      <c r="TXM1" s="217"/>
      <c r="TXN1" s="217"/>
      <c r="TXO1" s="220"/>
      <c r="TXP1" s="216"/>
      <c r="TXQ1" s="217"/>
      <c r="TXR1" s="217"/>
      <c r="TXS1" s="220"/>
      <c r="TXT1" s="216"/>
      <c r="TXU1" s="217"/>
      <c r="TXV1" s="217"/>
      <c r="TXW1" s="220"/>
      <c r="TXX1" s="216"/>
      <c r="TXY1" s="217"/>
      <c r="TXZ1" s="217"/>
      <c r="TYA1" s="220"/>
      <c r="TYB1" s="216"/>
      <c r="TYC1" s="217"/>
      <c r="TYD1" s="217"/>
      <c r="TYE1" s="220"/>
      <c r="TYF1" s="216"/>
      <c r="TYG1" s="217"/>
      <c r="TYH1" s="217"/>
      <c r="TYI1" s="220"/>
      <c r="TYJ1" s="216"/>
      <c r="TYK1" s="217"/>
      <c r="TYL1" s="217"/>
      <c r="TYM1" s="220"/>
      <c r="TYN1" s="216"/>
      <c r="TYO1" s="217"/>
      <c r="TYP1" s="217"/>
      <c r="TYQ1" s="220"/>
      <c r="TYR1" s="216"/>
      <c r="TYS1" s="217"/>
      <c r="TYT1" s="217"/>
      <c r="TYU1" s="220"/>
      <c r="TYV1" s="216"/>
      <c r="TYW1" s="217"/>
      <c r="TYX1" s="217"/>
      <c r="TYY1" s="220"/>
      <c r="TYZ1" s="216"/>
      <c r="TZA1" s="217"/>
      <c r="TZB1" s="217"/>
      <c r="TZC1" s="220"/>
      <c r="TZD1" s="216"/>
      <c r="TZE1" s="217"/>
      <c r="TZF1" s="217"/>
      <c r="TZG1" s="220"/>
      <c r="TZH1" s="216"/>
      <c r="TZI1" s="217"/>
      <c r="TZJ1" s="217"/>
      <c r="TZK1" s="220"/>
      <c r="TZL1" s="216"/>
      <c r="TZM1" s="217"/>
      <c r="TZN1" s="217"/>
      <c r="TZO1" s="220"/>
      <c r="TZP1" s="216"/>
      <c r="TZQ1" s="217"/>
      <c r="TZR1" s="217"/>
      <c r="TZS1" s="220"/>
      <c r="TZT1" s="216"/>
      <c r="TZU1" s="217"/>
      <c r="TZV1" s="217"/>
      <c r="TZW1" s="220"/>
      <c r="TZX1" s="216"/>
      <c r="TZY1" s="217"/>
      <c r="TZZ1" s="217"/>
      <c r="UAA1" s="220"/>
      <c r="UAB1" s="216"/>
      <c r="UAC1" s="217"/>
      <c r="UAD1" s="217"/>
      <c r="UAE1" s="220"/>
      <c r="UAF1" s="216"/>
      <c r="UAG1" s="217"/>
      <c r="UAH1" s="217"/>
      <c r="UAI1" s="220"/>
      <c r="UAJ1" s="216"/>
      <c r="UAK1" s="217"/>
      <c r="UAL1" s="217"/>
      <c r="UAM1" s="220"/>
      <c r="UAN1" s="216"/>
      <c r="UAO1" s="217"/>
      <c r="UAP1" s="217"/>
      <c r="UAQ1" s="220"/>
      <c r="UAR1" s="216"/>
      <c r="UAS1" s="217"/>
      <c r="UAT1" s="217"/>
      <c r="UAU1" s="220"/>
      <c r="UAV1" s="216"/>
      <c r="UAW1" s="217"/>
      <c r="UAX1" s="217"/>
      <c r="UAY1" s="220"/>
      <c r="UAZ1" s="216"/>
      <c r="UBA1" s="217"/>
      <c r="UBB1" s="217"/>
      <c r="UBC1" s="220"/>
      <c r="UBD1" s="216"/>
      <c r="UBE1" s="217"/>
      <c r="UBF1" s="217"/>
      <c r="UBG1" s="220"/>
      <c r="UBH1" s="216"/>
      <c r="UBI1" s="217"/>
      <c r="UBJ1" s="217"/>
      <c r="UBK1" s="220"/>
      <c r="UBL1" s="216"/>
      <c r="UBM1" s="217"/>
      <c r="UBN1" s="217"/>
      <c r="UBO1" s="220"/>
      <c r="UBP1" s="216"/>
      <c r="UBQ1" s="217"/>
      <c r="UBR1" s="217"/>
      <c r="UBS1" s="220"/>
      <c r="UBT1" s="216"/>
      <c r="UBU1" s="217"/>
      <c r="UBV1" s="217"/>
      <c r="UBW1" s="220"/>
      <c r="UBX1" s="216"/>
      <c r="UBY1" s="217"/>
      <c r="UBZ1" s="217"/>
      <c r="UCA1" s="220"/>
      <c r="UCB1" s="216"/>
      <c r="UCC1" s="217"/>
      <c r="UCD1" s="217"/>
      <c r="UCE1" s="220"/>
      <c r="UCF1" s="216"/>
      <c r="UCG1" s="217"/>
      <c r="UCH1" s="217"/>
      <c r="UCI1" s="220"/>
      <c r="UCJ1" s="216"/>
      <c r="UCK1" s="217"/>
      <c r="UCL1" s="217"/>
      <c r="UCM1" s="220"/>
      <c r="UCN1" s="216"/>
      <c r="UCO1" s="217"/>
      <c r="UCP1" s="217"/>
      <c r="UCQ1" s="220"/>
      <c r="UCR1" s="216"/>
      <c r="UCS1" s="217"/>
      <c r="UCT1" s="217"/>
      <c r="UCU1" s="220"/>
      <c r="UCV1" s="216"/>
      <c r="UCW1" s="217"/>
      <c r="UCX1" s="217"/>
      <c r="UCY1" s="220"/>
      <c r="UCZ1" s="216"/>
      <c r="UDA1" s="217"/>
      <c r="UDB1" s="217"/>
      <c r="UDC1" s="220"/>
      <c r="UDD1" s="216"/>
      <c r="UDE1" s="217"/>
      <c r="UDF1" s="217"/>
      <c r="UDG1" s="220"/>
      <c r="UDH1" s="216"/>
      <c r="UDI1" s="217"/>
      <c r="UDJ1" s="217"/>
      <c r="UDK1" s="220"/>
      <c r="UDL1" s="216"/>
      <c r="UDM1" s="217"/>
      <c r="UDN1" s="217"/>
      <c r="UDO1" s="220"/>
      <c r="UDP1" s="216"/>
      <c r="UDQ1" s="217"/>
      <c r="UDR1" s="217"/>
      <c r="UDS1" s="220"/>
      <c r="UDT1" s="216"/>
      <c r="UDU1" s="217"/>
      <c r="UDV1" s="217"/>
      <c r="UDW1" s="220"/>
      <c r="UDX1" s="216"/>
      <c r="UDY1" s="217"/>
      <c r="UDZ1" s="217"/>
      <c r="UEA1" s="220"/>
      <c r="UEB1" s="216"/>
      <c r="UEC1" s="217"/>
      <c r="UED1" s="217"/>
      <c r="UEE1" s="220"/>
      <c r="UEF1" s="216"/>
      <c r="UEG1" s="217"/>
      <c r="UEH1" s="217"/>
      <c r="UEI1" s="220"/>
      <c r="UEJ1" s="216"/>
      <c r="UEK1" s="217"/>
      <c r="UEL1" s="217"/>
      <c r="UEM1" s="220"/>
      <c r="UEN1" s="216"/>
      <c r="UEO1" s="217"/>
      <c r="UEP1" s="217"/>
      <c r="UEQ1" s="220"/>
      <c r="UER1" s="216"/>
      <c r="UES1" s="217"/>
      <c r="UET1" s="217"/>
      <c r="UEU1" s="220"/>
      <c r="UEV1" s="216"/>
      <c r="UEW1" s="217"/>
      <c r="UEX1" s="217"/>
      <c r="UEY1" s="220"/>
      <c r="UEZ1" s="216"/>
      <c r="UFA1" s="217"/>
      <c r="UFB1" s="217"/>
      <c r="UFC1" s="220"/>
      <c r="UFD1" s="216"/>
      <c r="UFE1" s="217"/>
      <c r="UFF1" s="217"/>
      <c r="UFG1" s="220"/>
      <c r="UFH1" s="216"/>
      <c r="UFI1" s="217"/>
      <c r="UFJ1" s="217"/>
      <c r="UFK1" s="220"/>
      <c r="UFL1" s="216"/>
      <c r="UFM1" s="217"/>
      <c r="UFN1" s="217"/>
      <c r="UFO1" s="220"/>
      <c r="UFP1" s="216"/>
      <c r="UFQ1" s="217"/>
      <c r="UFR1" s="217"/>
      <c r="UFS1" s="220"/>
      <c r="UFT1" s="216"/>
      <c r="UFU1" s="217"/>
      <c r="UFV1" s="217"/>
      <c r="UFW1" s="220"/>
      <c r="UFX1" s="216"/>
      <c r="UFY1" s="217"/>
      <c r="UFZ1" s="217"/>
      <c r="UGA1" s="220"/>
      <c r="UGB1" s="216"/>
      <c r="UGC1" s="217"/>
      <c r="UGD1" s="217"/>
      <c r="UGE1" s="220"/>
      <c r="UGF1" s="216"/>
      <c r="UGG1" s="217"/>
      <c r="UGH1" s="217"/>
      <c r="UGI1" s="220"/>
      <c r="UGJ1" s="216"/>
      <c r="UGK1" s="217"/>
      <c r="UGL1" s="217"/>
      <c r="UGM1" s="220"/>
      <c r="UGN1" s="216"/>
      <c r="UGO1" s="217"/>
      <c r="UGP1" s="217"/>
      <c r="UGQ1" s="220"/>
      <c r="UGR1" s="216"/>
      <c r="UGS1" s="217"/>
      <c r="UGT1" s="217"/>
      <c r="UGU1" s="220"/>
      <c r="UGV1" s="216"/>
      <c r="UGW1" s="217"/>
      <c r="UGX1" s="217"/>
      <c r="UGY1" s="220"/>
      <c r="UGZ1" s="216"/>
      <c r="UHA1" s="217"/>
      <c r="UHB1" s="217"/>
      <c r="UHC1" s="220"/>
      <c r="UHD1" s="216"/>
      <c r="UHE1" s="217"/>
      <c r="UHF1" s="217"/>
      <c r="UHG1" s="220"/>
      <c r="UHH1" s="216"/>
      <c r="UHI1" s="217"/>
      <c r="UHJ1" s="217"/>
      <c r="UHK1" s="220"/>
      <c r="UHL1" s="216"/>
      <c r="UHM1" s="217"/>
      <c r="UHN1" s="217"/>
      <c r="UHO1" s="220"/>
      <c r="UHP1" s="216"/>
      <c r="UHQ1" s="217"/>
      <c r="UHR1" s="217"/>
      <c r="UHS1" s="220"/>
      <c r="UHT1" s="216"/>
      <c r="UHU1" s="217"/>
      <c r="UHV1" s="217"/>
      <c r="UHW1" s="220"/>
      <c r="UHX1" s="216"/>
      <c r="UHY1" s="217"/>
      <c r="UHZ1" s="217"/>
      <c r="UIA1" s="220"/>
      <c r="UIB1" s="216"/>
      <c r="UIC1" s="217"/>
      <c r="UID1" s="217"/>
      <c r="UIE1" s="220"/>
      <c r="UIF1" s="216"/>
      <c r="UIG1" s="217"/>
      <c r="UIH1" s="217"/>
      <c r="UII1" s="220"/>
      <c r="UIJ1" s="216"/>
      <c r="UIK1" s="217"/>
      <c r="UIL1" s="217"/>
      <c r="UIM1" s="220"/>
      <c r="UIN1" s="216"/>
      <c r="UIO1" s="217"/>
      <c r="UIP1" s="217"/>
      <c r="UIQ1" s="220"/>
      <c r="UIR1" s="216"/>
      <c r="UIS1" s="217"/>
      <c r="UIT1" s="217"/>
      <c r="UIU1" s="220"/>
      <c r="UIV1" s="216"/>
      <c r="UIW1" s="217"/>
      <c r="UIX1" s="217"/>
      <c r="UIY1" s="220"/>
      <c r="UIZ1" s="216"/>
      <c r="UJA1" s="217"/>
      <c r="UJB1" s="217"/>
      <c r="UJC1" s="220"/>
      <c r="UJD1" s="216"/>
      <c r="UJE1" s="217"/>
      <c r="UJF1" s="217"/>
      <c r="UJG1" s="220"/>
      <c r="UJH1" s="216"/>
      <c r="UJI1" s="217"/>
      <c r="UJJ1" s="217"/>
      <c r="UJK1" s="220"/>
      <c r="UJL1" s="216"/>
      <c r="UJM1" s="217"/>
      <c r="UJN1" s="217"/>
      <c r="UJO1" s="220"/>
      <c r="UJP1" s="216"/>
      <c r="UJQ1" s="217"/>
      <c r="UJR1" s="217"/>
      <c r="UJS1" s="220"/>
      <c r="UJT1" s="216"/>
      <c r="UJU1" s="217"/>
      <c r="UJV1" s="217"/>
      <c r="UJW1" s="220"/>
      <c r="UJX1" s="216"/>
      <c r="UJY1" s="217"/>
      <c r="UJZ1" s="217"/>
      <c r="UKA1" s="220"/>
      <c r="UKB1" s="216"/>
      <c r="UKC1" s="217"/>
      <c r="UKD1" s="217"/>
      <c r="UKE1" s="220"/>
      <c r="UKF1" s="216"/>
      <c r="UKG1" s="217"/>
      <c r="UKH1" s="217"/>
      <c r="UKI1" s="220"/>
      <c r="UKJ1" s="216"/>
      <c r="UKK1" s="217"/>
      <c r="UKL1" s="217"/>
      <c r="UKM1" s="220"/>
      <c r="UKN1" s="216"/>
      <c r="UKO1" s="217"/>
      <c r="UKP1" s="217"/>
      <c r="UKQ1" s="220"/>
      <c r="UKR1" s="216"/>
      <c r="UKS1" s="217"/>
      <c r="UKT1" s="217"/>
      <c r="UKU1" s="220"/>
      <c r="UKV1" s="216"/>
      <c r="UKW1" s="217"/>
      <c r="UKX1" s="217"/>
      <c r="UKY1" s="220"/>
      <c r="UKZ1" s="216"/>
      <c r="ULA1" s="217"/>
      <c r="ULB1" s="217"/>
      <c r="ULC1" s="220"/>
      <c r="ULD1" s="216"/>
      <c r="ULE1" s="217"/>
      <c r="ULF1" s="217"/>
      <c r="ULG1" s="220"/>
      <c r="ULH1" s="216"/>
      <c r="ULI1" s="217"/>
      <c r="ULJ1" s="217"/>
      <c r="ULK1" s="220"/>
      <c r="ULL1" s="216"/>
      <c r="ULM1" s="217"/>
      <c r="ULN1" s="217"/>
      <c r="ULO1" s="220"/>
      <c r="ULP1" s="216"/>
      <c r="ULQ1" s="217"/>
      <c r="ULR1" s="217"/>
      <c r="ULS1" s="220"/>
      <c r="ULT1" s="216"/>
      <c r="ULU1" s="217"/>
      <c r="ULV1" s="217"/>
      <c r="ULW1" s="220"/>
      <c r="ULX1" s="216"/>
      <c r="ULY1" s="217"/>
      <c r="ULZ1" s="217"/>
      <c r="UMA1" s="220"/>
      <c r="UMB1" s="216"/>
      <c r="UMC1" s="217"/>
      <c r="UMD1" s="217"/>
      <c r="UME1" s="220"/>
      <c r="UMF1" s="216"/>
      <c r="UMG1" s="217"/>
      <c r="UMH1" s="217"/>
      <c r="UMI1" s="220"/>
      <c r="UMJ1" s="216"/>
      <c r="UMK1" s="217"/>
      <c r="UML1" s="217"/>
      <c r="UMM1" s="220"/>
      <c r="UMN1" s="216"/>
      <c r="UMO1" s="217"/>
      <c r="UMP1" s="217"/>
      <c r="UMQ1" s="220"/>
      <c r="UMR1" s="216"/>
      <c r="UMS1" s="217"/>
      <c r="UMT1" s="217"/>
      <c r="UMU1" s="220"/>
      <c r="UMV1" s="216"/>
      <c r="UMW1" s="217"/>
      <c r="UMX1" s="217"/>
      <c r="UMY1" s="220"/>
      <c r="UMZ1" s="216"/>
      <c r="UNA1" s="217"/>
      <c r="UNB1" s="217"/>
      <c r="UNC1" s="220"/>
      <c r="UND1" s="216"/>
      <c r="UNE1" s="217"/>
      <c r="UNF1" s="217"/>
      <c r="UNG1" s="220"/>
      <c r="UNH1" s="216"/>
      <c r="UNI1" s="217"/>
      <c r="UNJ1" s="217"/>
      <c r="UNK1" s="220"/>
      <c r="UNL1" s="216"/>
      <c r="UNM1" s="217"/>
      <c r="UNN1" s="217"/>
      <c r="UNO1" s="220"/>
      <c r="UNP1" s="216"/>
      <c r="UNQ1" s="217"/>
      <c r="UNR1" s="217"/>
      <c r="UNS1" s="220"/>
      <c r="UNT1" s="216"/>
      <c r="UNU1" s="217"/>
      <c r="UNV1" s="217"/>
      <c r="UNW1" s="220"/>
      <c r="UNX1" s="216"/>
      <c r="UNY1" s="217"/>
      <c r="UNZ1" s="217"/>
      <c r="UOA1" s="220"/>
      <c r="UOB1" s="216"/>
      <c r="UOC1" s="217"/>
      <c r="UOD1" s="217"/>
      <c r="UOE1" s="220"/>
      <c r="UOF1" s="216"/>
      <c r="UOG1" s="217"/>
      <c r="UOH1" s="217"/>
      <c r="UOI1" s="220"/>
      <c r="UOJ1" s="216"/>
      <c r="UOK1" s="217"/>
      <c r="UOL1" s="217"/>
      <c r="UOM1" s="220"/>
      <c r="UON1" s="216"/>
      <c r="UOO1" s="217"/>
      <c r="UOP1" s="217"/>
      <c r="UOQ1" s="220"/>
      <c r="UOR1" s="216"/>
      <c r="UOS1" s="217"/>
      <c r="UOT1" s="217"/>
      <c r="UOU1" s="220"/>
      <c r="UOV1" s="216"/>
      <c r="UOW1" s="217"/>
      <c r="UOX1" s="217"/>
      <c r="UOY1" s="220"/>
      <c r="UOZ1" s="216"/>
      <c r="UPA1" s="217"/>
      <c r="UPB1" s="217"/>
      <c r="UPC1" s="220"/>
      <c r="UPD1" s="216"/>
      <c r="UPE1" s="217"/>
      <c r="UPF1" s="217"/>
      <c r="UPG1" s="220"/>
      <c r="UPH1" s="216"/>
      <c r="UPI1" s="217"/>
      <c r="UPJ1" s="217"/>
      <c r="UPK1" s="220"/>
      <c r="UPL1" s="216"/>
      <c r="UPM1" s="217"/>
      <c r="UPN1" s="217"/>
      <c r="UPO1" s="220"/>
      <c r="UPP1" s="216"/>
      <c r="UPQ1" s="217"/>
      <c r="UPR1" s="217"/>
      <c r="UPS1" s="220"/>
      <c r="UPT1" s="216"/>
      <c r="UPU1" s="217"/>
      <c r="UPV1" s="217"/>
      <c r="UPW1" s="220"/>
      <c r="UPX1" s="216"/>
      <c r="UPY1" s="217"/>
      <c r="UPZ1" s="217"/>
      <c r="UQA1" s="220"/>
      <c r="UQB1" s="216"/>
      <c r="UQC1" s="217"/>
      <c r="UQD1" s="217"/>
      <c r="UQE1" s="220"/>
      <c r="UQF1" s="216"/>
      <c r="UQG1" s="217"/>
      <c r="UQH1" s="217"/>
      <c r="UQI1" s="220"/>
      <c r="UQJ1" s="216"/>
      <c r="UQK1" s="217"/>
      <c r="UQL1" s="217"/>
      <c r="UQM1" s="220"/>
      <c r="UQN1" s="216"/>
      <c r="UQO1" s="217"/>
      <c r="UQP1" s="217"/>
      <c r="UQQ1" s="220"/>
      <c r="UQR1" s="216"/>
      <c r="UQS1" s="217"/>
      <c r="UQT1" s="217"/>
      <c r="UQU1" s="220"/>
      <c r="UQV1" s="216"/>
      <c r="UQW1" s="217"/>
      <c r="UQX1" s="217"/>
      <c r="UQY1" s="220"/>
      <c r="UQZ1" s="216"/>
      <c r="URA1" s="217"/>
      <c r="URB1" s="217"/>
      <c r="URC1" s="220"/>
      <c r="URD1" s="216"/>
      <c r="URE1" s="217"/>
      <c r="URF1" s="217"/>
      <c r="URG1" s="220"/>
      <c r="URH1" s="216"/>
      <c r="URI1" s="217"/>
      <c r="URJ1" s="217"/>
      <c r="URK1" s="220"/>
      <c r="URL1" s="216"/>
      <c r="URM1" s="217"/>
      <c r="URN1" s="217"/>
      <c r="URO1" s="220"/>
      <c r="URP1" s="216"/>
      <c r="URQ1" s="217"/>
      <c r="URR1" s="217"/>
      <c r="URS1" s="220"/>
      <c r="URT1" s="216"/>
      <c r="URU1" s="217"/>
      <c r="URV1" s="217"/>
      <c r="URW1" s="220"/>
      <c r="URX1" s="216"/>
      <c r="URY1" s="217"/>
      <c r="URZ1" s="217"/>
      <c r="USA1" s="220"/>
      <c r="USB1" s="216"/>
      <c r="USC1" s="217"/>
      <c r="USD1" s="217"/>
      <c r="USE1" s="220"/>
      <c r="USF1" s="216"/>
      <c r="USG1" s="217"/>
      <c r="USH1" s="217"/>
      <c r="USI1" s="220"/>
      <c r="USJ1" s="216"/>
      <c r="USK1" s="217"/>
      <c r="USL1" s="217"/>
      <c r="USM1" s="220"/>
      <c r="USN1" s="216"/>
      <c r="USO1" s="217"/>
      <c r="USP1" s="217"/>
      <c r="USQ1" s="220"/>
      <c r="USR1" s="216"/>
      <c r="USS1" s="217"/>
      <c r="UST1" s="217"/>
      <c r="USU1" s="220"/>
      <c r="USV1" s="216"/>
      <c r="USW1" s="217"/>
      <c r="USX1" s="217"/>
      <c r="USY1" s="220"/>
      <c r="USZ1" s="216"/>
      <c r="UTA1" s="217"/>
      <c r="UTB1" s="217"/>
      <c r="UTC1" s="220"/>
      <c r="UTD1" s="216"/>
      <c r="UTE1" s="217"/>
      <c r="UTF1" s="217"/>
      <c r="UTG1" s="220"/>
      <c r="UTH1" s="216"/>
      <c r="UTI1" s="217"/>
      <c r="UTJ1" s="217"/>
      <c r="UTK1" s="220"/>
      <c r="UTL1" s="216"/>
      <c r="UTM1" s="217"/>
      <c r="UTN1" s="217"/>
      <c r="UTO1" s="220"/>
      <c r="UTP1" s="216"/>
      <c r="UTQ1" s="217"/>
      <c r="UTR1" s="217"/>
      <c r="UTS1" s="220"/>
      <c r="UTT1" s="216"/>
      <c r="UTU1" s="217"/>
      <c r="UTV1" s="217"/>
      <c r="UTW1" s="220"/>
      <c r="UTX1" s="216"/>
      <c r="UTY1" s="217"/>
      <c r="UTZ1" s="217"/>
      <c r="UUA1" s="220"/>
      <c r="UUB1" s="216"/>
      <c r="UUC1" s="217"/>
      <c r="UUD1" s="217"/>
      <c r="UUE1" s="220"/>
      <c r="UUF1" s="216"/>
      <c r="UUG1" s="217"/>
      <c r="UUH1" s="217"/>
      <c r="UUI1" s="220"/>
      <c r="UUJ1" s="216"/>
      <c r="UUK1" s="217"/>
      <c r="UUL1" s="217"/>
      <c r="UUM1" s="220"/>
      <c r="UUN1" s="216"/>
      <c r="UUO1" s="217"/>
      <c r="UUP1" s="217"/>
      <c r="UUQ1" s="220"/>
      <c r="UUR1" s="216"/>
      <c r="UUS1" s="217"/>
      <c r="UUT1" s="217"/>
      <c r="UUU1" s="220"/>
      <c r="UUV1" s="216"/>
      <c r="UUW1" s="217"/>
      <c r="UUX1" s="217"/>
      <c r="UUY1" s="220"/>
      <c r="UUZ1" s="216"/>
      <c r="UVA1" s="217"/>
      <c r="UVB1" s="217"/>
      <c r="UVC1" s="220"/>
      <c r="UVD1" s="216"/>
      <c r="UVE1" s="217"/>
      <c r="UVF1" s="217"/>
      <c r="UVG1" s="220"/>
      <c r="UVH1" s="216"/>
      <c r="UVI1" s="217"/>
      <c r="UVJ1" s="217"/>
      <c r="UVK1" s="220"/>
      <c r="UVL1" s="216"/>
      <c r="UVM1" s="217"/>
      <c r="UVN1" s="217"/>
      <c r="UVO1" s="220"/>
      <c r="UVP1" s="216"/>
      <c r="UVQ1" s="217"/>
      <c r="UVR1" s="217"/>
      <c r="UVS1" s="220"/>
      <c r="UVT1" s="216"/>
      <c r="UVU1" s="217"/>
      <c r="UVV1" s="217"/>
      <c r="UVW1" s="220"/>
      <c r="UVX1" s="216"/>
      <c r="UVY1" s="217"/>
      <c r="UVZ1" s="217"/>
      <c r="UWA1" s="220"/>
      <c r="UWB1" s="216"/>
      <c r="UWC1" s="217"/>
      <c r="UWD1" s="217"/>
      <c r="UWE1" s="220"/>
      <c r="UWF1" s="216"/>
      <c r="UWG1" s="217"/>
      <c r="UWH1" s="217"/>
      <c r="UWI1" s="220"/>
      <c r="UWJ1" s="216"/>
      <c r="UWK1" s="217"/>
      <c r="UWL1" s="217"/>
      <c r="UWM1" s="220"/>
      <c r="UWN1" s="216"/>
      <c r="UWO1" s="217"/>
      <c r="UWP1" s="217"/>
      <c r="UWQ1" s="220"/>
      <c r="UWR1" s="216"/>
      <c r="UWS1" s="217"/>
      <c r="UWT1" s="217"/>
      <c r="UWU1" s="220"/>
      <c r="UWV1" s="216"/>
      <c r="UWW1" s="217"/>
      <c r="UWX1" s="217"/>
      <c r="UWY1" s="220"/>
      <c r="UWZ1" s="216"/>
      <c r="UXA1" s="217"/>
      <c r="UXB1" s="217"/>
      <c r="UXC1" s="220"/>
      <c r="UXD1" s="216"/>
      <c r="UXE1" s="217"/>
      <c r="UXF1" s="217"/>
      <c r="UXG1" s="220"/>
      <c r="UXH1" s="216"/>
      <c r="UXI1" s="217"/>
      <c r="UXJ1" s="217"/>
      <c r="UXK1" s="220"/>
      <c r="UXL1" s="216"/>
      <c r="UXM1" s="217"/>
      <c r="UXN1" s="217"/>
      <c r="UXO1" s="220"/>
      <c r="UXP1" s="216"/>
      <c r="UXQ1" s="217"/>
      <c r="UXR1" s="217"/>
      <c r="UXS1" s="220"/>
      <c r="UXT1" s="216"/>
      <c r="UXU1" s="217"/>
      <c r="UXV1" s="217"/>
      <c r="UXW1" s="220"/>
      <c r="UXX1" s="216"/>
      <c r="UXY1" s="217"/>
      <c r="UXZ1" s="217"/>
      <c r="UYA1" s="220"/>
      <c r="UYB1" s="216"/>
      <c r="UYC1" s="217"/>
      <c r="UYD1" s="217"/>
      <c r="UYE1" s="220"/>
      <c r="UYF1" s="216"/>
      <c r="UYG1" s="217"/>
      <c r="UYH1" s="217"/>
      <c r="UYI1" s="220"/>
      <c r="UYJ1" s="216"/>
      <c r="UYK1" s="217"/>
      <c r="UYL1" s="217"/>
      <c r="UYM1" s="220"/>
      <c r="UYN1" s="216"/>
      <c r="UYO1" s="217"/>
      <c r="UYP1" s="217"/>
      <c r="UYQ1" s="220"/>
      <c r="UYR1" s="216"/>
      <c r="UYS1" s="217"/>
      <c r="UYT1" s="217"/>
      <c r="UYU1" s="220"/>
      <c r="UYV1" s="216"/>
      <c r="UYW1" s="217"/>
      <c r="UYX1" s="217"/>
      <c r="UYY1" s="220"/>
      <c r="UYZ1" s="216"/>
      <c r="UZA1" s="217"/>
      <c r="UZB1" s="217"/>
      <c r="UZC1" s="220"/>
      <c r="UZD1" s="216"/>
      <c r="UZE1" s="217"/>
      <c r="UZF1" s="217"/>
      <c r="UZG1" s="220"/>
      <c r="UZH1" s="216"/>
      <c r="UZI1" s="217"/>
      <c r="UZJ1" s="217"/>
      <c r="UZK1" s="220"/>
      <c r="UZL1" s="216"/>
      <c r="UZM1" s="217"/>
      <c r="UZN1" s="217"/>
      <c r="UZO1" s="220"/>
      <c r="UZP1" s="216"/>
      <c r="UZQ1" s="217"/>
      <c r="UZR1" s="217"/>
      <c r="UZS1" s="220"/>
      <c r="UZT1" s="216"/>
      <c r="UZU1" s="217"/>
      <c r="UZV1" s="217"/>
      <c r="UZW1" s="220"/>
      <c r="UZX1" s="216"/>
      <c r="UZY1" s="217"/>
      <c r="UZZ1" s="217"/>
      <c r="VAA1" s="220"/>
      <c r="VAB1" s="216"/>
      <c r="VAC1" s="217"/>
      <c r="VAD1" s="217"/>
      <c r="VAE1" s="220"/>
      <c r="VAF1" s="216"/>
      <c r="VAG1" s="217"/>
      <c r="VAH1" s="217"/>
      <c r="VAI1" s="220"/>
      <c r="VAJ1" s="216"/>
      <c r="VAK1" s="217"/>
      <c r="VAL1" s="217"/>
      <c r="VAM1" s="220"/>
      <c r="VAN1" s="216"/>
      <c r="VAO1" s="217"/>
      <c r="VAP1" s="217"/>
      <c r="VAQ1" s="220"/>
      <c r="VAR1" s="216"/>
      <c r="VAS1" s="217"/>
      <c r="VAT1" s="217"/>
      <c r="VAU1" s="220"/>
      <c r="VAV1" s="216"/>
      <c r="VAW1" s="217"/>
      <c r="VAX1" s="217"/>
      <c r="VAY1" s="220"/>
      <c r="VAZ1" s="216"/>
      <c r="VBA1" s="217"/>
      <c r="VBB1" s="217"/>
      <c r="VBC1" s="220"/>
      <c r="VBD1" s="216"/>
      <c r="VBE1" s="217"/>
      <c r="VBF1" s="217"/>
      <c r="VBG1" s="220"/>
      <c r="VBH1" s="216"/>
      <c r="VBI1" s="217"/>
      <c r="VBJ1" s="217"/>
      <c r="VBK1" s="220"/>
      <c r="VBL1" s="216"/>
      <c r="VBM1" s="217"/>
      <c r="VBN1" s="217"/>
      <c r="VBO1" s="220"/>
      <c r="VBP1" s="216"/>
      <c r="VBQ1" s="217"/>
      <c r="VBR1" s="217"/>
      <c r="VBS1" s="220"/>
      <c r="VBT1" s="216"/>
      <c r="VBU1" s="217"/>
      <c r="VBV1" s="217"/>
      <c r="VBW1" s="220"/>
      <c r="VBX1" s="216"/>
      <c r="VBY1" s="217"/>
      <c r="VBZ1" s="217"/>
      <c r="VCA1" s="220"/>
      <c r="VCB1" s="216"/>
      <c r="VCC1" s="217"/>
      <c r="VCD1" s="217"/>
      <c r="VCE1" s="220"/>
      <c r="VCF1" s="216"/>
      <c r="VCG1" s="217"/>
      <c r="VCH1" s="217"/>
      <c r="VCI1" s="220"/>
      <c r="VCJ1" s="216"/>
      <c r="VCK1" s="217"/>
      <c r="VCL1" s="217"/>
      <c r="VCM1" s="220"/>
      <c r="VCN1" s="216"/>
      <c r="VCO1" s="217"/>
      <c r="VCP1" s="217"/>
      <c r="VCQ1" s="220"/>
      <c r="VCR1" s="216"/>
      <c r="VCS1" s="217"/>
      <c r="VCT1" s="217"/>
      <c r="VCU1" s="220"/>
      <c r="VCV1" s="216"/>
      <c r="VCW1" s="217"/>
      <c r="VCX1" s="217"/>
      <c r="VCY1" s="220"/>
      <c r="VCZ1" s="216"/>
      <c r="VDA1" s="217"/>
      <c r="VDB1" s="217"/>
      <c r="VDC1" s="220"/>
      <c r="VDD1" s="216"/>
      <c r="VDE1" s="217"/>
      <c r="VDF1" s="217"/>
      <c r="VDG1" s="220"/>
      <c r="VDH1" s="216"/>
      <c r="VDI1" s="217"/>
      <c r="VDJ1" s="217"/>
      <c r="VDK1" s="220"/>
      <c r="VDL1" s="216"/>
      <c r="VDM1" s="217"/>
      <c r="VDN1" s="217"/>
      <c r="VDO1" s="220"/>
      <c r="VDP1" s="216"/>
      <c r="VDQ1" s="217"/>
      <c r="VDR1" s="217"/>
      <c r="VDS1" s="220"/>
      <c r="VDT1" s="216"/>
      <c r="VDU1" s="217"/>
      <c r="VDV1" s="217"/>
      <c r="VDW1" s="220"/>
      <c r="VDX1" s="216"/>
      <c r="VDY1" s="217"/>
      <c r="VDZ1" s="217"/>
      <c r="VEA1" s="220"/>
      <c r="VEB1" s="216"/>
      <c r="VEC1" s="217"/>
      <c r="VED1" s="217"/>
      <c r="VEE1" s="220"/>
      <c r="VEF1" s="216"/>
      <c r="VEG1" s="217"/>
      <c r="VEH1" s="217"/>
      <c r="VEI1" s="220"/>
      <c r="VEJ1" s="216"/>
      <c r="VEK1" s="217"/>
      <c r="VEL1" s="217"/>
      <c r="VEM1" s="220"/>
      <c r="VEN1" s="216"/>
      <c r="VEO1" s="217"/>
      <c r="VEP1" s="217"/>
      <c r="VEQ1" s="220"/>
      <c r="VER1" s="216"/>
      <c r="VES1" s="217"/>
      <c r="VET1" s="217"/>
      <c r="VEU1" s="220"/>
      <c r="VEV1" s="216"/>
      <c r="VEW1" s="217"/>
      <c r="VEX1" s="217"/>
      <c r="VEY1" s="220"/>
      <c r="VEZ1" s="216"/>
      <c r="VFA1" s="217"/>
      <c r="VFB1" s="217"/>
      <c r="VFC1" s="220"/>
      <c r="VFD1" s="216"/>
      <c r="VFE1" s="217"/>
      <c r="VFF1" s="217"/>
      <c r="VFG1" s="220"/>
      <c r="VFH1" s="216"/>
      <c r="VFI1" s="217"/>
      <c r="VFJ1" s="217"/>
      <c r="VFK1" s="220"/>
      <c r="VFL1" s="216"/>
      <c r="VFM1" s="217"/>
      <c r="VFN1" s="217"/>
      <c r="VFO1" s="220"/>
      <c r="VFP1" s="216"/>
      <c r="VFQ1" s="217"/>
      <c r="VFR1" s="217"/>
      <c r="VFS1" s="220"/>
      <c r="VFT1" s="216"/>
      <c r="VFU1" s="217"/>
      <c r="VFV1" s="217"/>
      <c r="VFW1" s="220"/>
      <c r="VFX1" s="216"/>
      <c r="VFY1" s="217"/>
      <c r="VFZ1" s="217"/>
      <c r="VGA1" s="220"/>
      <c r="VGB1" s="216"/>
      <c r="VGC1" s="217"/>
      <c r="VGD1" s="217"/>
      <c r="VGE1" s="220"/>
      <c r="VGF1" s="216"/>
      <c r="VGG1" s="217"/>
      <c r="VGH1" s="217"/>
      <c r="VGI1" s="220"/>
      <c r="VGJ1" s="216"/>
      <c r="VGK1" s="217"/>
      <c r="VGL1" s="217"/>
      <c r="VGM1" s="220"/>
      <c r="VGN1" s="216"/>
      <c r="VGO1" s="217"/>
      <c r="VGP1" s="217"/>
      <c r="VGQ1" s="220"/>
      <c r="VGR1" s="216"/>
      <c r="VGS1" s="217"/>
      <c r="VGT1" s="217"/>
      <c r="VGU1" s="220"/>
      <c r="VGV1" s="216"/>
      <c r="VGW1" s="217"/>
      <c r="VGX1" s="217"/>
      <c r="VGY1" s="220"/>
      <c r="VGZ1" s="216"/>
      <c r="VHA1" s="217"/>
      <c r="VHB1" s="217"/>
      <c r="VHC1" s="220"/>
      <c r="VHD1" s="216"/>
      <c r="VHE1" s="217"/>
      <c r="VHF1" s="217"/>
      <c r="VHG1" s="220"/>
      <c r="VHH1" s="216"/>
      <c r="VHI1" s="217"/>
      <c r="VHJ1" s="217"/>
      <c r="VHK1" s="220"/>
      <c r="VHL1" s="216"/>
      <c r="VHM1" s="217"/>
      <c r="VHN1" s="217"/>
      <c r="VHO1" s="220"/>
      <c r="VHP1" s="216"/>
      <c r="VHQ1" s="217"/>
      <c r="VHR1" s="217"/>
      <c r="VHS1" s="220"/>
      <c r="VHT1" s="216"/>
      <c r="VHU1" s="217"/>
      <c r="VHV1" s="217"/>
      <c r="VHW1" s="220"/>
      <c r="VHX1" s="216"/>
      <c r="VHY1" s="217"/>
      <c r="VHZ1" s="217"/>
      <c r="VIA1" s="220"/>
      <c r="VIB1" s="216"/>
      <c r="VIC1" s="217"/>
      <c r="VID1" s="217"/>
      <c r="VIE1" s="220"/>
      <c r="VIF1" s="216"/>
      <c r="VIG1" s="217"/>
      <c r="VIH1" s="217"/>
      <c r="VII1" s="220"/>
      <c r="VIJ1" s="216"/>
      <c r="VIK1" s="217"/>
      <c r="VIL1" s="217"/>
      <c r="VIM1" s="220"/>
      <c r="VIN1" s="216"/>
      <c r="VIO1" s="217"/>
      <c r="VIP1" s="217"/>
      <c r="VIQ1" s="220"/>
      <c r="VIR1" s="216"/>
      <c r="VIS1" s="217"/>
      <c r="VIT1" s="217"/>
      <c r="VIU1" s="220"/>
      <c r="VIV1" s="216"/>
      <c r="VIW1" s="217"/>
      <c r="VIX1" s="217"/>
      <c r="VIY1" s="220"/>
      <c r="VIZ1" s="216"/>
      <c r="VJA1" s="217"/>
      <c r="VJB1" s="217"/>
      <c r="VJC1" s="220"/>
      <c r="VJD1" s="216"/>
      <c r="VJE1" s="217"/>
      <c r="VJF1" s="217"/>
      <c r="VJG1" s="220"/>
      <c r="VJH1" s="216"/>
      <c r="VJI1" s="217"/>
      <c r="VJJ1" s="217"/>
      <c r="VJK1" s="220"/>
      <c r="VJL1" s="216"/>
      <c r="VJM1" s="217"/>
      <c r="VJN1" s="217"/>
      <c r="VJO1" s="220"/>
      <c r="VJP1" s="216"/>
      <c r="VJQ1" s="217"/>
      <c r="VJR1" s="217"/>
      <c r="VJS1" s="220"/>
      <c r="VJT1" s="216"/>
      <c r="VJU1" s="217"/>
      <c r="VJV1" s="217"/>
      <c r="VJW1" s="220"/>
      <c r="VJX1" s="216"/>
      <c r="VJY1" s="217"/>
      <c r="VJZ1" s="217"/>
      <c r="VKA1" s="220"/>
      <c r="VKB1" s="216"/>
      <c r="VKC1" s="217"/>
      <c r="VKD1" s="217"/>
      <c r="VKE1" s="220"/>
      <c r="VKF1" s="216"/>
      <c r="VKG1" s="217"/>
      <c r="VKH1" s="217"/>
      <c r="VKI1" s="220"/>
      <c r="VKJ1" s="216"/>
      <c r="VKK1" s="217"/>
      <c r="VKL1" s="217"/>
      <c r="VKM1" s="220"/>
      <c r="VKN1" s="216"/>
      <c r="VKO1" s="217"/>
      <c r="VKP1" s="217"/>
      <c r="VKQ1" s="220"/>
      <c r="VKR1" s="216"/>
      <c r="VKS1" s="217"/>
      <c r="VKT1" s="217"/>
      <c r="VKU1" s="220"/>
      <c r="VKV1" s="216"/>
      <c r="VKW1" s="217"/>
      <c r="VKX1" s="217"/>
      <c r="VKY1" s="220"/>
      <c r="VKZ1" s="216"/>
      <c r="VLA1" s="217"/>
      <c r="VLB1" s="217"/>
      <c r="VLC1" s="220"/>
      <c r="VLD1" s="216"/>
      <c r="VLE1" s="217"/>
      <c r="VLF1" s="217"/>
      <c r="VLG1" s="220"/>
      <c r="VLH1" s="216"/>
      <c r="VLI1" s="217"/>
      <c r="VLJ1" s="217"/>
      <c r="VLK1" s="220"/>
      <c r="VLL1" s="216"/>
      <c r="VLM1" s="217"/>
      <c r="VLN1" s="217"/>
      <c r="VLO1" s="220"/>
      <c r="VLP1" s="216"/>
      <c r="VLQ1" s="217"/>
      <c r="VLR1" s="217"/>
      <c r="VLS1" s="220"/>
      <c r="VLT1" s="216"/>
      <c r="VLU1" s="217"/>
      <c r="VLV1" s="217"/>
      <c r="VLW1" s="220"/>
      <c r="VLX1" s="216"/>
      <c r="VLY1" s="217"/>
      <c r="VLZ1" s="217"/>
      <c r="VMA1" s="220"/>
      <c r="VMB1" s="216"/>
      <c r="VMC1" s="217"/>
      <c r="VMD1" s="217"/>
      <c r="VME1" s="220"/>
      <c r="VMF1" s="216"/>
      <c r="VMG1" s="217"/>
      <c r="VMH1" s="217"/>
      <c r="VMI1" s="220"/>
      <c r="VMJ1" s="216"/>
      <c r="VMK1" s="217"/>
      <c r="VML1" s="217"/>
      <c r="VMM1" s="220"/>
      <c r="VMN1" s="216"/>
      <c r="VMO1" s="217"/>
      <c r="VMP1" s="217"/>
      <c r="VMQ1" s="220"/>
      <c r="VMR1" s="216"/>
      <c r="VMS1" s="217"/>
      <c r="VMT1" s="217"/>
      <c r="VMU1" s="220"/>
      <c r="VMV1" s="216"/>
      <c r="VMW1" s="217"/>
      <c r="VMX1" s="217"/>
      <c r="VMY1" s="220"/>
      <c r="VMZ1" s="216"/>
      <c r="VNA1" s="217"/>
      <c r="VNB1" s="217"/>
      <c r="VNC1" s="220"/>
      <c r="VND1" s="216"/>
      <c r="VNE1" s="217"/>
      <c r="VNF1" s="217"/>
      <c r="VNG1" s="220"/>
      <c r="VNH1" s="216"/>
      <c r="VNI1" s="217"/>
      <c r="VNJ1" s="217"/>
      <c r="VNK1" s="220"/>
      <c r="VNL1" s="216"/>
      <c r="VNM1" s="217"/>
      <c r="VNN1" s="217"/>
      <c r="VNO1" s="220"/>
      <c r="VNP1" s="216"/>
      <c r="VNQ1" s="217"/>
      <c r="VNR1" s="217"/>
      <c r="VNS1" s="220"/>
      <c r="VNT1" s="216"/>
      <c r="VNU1" s="217"/>
      <c r="VNV1" s="217"/>
      <c r="VNW1" s="220"/>
      <c r="VNX1" s="216"/>
      <c r="VNY1" s="217"/>
      <c r="VNZ1" s="217"/>
      <c r="VOA1" s="220"/>
      <c r="VOB1" s="216"/>
      <c r="VOC1" s="217"/>
      <c r="VOD1" s="217"/>
      <c r="VOE1" s="220"/>
      <c r="VOF1" s="216"/>
      <c r="VOG1" s="217"/>
      <c r="VOH1" s="217"/>
      <c r="VOI1" s="220"/>
      <c r="VOJ1" s="216"/>
      <c r="VOK1" s="217"/>
      <c r="VOL1" s="217"/>
      <c r="VOM1" s="220"/>
      <c r="VON1" s="216"/>
      <c r="VOO1" s="217"/>
      <c r="VOP1" s="217"/>
      <c r="VOQ1" s="220"/>
      <c r="VOR1" s="216"/>
      <c r="VOS1" s="217"/>
      <c r="VOT1" s="217"/>
      <c r="VOU1" s="220"/>
      <c r="VOV1" s="216"/>
      <c r="VOW1" s="217"/>
      <c r="VOX1" s="217"/>
      <c r="VOY1" s="220"/>
      <c r="VOZ1" s="216"/>
      <c r="VPA1" s="217"/>
      <c r="VPB1" s="217"/>
      <c r="VPC1" s="220"/>
      <c r="VPD1" s="216"/>
      <c r="VPE1" s="217"/>
      <c r="VPF1" s="217"/>
      <c r="VPG1" s="220"/>
      <c r="VPH1" s="216"/>
      <c r="VPI1" s="217"/>
      <c r="VPJ1" s="217"/>
      <c r="VPK1" s="220"/>
      <c r="VPL1" s="216"/>
      <c r="VPM1" s="217"/>
      <c r="VPN1" s="217"/>
      <c r="VPO1" s="220"/>
      <c r="VPP1" s="216"/>
      <c r="VPQ1" s="217"/>
      <c r="VPR1" s="217"/>
      <c r="VPS1" s="220"/>
      <c r="VPT1" s="216"/>
      <c r="VPU1" s="217"/>
      <c r="VPV1" s="217"/>
      <c r="VPW1" s="220"/>
      <c r="VPX1" s="216"/>
      <c r="VPY1" s="217"/>
      <c r="VPZ1" s="217"/>
      <c r="VQA1" s="220"/>
      <c r="VQB1" s="216"/>
      <c r="VQC1" s="217"/>
      <c r="VQD1" s="217"/>
      <c r="VQE1" s="220"/>
      <c r="VQF1" s="216"/>
      <c r="VQG1" s="217"/>
      <c r="VQH1" s="217"/>
      <c r="VQI1" s="220"/>
      <c r="VQJ1" s="216"/>
      <c r="VQK1" s="217"/>
      <c r="VQL1" s="217"/>
      <c r="VQM1" s="220"/>
      <c r="VQN1" s="216"/>
      <c r="VQO1" s="217"/>
      <c r="VQP1" s="217"/>
      <c r="VQQ1" s="220"/>
      <c r="VQR1" s="216"/>
      <c r="VQS1" s="217"/>
      <c r="VQT1" s="217"/>
      <c r="VQU1" s="220"/>
      <c r="VQV1" s="216"/>
      <c r="VQW1" s="217"/>
      <c r="VQX1" s="217"/>
      <c r="VQY1" s="220"/>
      <c r="VQZ1" s="216"/>
      <c r="VRA1" s="217"/>
      <c r="VRB1" s="217"/>
      <c r="VRC1" s="220"/>
      <c r="VRD1" s="216"/>
      <c r="VRE1" s="217"/>
      <c r="VRF1" s="217"/>
      <c r="VRG1" s="220"/>
      <c r="VRH1" s="216"/>
      <c r="VRI1" s="217"/>
      <c r="VRJ1" s="217"/>
      <c r="VRK1" s="220"/>
      <c r="VRL1" s="216"/>
      <c r="VRM1" s="217"/>
      <c r="VRN1" s="217"/>
      <c r="VRO1" s="220"/>
      <c r="VRP1" s="216"/>
      <c r="VRQ1" s="217"/>
      <c r="VRR1" s="217"/>
      <c r="VRS1" s="220"/>
      <c r="VRT1" s="216"/>
      <c r="VRU1" s="217"/>
      <c r="VRV1" s="217"/>
      <c r="VRW1" s="220"/>
      <c r="VRX1" s="216"/>
      <c r="VRY1" s="217"/>
      <c r="VRZ1" s="217"/>
      <c r="VSA1" s="220"/>
      <c r="VSB1" s="216"/>
      <c r="VSC1" s="217"/>
      <c r="VSD1" s="217"/>
      <c r="VSE1" s="220"/>
      <c r="VSF1" s="216"/>
      <c r="VSG1" s="217"/>
      <c r="VSH1" s="217"/>
      <c r="VSI1" s="220"/>
      <c r="VSJ1" s="216"/>
      <c r="VSK1" s="217"/>
      <c r="VSL1" s="217"/>
      <c r="VSM1" s="220"/>
      <c r="VSN1" s="216"/>
      <c r="VSO1" s="217"/>
      <c r="VSP1" s="217"/>
      <c r="VSQ1" s="220"/>
      <c r="VSR1" s="216"/>
      <c r="VSS1" s="217"/>
      <c r="VST1" s="217"/>
      <c r="VSU1" s="220"/>
      <c r="VSV1" s="216"/>
      <c r="VSW1" s="217"/>
      <c r="VSX1" s="217"/>
      <c r="VSY1" s="220"/>
      <c r="VSZ1" s="216"/>
      <c r="VTA1" s="217"/>
      <c r="VTB1" s="217"/>
      <c r="VTC1" s="220"/>
      <c r="VTD1" s="216"/>
      <c r="VTE1" s="217"/>
      <c r="VTF1" s="217"/>
      <c r="VTG1" s="220"/>
      <c r="VTH1" s="216"/>
      <c r="VTI1" s="217"/>
      <c r="VTJ1" s="217"/>
      <c r="VTK1" s="220"/>
      <c r="VTL1" s="216"/>
      <c r="VTM1" s="217"/>
      <c r="VTN1" s="217"/>
      <c r="VTO1" s="220"/>
      <c r="VTP1" s="216"/>
      <c r="VTQ1" s="217"/>
      <c r="VTR1" s="217"/>
      <c r="VTS1" s="220"/>
      <c r="VTT1" s="216"/>
      <c r="VTU1" s="217"/>
      <c r="VTV1" s="217"/>
      <c r="VTW1" s="220"/>
      <c r="VTX1" s="216"/>
      <c r="VTY1" s="217"/>
      <c r="VTZ1" s="217"/>
      <c r="VUA1" s="220"/>
      <c r="VUB1" s="216"/>
      <c r="VUC1" s="217"/>
      <c r="VUD1" s="217"/>
      <c r="VUE1" s="220"/>
      <c r="VUF1" s="216"/>
      <c r="VUG1" s="217"/>
      <c r="VUH1" s="217"/>
      <c r="VUI1" s="220"/>
      <c r="VUJ1" s="216"/>
      <c r="VUK1" s="217"/>
      <c r="VUL1" s="217"/>
      <c r="VUM1" s="220"/>
      <c r="VUN1" s="216"/>
      <c r="VUO1" s="217"/>
      <c r="VUP1" s="217"/>
      <c r="VUQ1" s="220"/>
      <c r="VUR1" s="216"/>
      <c r="VUS1" s="217"/>
      <c r="VUT1" s="217"/>
      <c r="VUU1" s="220"/>
      <c r="VUV1" s="216"/>
      <c r="VUW1" s="217"/>
      <c r="VUX1" s="217"/>
      <c r="VUY1" s="220"/>
      <c r="VUZ1" s="216"/>
      <c r="VVA1" s="217"/>
      <c r="VVB1" s="217"/>
      <c r="VVC1" s="220"/>
      <c r="VVD1" s="216"/>
      <c r="VVE1" s="217"/>
      <c r="VVF1" s="217"/>
      <c r="VVG1" s="220"/>
      <c r="VVH1" s="216"/>
      <c r="VVI1" s="217"/>
      <c r="VVJ1" s="217"/>
      <c r="VVK1" s="220"/>
      <c r="VVL1" s="216"/>
      <c r="VVM1" s="217"/>
      <c r="VVN1" s="217"/>
      <c r="VVO1" s="220"/>
      <c r="VVP1" s="216"/>
      <c r="VVQ1" s="217"/>
      <c r="VVR1" s="217"/>
      <c r="VVS1" s="220"/>
      <c r="VVT1" s="216"/>
      <c r="VVU1" s="217"/>
      <c r="VVV1" s="217"/>
      <c r="VVW1" s="220"/>
      <c r="VVX1" s="216"/>
      <c r="VVY1" s="217"/>
      <c r="VVZ1" s="217"/>
      <c r="VWA1" s="220"/>
      <c r="VWB1" s="216"/>
      <c r="VWC1" s="217"/>
      <c r="VWD1" s="217"/>
      <c r="VWE1" s="220"/>
      <c r="VWF1" s="216"/>
      <c r="VWG1" s="217"/>
      <c r="VWH1" s="217"/>
      <c r="VWI1" s="220"/>
      <c r="VWJ1" s="216"/>
      <c r="VWK1" s="217"/>
      <c r="VWL1" s="217"/>
      <c r="VWM1" s="220"/>
      <c r="VWN1" s="216"/>
      <c r="VWO1" s="217"/>
      <c r="VWP1" s="217"/>
      <c r="VWQ1" s="220"/>
      <c r="VWR1" s="216"/>
      <c r="VWS1" s="217"/>
      <c r="VWT1" s="217"/>
      <c r="VWU1" s="220"/>
      <c r="VWV1" s="216"/>
      <c r="VWW1" s="217"/>
      <c r="VWX1" s="217"/>
      <c r="VWY1" s="220"/>
      <c r="VWZ1" s="216"/>
      <c r="VXA1" s="217"/>
      <c r="VXB1" s="217"/>
      <c r="VXC1" s="220"/>
      <c r="VXD1" s="216"/>
      <c r="VXE1" s="217"/>
      <c r="VXF1" s="217"/>
      <c r="VXG1" s="220"/>
      <c r="VXH1" s="216"/>
      <c r="VXI1" s="217"/>
      <c r="VXJ1" s="217"/>
      <c r="VXK1" s="220"/>
      <c r="VXL1" s="216"/>
      <c r="VXM1" s="217"/>
      <c r="VXN1" s="217"/>
      <c r="VXO1" s="220"/>
      <c r="VXP1" s="216"/>
      <c r="VXQ1" s="217"/>
      <c r="VXR1" s="217"/>
      <c r="VXS1" s="220"/>
      <c r="VXT1" s="216"/>
      <c r="VXU1" s="217"/>
      <c r="VXV1" s="217"/>
      <c r="VXW1" s="220"/>
      <c r="VXX1" s="216"/>
      <c r="VXY1" s="217"/>
      <c r="VXZ1" s="217"/>
      <c r="VYA1" s="220"/>
      <c r="VYB1" s="216"/>
      <c r="VYC1" s="217"/>
      <c r="VYD1" s="217"/>
      <c r="VYE1" s="220"/>
      <c r="VYF1" s="216"/>
      <c r="VYG1" s="217"/>
      <c r="VYH1" s="217"/>
      <c r="VYI1" s="220"/>
      <c r="VYJ1" s="216"/>
      <c r="VYK1" s="217"/>
      <c r="VYL1" s="217"/>
      <c r="VYM1" s="220"/>
      <c r="VYN1" s="216"/>
      <c r="VYO1" s="217"/>
      <c r="VYP1" s="217"/>
      <c r="VYQ1" s="220"/>
      <c r="VYR1" s="216"/>
      <c r="VYS1" s="217"/>
      <c r="VYT1" s="217"/>
      <c r="VYU1" s="220"/>
      <c r="VYV1" s="216"/>
      <c r="VYW1" s="217"/>
      <c r="VYX1" s="217"/>
      <c r="VYY1" s="220"/>
      <c r="VYZ1" s="216"/>
      <c r="VZA1" s="217"/>
      <c r="VZB1" s="217"/>
      <c r="VZC1" s="220"/>
      <c r="VZD1" s="216"/>
      <c r="VZE1" s="217"/>
      <c r="VZF1" s="217"/>
      <c r="VZG1" s="220"/>
      <c r="VZH1" s="216"/>
      <c r="VZI1" s="217"/>
      <c r="VZJ1" s="217"/>
      <c r="VZK1" s="220"/>
      <c r="VZL1" s="216"/>
      <c r="VZM1" s="217"/>
      <c r="VZN1" s="217"/>
      <c r="VZO1" s="220"/>
      <c r="VZP1" s="216"/>
      <c r="VZQ1" s="217"/>
      <c r="VZR1" s="217"/>
      <c r="VZS1" s="220"/>
      <c r="VZT1" s="216"/>
      <c r="VZU1" s="217"/>
      <c r="VZV1" s="217"/>
      <c r="VZW1" s="220"/>
      <c r="VZX1" s="216"/>
      <c r="VZY1" s="217"/>
      <c r="VZZ1" s="217"/>
      <c r="WAA1" s="220"/>
      <c r="WAB1" s="216"/>
      <c r="WAC1" s="217"/>
      <c r="WAD1" s="217"/>
      <c r="WAE1" s="220"/>
      <c r="WAF1" s="216"/>
      <c r="WAG1" s="217"/>
      <c r="WAH1" s="217"/>
      <c r="WAI1" s="220"/>
      <c r="WAJ1" s="216"/>
      <c r="WAK1" s="217"/>
      <c r="WAL1" s="217"/>
      <c r="WAM1" s="220"/>
      <c r="WAN1" s="216"/>
      <c r="WAO1" s="217"/>
      <c r="WAP1" s="217"/>
      <c r="WAQ1" s="220"/>
      <c r="WAR1" s="216"/>
      <c r="WAS1" s="217"/>
      <c r="WAT1" s="217"/>
      <c r="WAU1" s="220"/>
      <c r="WAV1" s="216"/>
      <c r="WAW1" s="217"/>
      <c r="WAX1" s="217"/>
      <c r="WAY1" s="220"/>
      <c r="WAZ1" s="216"/>
      <c r="WBA1" s="217"/>
      <c r="WBB1" s="217"/>
      <c r="WBC1" s="220"/>
      <c r="WBD1" s="216"/>
      <c r="WBE1" s="217"/>
      <c r="WBF1" s="217"/>
      <c r="WBG1" s="220"/>
      <c r="WBH1" s="216"/>
      <c r="WBI1" s="217"/>
      <c r="WBJ1" s="217"/>
      <c r="WBK1" s="220"/>
      <c r="WBL1" s="216"/>
      <c r="WBM1" s="217"/>
      <c r="WBN1" s="217"/>
      <c r="WBO1" s="220"/>
      <c r="WBP1" s="216"/>
      <c r="WBQ1" s="217"/>
      <c r="WBR1" s="217"/>
      <c r="WBS1" s="220"/>
      <c r="WBT1" s="216"/>
      <c r="WBU1" s="217"/>
      <c r="WBV1" s="217"/>
      <c r="WBW1" s="220"/>
      <c r="WBX1" s="216"/>
      <c r="WBY1" s="217"/>
      <c r="WBZ1" s="217"/>
      <c r="WCA1" s="220"/>
      <c r="WCB1" s="216"/>
      <c r="WCC1" s="217"/>
      <c r="WCD1" s="217"/>
      <c r="WCE1" s="220"/>
      <c r="WCF1" s="216"/>
      <c r="WCG1" s="217"/>
      <c r="WCH1" s="217"/>
      <c r="WCI1" s="220"/>
      <c r="WCJ1" s="216"/>
      <c r="WCK1" s="217"/>
      <c r="WCL1" s="217"/>
      <c r="WCM1" s="220"/>
      <c r="WCN1" s="216"/>
      <c r="WCO1" s="217"/>
      <c r="WCP1" s="217"/>
      <c r="WCQ1" s="220"/>
      <c r="WCR1" s="216"/>
      <c r="WCS1" s="217"/>
      <c r="WCT1" s="217"/>
      <c r="WCU1" s="220"/>
      <c r="WCV1" s="216"/>
      <c r="WCW1" s="217"/>
      <c r="WCX1" s="217"/>
      <c r="WCY1" s="220"/>
      <c r="WCZ1" s="216"/>
      <c r="WDA1" s="217"/>
      <c r="WDB1" s="217"/>
      <c r="WDC1" s="220"/>
      <c r="WDD1" s="216"/>
      <c r="WDE1" s="217"/>
      <c r="WDF1" s="217"/>
      <c r="WDG1" s="220"/>
      <c r="WDH1" s="216"/>
      <c r="WDI1" s="217"/>
      <c r="WDJ1" s="217"/>
      <c r="WDK1" s="220"/>
      <c r="WDL1" s="216"/>
      <c r="WDM1" s="217"/>
      <c r="WDN1" s="217"/>
      <c r="WDO1" s="220"/>
      <c r="WDP1" s="216"/>
      <c r="WDQ1" s="217"/>
      <c r="WDR1" s="217"/>
      <c r="WDS1" s="220"/>
      <c r="WDT1" s="216"/>
      <c r="WDU1" s="217"/>
      <c r="WDV1" s="217"/>
      <c r="WDW1" s="220"/>
      <c r="WDX1" s="216"/>
      <c r="WDY1" s="217"/>
      <c r="WDZ1" s="217"/>
      <c r="WEA1" s="220"/>
      <c r="WEB1" s="216"/>
      <c r="WEC1" s="217"/>
      <c r="WED1" s="217"/>
      <c r="WEE1" s="220"/>
      <c r="WEF1" s="216"/>
      <c r="WEG1" s="217"/>
      <c r="WEH1" s="217"/>
      <c r="WEI1" s="220"/>
      <c r="WEJ1" s="216"/>
      <c r="WEK1" s="217"/>
      <c r="WEL1" s="217"/>
      <c r="WEM1" s="220"/>
      <c r="WEN1" s="216"/>
      <c r="WEO1" s="217"/>
      <c r="WEP1" s="217"/>
      <c r="WEQ1" s="220"/>
      <c r="WER1" s="216"/>
      <c r="WES1" s="217"/>
      <c r="WET1" s="217"/>
      <c r="WEU1" s="220"/>
      <c r="WEV1" s="216"/>
      <c r="WEW1" s="217"/>
      <c r="WEX1" s="217"/>
      <c r="WEY1" s="220"/>
      <c r="WEZ1" s="216"/>
      <c r="WFA1" s="217"/>
      <c r="WFB1" s="217"/>
      <c r="WFC1" s="220"/>
      <c r="WFD1" s="216"/>
      <c r="WFE1" s="217"/>
      <c r="WFF1" s="217"/>
      <c r="WFG1" s="220"/>
      <c r="WFH1" s="216"/>
      <c r="WFI1" s="217"/>
      <c r="WFJ1" s="217"/>
      <c r="WFK1" s="220"/>
      <c r="WFL1" s="216"/>
      <c r="WFM1" s="217"/>
      <c r="WFN1" s="217"/>
      <c r="WFO1" s="220"/>
      <c r="WFP1" s="216"/>
      <c r="WFQ1" s="217"/>
      <c r="WFR1" s="217"/>
      <c r="WFS1" s="220"/>
      <c r="WFT1" s="216"/>
      <c r="WFU1" s="217"/>
      <c r="WFV1" s="217"/>
      <c r="WFW1" s="220"/>
      <c r="WFX1" s="216"/>
      <c r="WFY1" s="217"/>
      <c r="WFZ1" s="217"/>
      <c r="WGA1" s="220"/>
      <c r="WGB1" s="216"/>
      <c r="WGC1" s="217"/>
      <c r="WGD1" s="217"/>
      <c r="WGE1" s="220"/>
      <c r="WGF1" s="216"/>
      <c r="WGG1" s="217"/>
      <c r="WGH1" s="217"/>
      <c r="WGI1" s="220"/>
      <c r="WGJ1" s="216"/>
      <c r="WGK1" s="217"/>
      <c r="WGL1" s="217"/>
      <c r="WGM1" s="220"/>
      <c r="WGN1" s="216"/>
      <c r="WGO1" s="217"/>
      <c r="WGP1" s="217"/>
      <c r="WGQ1" s="220"/>
      <c r="WGR1" s="216"/>
      <c r="WGS1" s="217"/>
      <c r="WGT1" s="217"/>
      <c r="WGU1" s="220"/>
      <c r="WGV1" s="216"/>
      <c r="WGW1" s="217"/>
      <c r="WGX1" s="217"/>
      <c r="WGY1" s="220"/>
      <c r="WGZ1" s="216"/>
      <c r="WHA1" s="217"/>
      <c r="WHB1" s="217"/>
      <c r="WHC1" s="220"/>
      <c r="WHD1" s="216"/>
      <c r="WHE1" s="217"/>
      <c r="WHF1" s="217"/>
      <c r="WHG1" s="220"/>
      <c r="WHH1" s="216"/>
      <c r="WHI1" s="217"/>
      <c r="WHJ1" s="217"/>
      <c r="WHK1" s="220"/>
      <c r="WHL1" s="216"/>
      <c r="WHM1" s="217"/>
      <c r="WHN1" s="217"/>
      <c r="WHO1" s="220"/>
      <c r="WHP1" s="216"/>
      <c r="WHQ1" s="217"/>
      <c r="WHR1" s="217"/>
      <c r="WHS1" s="220"/>
      <c r="WHT1" s="216"/>
      <c r="WHU1" s="217"/>
      <c r="WHV1" s="217"/>
      <c r="WHW1" s="220"/>
      <c r="WHX1" s="216"/>
      <c r="WHY1" s="217"/>
      <c r="WHZ1" s="217"/>
      <c r="WIA1" s="220"/>
      <c r="WIB1" s="216"/>
      <c r="WIC1" s="217"/>
      <c r="WID1" s="217"/>
      <c r="WIE1" s="220"/>
      <c r="WIF1" s="216"/>
      <c r="WIG1" s="217"/>
      <c r="WIH1" s="217"/>
      <c r="WII1" s="220"/>
      <c r="WIJ1" s="216"/>
      <c r="WIK1" s="217"/>
      <c r="WIL1" s="217"/>
      <c r="WIM1" s="220"/>
      <c r="WIN1" s="216"/>
      <c r="WIO1" s="217"/>
      <c r="WIP1" s="217"/>
      <c r="WIQ1" s="220"/>
      <c r="WIR1" s="216"/>
      <c r="WIS1" s="217"/>
      <c r="WIT1" s="217"/>
      <c r="WIU1" s="220"/>
      <c r="WIV1" s="216"/>
      <c r="WIW1" s="217"/>
      <c r="WIX1" s="217"/>
      <c r="WIY1" s="220"/>
      <c r="WIZ1" s="216"/>
      <c r="WJA1" s="217"/>
      <c r="WJB1" s="217"/>
      <c r="WJC1" s="220"/>
      <c r="WJD1" s="216"/>
      <c r="WJE1" s="217"/>
      <c r="WJF1" s="217"/>
      <c r="WJG1" s="220"/>
      <c r="WJH1" s="216"/>
      <c r="WJI1" s="217"/>
      <c r="WJJ1" s="217"/>
      <c r="WJK1" s="220"/>
      <c r="WJL1" s="216"/>
      <c r="WJM1" s="217"/>
      <c r="WJN1" s="217"/>
      <c r="WJO1" s="220"/>
      <c r="WJP1" s="216"/>
      <c r="WJQ1" s="217"/>
      <c r="WJR1" s="217"/>
      <c r="WJS1" s="220"/>
      <c r="WJT1" s="216"/>
      <c r="WJU1" s="217"/>
      <c r="WJV1" s="217"/>
      <c r="WJW1" s="220"/>
      <c r="WJX1" s="216"/>
      <c r="WJY1" s="217"/>
      <c r="WJZ1" s="217"/>
      <c r="WKA1" s="220"/>
      <c r="WKB1" s="216"/>
      <c r="WKC1" s="217"/>
      <c r="WKD1" s="217"/>
      <c r="WKE1" s="220"/>
      <c r="WKF1" s="216"/>
      <c r="WKG1" s="217"/>
      <c r="WKH1" s="217"/>
      <c r="WKI1" s="220"/>
      <c r="WKJ1" s="216"/>
      <c r="WKK1" s="217"/>
      <c r="WKL1" s="217"/>
      <c r="WKM1" s="220"/>
      <c r="WKN1" s="216"/>
      <c r="WKO1" s="217"/>
      <c r="WKP1" s="217"/>
      <c r="WKQ1" s="220"/>
      <c r="WKR1" s="216"/>
      <c r="WKS1" s="217"/>
      <c r="WKT1" s="217"/>
      <c r="WKU1" s="220"/>
      <c r="WKV1" s="216"/>
      <c r="WKW1" s="217"/>
      <c r="WKX1" s="217"/>
      <c r="WKY1" s="220"/>
      <c r="WKZ1" s="216"/>
      <c r="WLA1" s="217"/>
      <c r="WLB1" s="217"/>
      <c r="WLC1" s="220"/>
      <c r="WLD1" s="216"/>
      <c r="WLE1" s="217"/>
      <c r="WLF1" s="217"/>
      <c r="WLG1" s="220"/>
      <c r="WLH1" s="216"/>
      <c r="WLI1" s="217"/>
      <c r="WLJ1" s="217"/>
      <c r="WLK1" s="220"/>
      <c r="WLL1" s="216"/>
      <c r="WLM1" s="217"/>
      <c r="WLN1" s="217"/>
      <c r="WLO1" s="220"/>
      <c r="WLP1" s="216"/>
      <c r="WLQ1" s="217"/>
      <c r="WLR1" s="217"/>
      <c r="WLS1" s="220"/>
      <c r="WLT1" s="216"/>
      <c r="WLU1" s="217"/>
      <c r="WLV1" s="217"/>
      <c r="WLW1" s="220"/>
      <c r="WLX1" s="216"/>
      <c r="WLY1" s="217"/>
      <c r="WLZ1" s="217"/>
      <c r="WMA1" s="220"/>
      <c r="WMB1" s="216"/>
      <c r="WMC1" s="217"/>
      <c r="WMD1" s="217"/>
      <c r="WME1" s="220"/>
      <c r="WMF1" s="216"/>
      <c r="WMG1" s="217"/>
      <c r="WMH1" s="217"/>
      <c r="WMI1" s="220"/>
      <c r="WMJ1" s="216"/>
      <c r="WMK1" s="217"/>
      <c r="WML1" s="217"/>
      <c r="WMM1" s="220"/>
      <c r="WMN1" s="216"/>
      <c r="WMO1" s="217"/>
      <c r="WMP1" s="217"/>
      <c r="WMQ1" s="220"/>
      <c r="WMR1" s="216"/>
      <c r="WMS1" s="217"/>
      <c r="WMT1" s="217"/>
      <c r="WMU1" s="220"/>
      <c r="WMV1" s="216"/>
      <c r="WMW1" s="217"/>
      <c r="WMX1" s="217"/>
      <c r="WMY1" s="220"/>
      <c r="WMZ1" s="216"/>
      <c r="WNA1" s="217"/>
      <c r="WNB1" s="217"/>
      <c r="WNC1" s="220"/>
      <c r="WND1" s="216"/>
      <c r="WNE1" s="217"/>
      <c r="WNF1" s="217"/>
      <c r="WNG1" s="220"/>
      <c r="WNH1" s="216"/>
      <c r="WNI1" s="217"/>
      <c r="WNJ1" s="217"/>
      <c r="WNK1" s="220"/>
      <c r="WNL1" s="216"/>
      <c r="WNM1" s="217"/>
      <c r="WNN1" s="217"/>
      <c r="WNO1" s="220"/>
      <c r="WNP1" s="216"/>
      <c r="WNQ1" s="217"/>
      <c r="WNR1" s="217"/>
      <c r="WNS1" s="220"/>
      <c r="WNT1" s="216"/>
      <c r="WNU1" s="217"/>
      <c r="WNV1" s="217"/>
      <c r="WNW1" s="220"/>
      <c r="WNX1" s="216"/>
      <c r="WNY1" s="217"/>
      <c r="WNZ1" s="217"/>
      <c r="WOA1" s="220"/>
      <c r="WOB1" s="216"/>
      <c r="WOC1" s="217"/>
      <c r="WOD1" s="217"/>
      <c r="WOE1" s="220"/>
      <c r="WOF1" s="216"/>
      <c r="WOG1" s="217"/>
      <c r="WOH1" s="217"/>
      <c r="WOI1" s="220"/>
      <c r="WOJ1" s="216"/>
      <c r="WOK1" s="217"/>
      <c r="WOL1" s="217"/>
      <c r="WOM1" s="220"/>
      <c r="WON1" s="216"/>
      <c r="WOO1" s="217"/>
      <c r="WOP1" s="217"/>
      <c r="WOQ1" s="220"/>
      <c r="WOR1" s="216"/>
      <c r="WOS1" s="217"/>
      <c r="WOT1" s="217"/>
      <c r="WOU1" s="220"/>
      <c r="WOV1" s="216"/>
      <c r="WOW1" s="217"/>
      <c r="WOX1" s="217"/>
      <c r="WOY1" s="220"/>
      <c r="WOZ1" s="216"/>
      <c r="WPA1" s="217"/>
      <c r="WPB1" s="217"/>
      <c r="WPC1" s="220"/>
      <c r="WPD1" s="216"/>
      <c r="WPE1" s="217"/>
      <c r="WPF1" s="217"/>
      <c r="WPG1" s="220"/>
      <c r="WPH1" s="216"/>
      <c r="WPI1" s="217"/>
      <c r="WPJ1" s="217"/>
      <c r="WPK1" s="220"/>
      <c r="WPL1" s="216"/>
      <c r="WPM1" s="217"/>
      <c r="WPN1" s="217"/>
      <c r="WPO1" s="220"/>
      <c r="WPP1" s="216"/>
      <c r="WPQ1" s="217"/>
      <c r="WPR1" s="217"/>
      <c r="WPS1" s="220"/>
      <c r="WPT1" s="216"/>
      <c r="WPU1" s="217"/>
      <c r="WPV1" s="217"/>
      <c r="WPW1" s="220"/>
      <c r="WPX1" s="216"/>
      <c r="WPY1" s="217"/>
      <c r="WPZ1" s="217"/>
      <c r="WQA1" s="220"/>
      <c r="WQB1" s="216"/>
      <c r="WQC1" s="217"/>
      <c r="WQD1" s="217"/>
      <c r="WQE1" s="220"/>
      <c r="WQF1" s="216"/>
      <c r="WQG1" s="217"/>
      <c r="WQH1" s="217"/>
      <c r="WQI1" s="220"/>
      <c r="WQJ1" s="216"/>
      <c r="WQK1" s="217"/>
      <c r="WQL1" s="217"/>
      <c r="WQM1" s="220"/>
      <c r="WQN1" s="216"/>
      <c r="WQO1" s="217"/>
      <c r="WQP1" s="217"/>
      <c r="WQQ1" s="220"/>
      <c r="WQR1" s="216"/>
      <c r="WQS1" s="217"/>
      <c r="WQT1" s="217"/>
      <c r="WQU1" s="220"/>
      <c r="WQV1" s="216"/>
      <c r="WQW1" s="217"/>
      <c r="WQX1" s="217"/>
      <c r="WQY1" s="220"/>
      <c r="WQZ1" s="216"/>
      <c r="WRA1" s="217"/>
      <c r="WRB1" s="217"/>
      <c r="WRC1" s="220"/>
      <c r="WRD1" s="216"/>
      <c r="WRE1" s="217"/>
      <c r="WRF1" s="217"/>
      <c r="WRG1" s="220"/>
      <c r="WRH1" s="216"/>
      <c r="WRI1" s="217"/>
      <c r="WRJ1" s="217"/>
      <c r="WRK1" s="220"/>
      <c r="WRL1" s="216"/>
      <c r="WRM1" s="217"/>
      <c r="WRN1" s="217"/>
      <c r="WRO1" s="220"/>
      <c r="WRP1" s="216"/>
      <c r="WRQ1" s="217"/>
      <c r="WRR1" s="217"/>
      <c r="WRS1" s="220"/>
      <c r="WRT1" s="216"/>
      <c r="WRU1" s="217"/>
      <c r="WRV1" s="217"/>
      <c r="WRW1" s="220"/>
      <c r="WRX1" s="216"/>
      <c r="WRY1" s="217"/>
      <c r="WRZ1" s="217"/>
      <c r="WSA1" s="220"/>
      <c r="WSB1" s="216"/>
      <c r="WSC1" s="217"/>
      <c r="WSD1" s="217"/>
      <c r="WSE1" s="220"/>
      <c r="WSF1" s="216"/>
      <c r="WSG1" s="217"/>
      <c r="WSH1" s="217"/>
      <c r="WSI1" s="220"/>
      <c r="WSJ1" s="216"/>
      <c r="WSK1" s="217"/>
      <c r="WSL1" s="217"/>
      <c r="WSM1" s="220"/>
      <c r="WSN1" s="216"/>
      <c r="WSO1" s="217"/>
      <c r="WSP1" s="217"/>
      <c r="WSQ1" s="220"/>
      <c r="WSR1" s="216"/>
      <c r="WSS1" s="217"/>
      <c r="WST1" s="217"/>
      <c r="WSU1" s="220"/>
      <c r="WSV1" s="216"/>
      <c r="WSW1" s="217"/>
      <c r="WSX1" s="217"/>
      <c r="WSY1" s="220"/>
      <c r="WSZ1" s="216"/>
      <c r="WTA1" s="217"/>
      <c r="WTB1" s="217"/>
      <c r="WTC1" s="220"/>
      <c r="WTD1" s="216"/>
      <c r="WTE1" s="217"/>
      <c r="WTF1" s="217"/>
      <c r="WTG1" s="220"/>
      <c r="WTH1" s="216"/>
      <c r="WTI1" s="217"/>
      <c r="WTJ1" s="217"/>
      <c r="WTK1" s="220"/>
      <c r="WTL1" s="216"/>
      <c r="WTM1" s="217"/>
      <c r="WTN1" s="217"/>
      <c r="WTO1" s="220"/>
      <c r="WTP1" s="216"/>
      <c r="WTQ1" s="217"/>
      <c r="WTR1" s="217"/>
      <c r="WTS1" s="220"/>
      <c r="WTT1" s="216"/>
      <c r="WTU1" s="217"/>
      <c r="WTV1" s="217"/>
      <c r="WTW1" s="220"/>
      <c r="WTX1" s="216"/>
      <c r="WTY1" s="217"/>
      <c r="WTZ1" s="217"/>
      <c r="WUA1" s="220"/>
      <c r="WUB1" s="216"/>
      <c r="WUC1" s="217"/>
      <c r="WUD1" s="217"/>
      <c r="WUE1" s="220"/>
      <c r="WUF1" s="216"/>
      <c r="WUG1" s="217"/>
      <c r="WUH1" s="217"/>
      <c r="WUI1" s="220"/>
      <c r="WUJ1" s="216"/>
      <c r="WUK1" s="217"/>
      <c r="WUL1" s="217"/>
      <c r="WUM1" s="220"/>
      <c r="WUN1" s="216"/>
      <c r="WUO1" s="217"/>
      <c r="WUP1" s="217"/>
      <c r="WUQ1" s="220"/>
      <c r="WUR1" s="216"/>
      <c r="WUS1" s="217"/>
      <c r="WUT1" s="217"/>
      <c r="WUU1" s="220"/>
      <c r="WUV1" s="216"/>
      <c r="WUW1" s="217"/>
      <c r="WUX1" s="217"/>
      <c r="WUY1" s="220"/>
      <c r="WUZ1" s="216"/>
      <c r="WVA1" s="217"/>
      <c r="WVB1" s="217"/>
      <c r="WVC1" s="220"/>
      <c r="WVD1" s="216"/>
      <c r="WVE1" s="217"/>
      <c r="WVF1" s="217"/>
      <c r="WVG1" s="220"/>
      <c r="WVH1" s="216"/>
      <c r="WVI1" s="217"/>
      <c r="WVJ1" s="217"/>
      <c r="WVK1" s="220"/>
      <c r="WVL1" s="216"/>
      <c r="WVM1" s="217"/>
      <c r="WVN1" s="217"/>
      <c r="WVO1" s="220"/>
      <c r="WVP1" s="216"/>
      <c r="WVQ1" s="217"/>
      <c r="WVR1" s="217"/>
      <c r="WVS1" s="220"/>
      <c r="WVT1" s="216"/>
      <c r="WVU1" s="217"/>
      <c r="WVV1" s="217"/>
      <c r="WVW1" s="220"/>
      <c r="WVX1" s="216"/>
      <c r="WVY1" s="217"/>
      <c r="WVZ1" s="217"/>
      <c r="WWA1" s="220"/>
      <c r="WWB1" s="216"/>
      <c r="WWC1" s="217"/>
      <c r="WWD1" s="217"/>
      <c r="WWE1" s="220"/>
      <c r="WWF1" s="216"/>
      <c r="WWG1" s="217"/>
      <c r="WWH1" s="217"/>
      <c r="WWI1" s="220"/>
      <c r="WWJ1" s="216"/>
      <c r="WWK1" s="217"/>
      <c r="WWL1" s="217"/>
      <c r="WWM1" s="220"/>
      <c r="WWN1" s="216"/>
      <c r="WWO1" s="217"/>
      <c r="WWP1" s="217"/>
      <c r="WWQ1" s="220"/>
      <c r="WWR1" s="216"/>
      <c r="WWS1" s="217"/>
      <c r="WWT1" s="217"/>
      <c r="WWU1" s="220"/>
      <c r="WWV1" s="216"/>
      <c r="WWW1" s="217"/>
      <c r="WWX1" s="217"/>
      <c r="WWY1" s="220"/>
      <c r="WWZ1" s="216"/>
      <c r="WXA1" s="217"/>
      <c r="WXB1" s="217"/>
      <c r="WXC1" s="220"/>
      <c r="WXD1" s="216"/>
      <c r="WXE1" s="217"/>
      <c r="WXF1" s="217"/>
      <c r="WXG1" s="220"/>
      <c r="WXH1" s="216"/>
      <c r="WXI1" s="217"/>
      <c r="WXJ1" s="217"/>
      <c r="WXK1" s="220"/>
      <c r="WXL1" s="216"/>
      <c r="WXM1" s="217"/>
      <c r="WXN1" s="217"/>
      <c r="WXO1" s="220"/>
      <c r="WXP1" s="216"/>
      <c r="WXQ1" s="217"/>
      <c r="WXR1" s="217"/>
      <c r="WXS1" s="220"/>
      <c r="WXT1" s="216"/>
      <c r="WXU1" s="217"/>
      <c r="WXV1" s="217"/>
      <c r="WXW1" s="220"/>
      <c r="WXX1" s="216"/>
      <c r="WXY1" s="217"/>
      <c r="WXZ1" s="217"/>
      <c r="WYA1" s="220"/>
      <c r="WYB1" s="216"/>
      <c r="WYC1" s="217"/>
      <c r="WYD1" s="217"/>
      <c r="WYE1" s="220"/>
      <c r="WYF1" s="216"/>
      <c r="WYG1" s="217"/>
      <c r="WYH1" s="217"/>
      <c r="WYI1" s="220"/>
      <c r="WYJ1" s="216"/>
      <c r="WYK1" s="217"/>
      <c r="WYL1" s="217"/>
      <c r="WYM1" s="220"/>
      <c r="WYN1" s="216"/>
      <c r="WYO1" s="217"/>
      <c r="WYP1" s="217"/>
      <c r="WYQ1" s="220"/>
      <c r="WYR1" s="216"/>
      <c r="WYS1" s="217"/>
      <c r="WYT1" s="217"/>
      <c r="WYU1" s="220"/>
      <c r="WYV1" s="216"/>
      <c r="WYW1" s="217"/>
      <c r="WYX1" s="217"/>
      <c r="WYY1" s="220"/>
      <c r="WYZ1" s="216"/>
      <c r="WZA1" s="217"/>
      <c r="WZB1" s="217"/>
      <c r="WZC1" s="220"/>
      <c r="WZD1" s="216"/>
      <c r="WZE1" s="217"/>
      <c r="WZF1" s="217"/>
      <c r="WZG1" s="220"/>
      <c r="WZH1" s="216"/>
      <c r="WZI1" s="217"/>
      <c r="WZJ1" s="217"/>
      <c r="WZK1" s="220"/>
      <c r="WZL1" s="216"/>
      <c r="WZM1" s="217"/>
      <c r="WZN1" s="217"/>
      <c r="WZO1" s="220"/>
      <c r="WZP1" s="216"/>
      <c r="WZQ1" s="217"/>
      <c r="WZR1" s="217"/>
      <c r="WZS1" s="220"/>
      <c r="WZT1" s="216"/>
      <c r="WZU1" s="217"/>
      <c r="WZV1" s="217"/>
      <c r="WZW1" s="220"/>
      <c r="WZX1" s="216"/>
      <c r="WZY1" s="217"/>
      <c r="WZZ1" s="217"/>
      <c r="XAA1" s="220"/>
      <c r="XAB1" s="216"/>
      <c r="XAC1" s="217"/>
      <c r="XAD1" s="217"/>
      <c r="XAE1" s="220"/>
      <c r="XAF1" s="216"/>
      <c r="XAG1" s="217"/>
      <c r="XAH1" s="217"/>
      <c r="XAI1" s="220"/>
      <c r="XAJ1" s="216"/>
      <c r="XAK1" s="217"/>
      <c r="XAL1" s="217"/>
      <c r="XAM1" s="220"/>
      <c r="XAN1" s="216"/>
      <c r="XAO1" s="217"/>
      <c r="XAP1" s="217"/>
      <c r="XAQ1" s="220"/>
      <c r="XAR1" s="216"/>
      <c r="XAS1" s="217"/>
      <c r="XAT1" s="217"/>
      <c r="XAU1" s="220"/>
      <c r="XAV1" s="216"/>
      <c r="XAW1" s="217"/>
      <c r="XAX1" s="217"/>
      <c r="XAY1" s="220"/>
      <c r="XAZ1" s="216"/>
      <c r="XBA1" s="217"/>
      <c r="XBB1" s="217"/>
      <c r="XBC1" s="220"/>
      <c r="XBD1" s="216"/>
      <c r="XBE1" s="217"/>
      <c r="XBF1" s="217"/>
      <c r="XBG1" s="220"/>
      <c r="XBH1" s="216"/>
      <c r="XBI1" s="217"/>
      <c r="XBJ1" s="217"/>
      <c r="XBK1" s="220"/>
      <c r="XBL1" s="216"/>
      <c r="XBM1" s="217"/>
      <c r="XBN1" s="217"/>
      <c r="XBO1" s="220"/>
      <c r="XBP1" s="216"/>
      <c r="XBQ1" s="217"/>
      <c r="XBR1" s="217"/>
      <c r="XBS1" s="220"/>
      <c r="XBT1" s="216"/>
      <c r="XBU1" s="217"/>
      <c r="XBV1" s="217"/>
      <c r="XBW1" s="220"/>
      <c r="XBX1" s="216"/>
      <c r="XBY1" s="217"/>
      <c r="XBZ1" s="217"/>
      <c r="XCA1" s="220"/>
      <c r="XCB1" s="216"/>
      <c r="XCC1" s="217"/>
      <c r="XCD1" s="217"/>
      <c r="XCE1" s="220"/>
      <c r="XCF1" s="216"/>
      <c r="XCG1" s="217"/>
      <c r="XCH1" s="217"/>
      <c r="XCI1" s="220"/>
      <c r="XCJ1" s="216"/>
      <c r="XCK1" s="217"/>
      <c r="XCL1" s="217"/>
      <c r="XCM1" s="220"/>
      <c r="XCN1" s="216"/>
      <c r="XCO1" s="217"/>
      <c r="XCP1" s="217"/>
      <c r="XCQ1" s="220"/>
      <c r="XCR1" s="216"/>
      <c r="XCS1" s="217"/>
      <c r="XCT1" s="217"/>
      <c r="XCU1" s="220"/>
      <c r="XCV1" s="216"/>
      <c r="XCW1" s="217"/>
      <c r="XCX1" s="217"/>
      <c r="XCY1" s="220"/>
      <c r="XCZ1" s="216"/>
      <c r="XDA1" s="217"/>
      <c r="XDB1" s="217"/>
      <c r="XDC1" s="220"/>
      <c r="XDD1" s="216"/>
      <c r="XDE1" s="217"/>
      <c r="XDF1" s="217"/>
      <c r="XDG1" s="220"/>
      <c r="XDH1" s="216"/>
      <c r="XDI1" s="217"/>
      <c r="XDJ1" s="217"/>
      <c r="XDK1" s="220"/>
      <c r="XDL1" s="216"/>
      <c r="XDM1" s="217"/>
      <c r="XDN1" s="217"/>
      <c r="XDO1" s="220"/>
      <c r="XDP1" s="216"/>
      <c r="XDQ1" s="217"/>
      <c r="XDR1" s="217"/>
      <c r="XDS1" s="220"/>
      <c r="XDT1" s="216"/>
      <c r="XDU1" s="217"/>
      <c r="XDV1" s="217"/>
      <c r="XDW1" s="220"/>
      <c r="XDX1" s="216"/>
      <c r="XDY1" s="217"/>
      <c r="XDZ1" s="217"/>
      <c r="XEA1" s="220"/>
      <c r="XEB1" s="216"/>
      <c r="XEC1" s="217"/>
      <c r="XED1" s="217"/>
      <c r="XEE1" s="220"/>
      <c r="XEF1" s="216"/>
      <c r="XEG1" s="217"/>
      <c r="XEH1" s="217"/>
      <c r="XEI1" s="220"/>
      <c r="XEJ1" s="216"/>
      <c r="XEK1" s="217"/>
      <c r="XEL1" s="217"/>
      <c r="XEM1" s="220"/>
      <c r="XEN1" s="216"/>
      <c r="XEO1" s="217"/>
      <c r="XEP1" s="217"/>
      <c r="XEQ1" s="220"/>
      <c r="XER1" s="216"/>
      <c r="XES1" s="217"/>
      <c r="XET1" s="217"/>
      <c r="XEU1" s="220"/>
      <c r="XEV1" s="216"/>
      <c r="XEW1" s="217"/>
      <c r="XEX1" s="217"/>
      <c r="XEY1" s="220"/>
      <c r="XEZ1" s="216"/>
      <c r="XFA1" s="217"/>
      <c r="XFB1" s="217"/>
      <c r="XFC1" s="220"/>
    </row>
    <row r="2" spans="1:16383" ht="15.95">
      <c r="A2" s="219">
        <v>1</v>
      </c>
      <c r="B2" s="216" t="s">
        <v>51</v>
      </c>
      <c r="C2" s="219" t="s">
        <v>17</v>
      </c>
      <c r="D2" s="219" t="s">
        <v>9</v>
      </c>
      <c r="E2" s="216" t="s">
        <v>54</v>
      </c>
      <c r="F2" s="216" t="s">
        <v>1506</v>
      </c>
      <c r="G2" s="219" t="s">
        <v>1</v>
      </c>
      <c r="H2" s="219" t="s">
        <v>56</v>
      </c>
      <c r="I2" s="219" t="s">
        <v>1</v>
      </c>
      <c r="J2" s="216"/>
    </row>
    <row r="3" spans="1:16383" ht="15.95">
      <c r="A3" s="219">
        <v>2</v>
      </c>
      <c r="B3" s="216" t="s">
        <v>58</v>
      </c>
      <c r="C3" s="219" t="s">
        <v>17</v>
      </c>
      <c r="D3" s="219" t="s">
        <v>9</v>
      </c>
      <c r="E3" s="216" t="s">
        <v>59</v>
      </c>
      <c r="F3" s="216" t="s">
        <v>1506</v>
      </c>
      <c r="G3" s="219" t="s">
        <v>1</v>
      </c>
      <c r="H3" s="219" t="s">
        <v>56</v>
      </c>
      <c r="I3" s="219" t="s">
        <v>1</v>
      </c>
      <c r="J3" s="216"/>
    </row>
    <row r="4" spans="1:16383" ht="15.95">
      <c r="A4" s="219">
        <v>3</v>
      </c>
      <c r="B4" s="216" t="s">
        <v>61</v>
      </c>
      <c r="C4" s="219" t="s">
        <v>17</v>
      </c>
      <c r="D4" s="219" t="s">
        <v>9</v>
      </c>
      <c r="E4" s="216" t="s">
        <v>62</v>
      </c>
      <c r="F4" s="216" t="s">
        <v>1506</v>
      </c>
      <c r="G4" s="219" t="s">
        <v>1</v>
      </c>
      <c r="H4" s="219" t="s">
        <v>56</v>
      </c>
      <c r="I4" s="219" t="s">
        <v>1</v>
      </c>
      <c r="J4" s="216"/>
    </row>
    <row r="5" spans="1:16383" ht="15.95">
      <c r="A5" s="219">
        <v>4</v>
      </c>
      <c r="B5" s="216" t="s">
        <v>64</v>
      </c>
      <c r="C5" s="219" t="s">
        <v>17</v>
      </c>
      <c r="D5" s="219" t="s">
        <v>9</v>
      </c>
      <c r="E5" s="216" t="s">
        <v>65</v>
      </c>
      <c r="F5" s="216" t="s">
        <v>1506</v>
      </c>
      <c r="G5" s="219" t="s">
        <v>1</v>
      </c>
      <c r="H5" s="219" t="s">
        <v>56</v>
      </c>
      <c r="I5" s="219" t="s">
        <v>1</v>
      </c>
      <c r="J5" s="216"/>
    </row>
    <row r="6" spans="1:16383" ht="15.95">
      <c r="A6" s="411">
        <v>5</v>
      </c>
      <c r="B6" s="409" t="s">
        <v>67</v>
      </c>
      <c r="C6" s="411" t="s">
        <v>19</v>
      </c>
      <c r="D6" s="411" t="s">
        <v>1380</v>
      </c>
      <c r="E6" s="409" t="s">
        <v>69</v>
      </c>
      <c r="F6" s="412">
        <v>45871</v>
      </c>
      <c r="G6" s="411" t="s">
        <v>1</v>
      </c>
      <c r="H6" s="219" t="s">
        <v>2717</v>
      </c>
      <c r="I6" s="411" t="s">
        <v>53</v>
      </c>
      <c r="J6" s="409"/>
    </row>
    <row r="7" spans="1:16383" ht="15.95">
      <c r="A7" s="411"/>
      <c r="B7" s="409"/>
      <c r="C7" s="411"/>
      <c r="D7" s="411"/>
      <c r="E7" s="409"/>
      <c r="F7" s="412"/>
      <c r="G7" s="411"/>
      <c r="H7" s="219" t="s">
        <v>2718</v>
      </c>
      <c r="I7" s="411"/>
      <c r="J7" s="409"/>
    </row>
    <row r="8" spans="1:16383" ht="15.95">
      <c r="A8" s="219">
        <v>6</v>
      </c>
      <c r="B8" s="216" t="s">
        <v>74</v>
      </c>
      <c r="C8" s="219" t="s">
        <v>19</v>
      </c>
      <c r="D8" s="219" t="s">
        <v>76</v>
      </c>
      <c r="E8" s="216" t="s">
        <v>77</v>
      </c>
      <c r="F8" s="216" t="s">
        <v>79</v>
      </c>
      <c r="G8" s="219" t="s">
        <v>1</v>
      </c>
      <c r="H8" s="219" t="s">
        <v>80</v>
      </c>
      <c r="I8" s="219" t="s">
        <v>53</v>
      </c>
      <c r="J8" s="216"/>
    </row>
    <row r="9" spans="1:16383" ht="15.95">
      <c r="A9" s="219">
        <v>7</v>
      </c>
      <c r="B9" s="216" t="s">
        <v>81</v>
      </c>
      <c r="C9" s="219" t="s">
        <v>19</v>
      </c>
      <c r="D9" s="219" t="s">
        <v>6</v>
      </c>
      <c r="E9" s="216" t="s">
        <v>82</v>
      </c>
      <c r="F9" s="216">
        <v>100</v>
      </c>
      <c r="G9" s="219" t="s">
        <v>1</v>
      </c>
      <c r="H9" s="219" t="s">
        <v>84</v>
      </c>
      <c r="I9" s="219" t="s">
        <v>1</v>
      </c>
      <c r="J9" s="216"/>
    </row>
    <row r="10" spans="1:16383" ht="15.95">
      <c r="A10" s="219">
        <v>8</v>
      </c>
      <c r="B10" s="216" t="s">
        <v>85</v>
      </c>
      <c r="C10" s="219" t="s">
        <v>19</v>
      </c>
      <c r="D10" s="219" t="s">
        <v>11</v>
      </c>
      <c r="E10" s="216" t="s">
        <v>86</v>
      </c>
      <c r="F10" s="216">
        <v>181</v>
      </c>
      <c r="G10" s="219" t="s">
        <v>1</v>
      </c>
      <c r="H10" s="219" t="s">
        <v>84</v>
      </c>
      <c r="I10" s="219" t="s">
        <v>1</v>
      </c>
      <c r="J10" s="216"/>
    </row>
    <row r="11" spans="1:16383" ht="15.95">
      <c r="A11" s="219">
        <v>9</v>
      </c>
      <c r="B11" s="216" t="s">
        <v>88</v>
      </c>
      <c r="C11" s="219" t="s">
        <v>19</v>
      </c>
      <c r="D11" s="219" t="s">
        <v>11</v>
      </c>
      <c r="E11" s="216" t="s">
        <v>89</v>
      </c>
      <c r="F11" s="216" t="s">
        <v>796</v>
      </c>
      <c r="G11" s="219" t="s">
        <v>1</v>
      </c>
      <c r="H11" s="219" t="s">
        <v>92</v>
      </c>
      <c r="I11" s="219" t="s">
        <v>53</v>
      </c>
      <c r="J11" s="216"/>
    </row>
    <row r="12" spans="1:16383" ht="15.95">
      <c r="A12" s="411">
        <v>10</v>
      </c>
      <c r="B12" s="409" t="s">
        <v>93</v>
      </c>
      <c r="C12" s="411" t="s">
        <v>19</v>
      </c>
      <c r="D12" s="411" t="s">
        <v>11</v>
      </c>
      <c r="E12" s="409" t="s">
        <v>94</v>
      </c>
      <c r="F12" s="409" t="s">
        <v>96</v>
      </c>
      <c r="G12" s="411" t="s">
        <v>1</v>
      </c>
      <c r="H12" s="219" t="s">
        <v>2719</v>
      </c>
      <c r="I12" s="411" t="s">
        <v>1</v>
      </c>
      <c r="J12" s="409"/>
    </row>
    <row r="13" spans="1:16383" ht="15.95">
      <c r="A13" s="411"/>
      <c r="B13" s="409"/>
      <c r="C13" s="411"/>
      <c r="D13" s="411"/>
      <c r="E13" s="409"/>
      <c r="F13" s="409"/>
      <c r="G13" s="411"/>
      <c r="H13" s="219" t="s">
        <v>2720</v>
      </c>
      <c r="I13" s="411"/>
      <c r="J13" s="409"/>
    </row>
    <row r="14" spans="1:16383" ht="15.95">
      <c r="A14" s="411">
        <v>11</v>
      </c>
      <c r="B14" s="409" t="s">
        <v>98</v>
      </c>
      <c r="C14" s="411" t="s">
        <v>19</v>
      </c>
      <c r="D14" s="411" t="s">
        <v>11</v>
      </c>
      <c r="E14" s="409" t="s">
        <v>99</v>
      </c>
      <c r="F14" s="409" t="s">
        <v>101</v>
      </c>
      <c r="G14" s="411" t="s">
        <v>1</v>
      </c>
      <c r="H14" s="219" t="s">
        <v>2721</v>
      </c>
      <c r="I14" s="411" t="s">
        <v>1</v>
      </c>
      <c r="J14" s="409"/>
    </row>
    <row r="15" spans="1:16383" ht="15.95">
      <c r="A15" s="411"/>
      <c r="B15" s="409"/>
      <c r="C15" s="411"/>
      <c r="D15" s="411"/>
      <c r="E15" s="409"/>
      <c r="F15" s="409"/>
      <c r="G15" s="411"/>
      <c r="H15" s="219" t="s">
        <v>2722</v>
      </c>
      <c r="I15" s="411"/>
      <c r="J15" s="409"/>
    </row>
    <row r="16" spans="1:16383" ht="15.95">
      <c r="A16" s="219">
        <v>12</v>
      </c>
      <c r="B16" s="216" t="s">
        <v>103</v>
      </c>
      <c r="C16" s="219" t="s">
        <v>104</v>
      </c>
      <c r="D16" s="219" t="s">
        <v>11</v>
      </c>
      <c r="E16" s="216" t="s">
        <v>105</v>
      </c>
      <c r="F16" s="216" t="s">
        <v>107</v>
      </c>
      <c r="G16" s="219" t="s">
        <v>1</v>
      </c>
      <c r="H16" s="219" t="s">
        <v>92</v>
      </c>
      <c r="I16" s="219" t="s">
        <v>1</v>
      </c>
      <c r="J16" s="216"/>
    </row>
    <row r="17" spans="1:10" ht="15.95">
      <c r="A17" s="219">
        <v>13</v>
      </c>
      <c r="B17" s="216" t="s">
        <v>108</v>
      </c>
      <c r="C17" s="219" t="s">
        <v>19</v>
      </c>
      <c r="D17" s="219" t="s">
        <v>6</v>
      </c>
      <c r="E17" s="216" t="s">
        <v>109</v>
      </c>
      <c r="F17" s="216">
        <v>5770</v>
      </c>
      <c r="G17" s="219" t="s">
        <v>1</v>
      </c>
      <c r="H17" s="219" t="s">
        <v>551</v>
      </c>
      <c r="I17" s="219" t="s">
        <v>53</v>
      </c>
      <c r="J17" s="216" t="s">
        <v>799</v>
      </c>
    </row>
    <row r="18" spans="1:10" ht="15.95">
      <c r="A18" s="219">
        <v>14</v>
      </c>
      <c r="B18" s="216" t="s">
        <v>113</v>
      </c>
      <c r="C18" s="219" t="s">
        <v>19</v>
      </c>
      <c r="D18" s="219" t="s">
        <v>6</v>
      </c>
      <c r="E18" s="216" t="s">
        <v>114</v>
      </c>
      <c r="F18" s="216">
        <v>5772</v>
      </c>
      <c r="G18" s="219" t="s">
        <v>1</v>
      </c>
      <c r="H18" s="219" t="s">
        <v>551</v>
      </c>
      <c r="I18" s="219" t="s">
        <v>53</v>
      </c>
      <c r="J18" s="216" t="s">
        <v>799</v>
      </c>
    </row>
    <row r="19" spans="1:10" ht="15.95">
      <c r="A19" s="219">
        <v>15</v>
      </c>
      <c r="B19" s="216" t="s">
        <v>118</v>
      </c>
      <c r="C19" s="219" t="s">
        <v>19</v>
      </c>
      <c r="D19" s="219" t="s">
        <v>1380</v>
      </c>
      <c r="E19" s="216" t="s">
        <v>2452</v>
      </c>
      <c r="F19" s="224">
        <v>45870.988194444442</v>
      </c>
      <c r="G19" s="219" t="s">
        <v>1</v>
      </c>
      <c r="H19" s="219" t="s">
        <v>56</v>
      </c>
      <c r="I19" s="219" t="s">
        <v>53</v>
      </c>
      <c r="J19" s="216"/>
    </row>
    <row r="20" spans="1:10" ht="15.95">
      <c r="A20" s="219">
        <v>16</v>
      </c>
      <c r="B20" s="216" t="s">
        <v>122</v>
      </c>
      <c r="C20" s="219" t="s">
        <v>19</v>
      </c>
      <c r="D20" s="219" t="s">
        <v>1380</v>
      </c>
      <c r="E20" s="216" t="s">
        <v>2453</v>
      </c>
      <c r="F20" s="224">
        <v>45870.900694444441</v>
      </c>
      <c r="G20" s="219" t="s">
        <v>1</v>
      </c>
      <c r="H20" s="219" t="s">
        <v>56</v>
      </c>
      <c r="I20" s="219" t="s">
        <v>1</v>
      </c>
      <c r="J20" s="216"/>
    </row>
    <row r="21" spans="1:10" ht="15.95">
      <c r="A21" s="411">
        <v>17</v>
      </c>
      <c r="B21" s="409" t="s">
        <v>125</v>
      </c>
      <c r="C21" s="411" t="s">
        <v>19</v>
      </c>
      <c r="D21" s="411" t="s">
        <v>680</v>
      </c>
      <c r="E21" s="409" t="s">
        <v>126</v>
      </c>
      <c r="F21" s="409">
        <v>942442</v>
      </c>
      <c r="G21" s="411" t="s">
        <v>1</v>
      </c>
      <c r="H21" s="219" t="s">
        <v>2723</v>
      </c>
      <c r="I21" s="411" t="s">
        <v>53</v>
      </c>
      <c r="J21" s="409"/>
    </row>
    <row r="22" spans="1:10" ht="15.95">
      <c r="A22" s="411"/>
      <c r="B22" s="409"/>
      <c r="C22" s="411"/>
      <c r="D22" s="411"/>
      <c r="E22" s="409"/>
      <c r="F22" s="409"/>
      <c r="G22" s="411"/>
      <c r="H22" s="219" t="s">
        <v>2724</v>
      </c>
      <c r="I22" s="411"/>
      <c r="J22" s="409"/>
    </row>
    <row r="23" spans="1:10" ht="15.95">
      <c r="A23" s="219">
        <v>18</v>
      </c>
      <c r="B23" s="216" t="s">
        <v>129</v>
      </c>
      <c r="C23" s="219" t="s">
        <v>19</v>
      </c>
      <c r="D23" s="219" t="s">
        <v>8</v>
      </c>
      <c r="E23" s="216" t="s">
        <v>130</v>
      </c>
      <c r="F23" s="216">
        <v>7.9859999999999998</v>
      </c>
      <c r="G23" s="219" t="s">
        <v>1</v>
      </c>
      <c r="H23" s="219" t="s">
        <v>133</v>
      </c>
      <c r="I23" s="219" t="s">
        <v>1</v>
      </c>
      <c r="J23" s="216" t="s">
        <v>802</v>
      </c>
    </row>
    <row r="24" spans="1:10" ht="15.95">
      <c r="A24" s="219">
        <v>19</v>
      </c>
      <c r="B24" s="216" t="s">
        <v>134</v>
      </c>
      <c r="C24" s="219" t="s">
        <v>19</v>
      </c>
      <c r="D24" s="219" t="s">
        <v>8</v>
      </c>
      <c r="E24" s="216" t="s">
        <v>135</v>
      </c>
      <c r="F24" s="216">
        <v>16043.874</v>
      </c>
      <c r="G24" s="219" t="s">
        <v>1</v>
      </c>
      <c r="H24" s="219" t="s">
        <v>138</v>
      </c>
      <c r="I24" s="219">
        <v>0</v>
      </c>
      <c r="J24" s="216"/>
    </row>
    <row r="25" spans="1:10" ht="15.95">
      <c r="A25" s="219">
        <v>20</v>
      </c>
      <c r="B25" s="216" t="s">
        <v>150</v>
      </c>
      <c r="C25" s="219" t="s">
        <v>19</v>
      </c>
      <c r="D25" s="219" t="s">
        <v>13</v>
      </c>
      <c r="E25" s="216" t="s">
        <v>151</v>
      </c>
      <c r="F25" s="216">
        <v>424</v>
      </c>
      <c r="G25" s="219" t="s">
        <v>1</v>
      </c>
      <c r="H25" s="219" t="s">
        <v>154</v>
      </c>
      <c r="I25" s="219" t="s">
        <v>1</v>
      </c>
      <c r="J25" s="216"/>
    </row>
    <row r="26" spans="1:10" ht="15.95">
      <c r="A26" s="411">
        <v>20</v>
      </c>
      <c r="B26" s="409" t="s">
        <v>155</v>
      </c>
      <c r="C26" s="411" t="s">
        <v>19</v>
      </c>
      <c r="D26" s="411" t="s">
        <v>13</v>
      </c>
      <c r="E26" s="409" t="s">
        <v>156</v>
      </c>
      <c r="F26" s="409">
        <v>1598.45</v>
      </c>
      <c r="G26" s="411" t="s">
        <v>1</v>
      </c>
      <c r="H26" s="219" t="s">
        <v>154</v>
      </c>
      <c r="I26" s="411" t="s">
        <v>1</v>
      </c>
      <c r="J26" s="409"/>
    </row>
    <row r="27" spans="1:10" ht="15.95">
      <c r="A27" s="411"/>
      <c r="B27" s="409"/>
      <c r="C27" s="411"/>
      <c r="D27" s="411"/>
      <c r="E27" s="409"/>
      <c r="F27" s="409"/>
      <c r="G27" s="411"/>
      <c r="H27" s="219" t="s">
        <v>144</v>
      </c>
      <c r="I27" s="411"/>
      <c r="J27" s="409"/>
    </row>
    <row r="28" spans="1:10" ht="15.95">
      <c r="A28" s="411">
        <v>21</v>
      </c>
      <c r="B28" s="409" t="s">
        <v>160</v>
      </c>
      <c r="C28" s="411" t="s">
        <v>19</v>
      </c>
      <c r="D28" s="411" t="s">
        <v>9</v>
      </c>
      <c r="E28" s="409" t="s">
        <v>161</v>
      </c>
      <c r="F28" s="409">
        <v>2</v>
      </c>
      <c r="G28" s="411" t="s">
        <v>1</v>
      </c>
      <c r="H28" s="219" t="s">
        <v>133</v>
      </c>
      <c r="I28" s="411" t="s">
        <v>1</v>
      </c>
      <c r="J28" s="409"/>
    </row>
    <row r="29" spans="1:10" ht="15.95">
      <c r="A29" s="411"/>
      <c r="B29" s="409"/>
      <c r="C29" s="411"/>
      <c r="D29" s="411"/>
      <c r="E29" s="409"/>
      <c r="F29" s="409"/>
      <c r="G29" s="411"/>
      <c r="H29" s="219" t="s">
        <v>2725</v>
      </c>
      <c r="I29" s="411"/>
      <c r="J29" s="409"/>
    </row>
    <row r="30" spans="1:10" ht="15.95">
      <c r="A30" s="411"/>
      <c r="B30" s="409"/>
      <c r="C30" s="411"/>
      <c r="D30" s="411"/>
      <c r="E30" s="409"/>
      <c r="F30" s="409"/>
      <c r="G30" s="411"/>
      <c r="H30" s="219" t="s">
        <v>634</v>
      </c>
      <c r="I30" s="411"/>
      <c r="J30" s="409"/>
    </row>
    <row r="31" spans="1:10" ht="15.95">
      <c r="A31" s="411"/>
      <c r="B31" s="409"/>
      <c r="C31" s="411"/>
      <c r="D31" s="411"/>
      <c r="E31" s="409"/>
      <c r="F31" s="409"/>
      <c r="G31" s="411"/>
      <c r="H31" s="219" t="s">
        <v>638</v>
      </c>
      <c r="I31" s="411"/>
      <c r="J31" s="409"/>
    </row>
    <row r="32" spans="1:10" ht="15.95">
      <c r="A32" s="219">
        <v>22</v>
      </c>
      <c r="B32" s="216" t="s">
        <v>165</v>
      </c>
      <c r="C32" s="219" t="s">
        <v>19</v>
      </c>
      <c r="D32" s="219" t="s">
        <v>9</v>
      </c>
      <c r="E32" s="216" t="s">
        <v>166</v>
      </c>
      <c r="F32" s="216">
        <v>6.02</v>
      </c>
      <c r="G32" s="219" t="s">
        <v>1</v>
      </c>
      <c r="H32" s="219" t="s">
        <v>168</v>
      </c>
      <c r="I32" s="219" t="s">
        <v>1</v>
      </c>
      <c r="J32" s="216"/>
    </row>
    <row r="33" spans="1:10" ht="15.95">
      <c r="A33" s="219">
        <v>23</v>
      </c>
      <c r="B33" s="216" t="s">
        <v>169</v>
      </c>
      <c r="C33" s="219" t="s">
        <v>19</v>
      </c>
      <c r="D33" s="219" t="s">
        <v>8</v>
      </c>
      <c r="E33" s="216" t="s">
        <v>170</v>
      </c>
      <c r="F33" s="216">
        <v>167.70599999999999</v>
      </c>
      <c r="G33" s="219" t="s">
        <v>1</v>
      </c>
      <c r="H33" s="219" t="s">
        <v>133</v>
      </c>
      <c r="I33" s="219" t="s">
        <v>1</v>
      </c>
      <c r="J33" s="216"/>
    </row>
    <row r="34" spans="1:10" ht="15.95">
      <c r="A34" s="411">
        <v>24</v>
      </c>
      <c r="B34" s="409" t="s">
        <v>173</v>
      </c>
      <c r="C34" s="411" t="s">
        <v>19</v>
      </c>
      <c r="D34" s="411" t="s">
        <v>10</v>
      </c>
      <c r="E34" s="409" t="s">
        <v>174</v>
      </c>
      <c r="F34" s="409">
        <v>9379.1579999999994</v>
      </c>
      <c r="G34" s="411" t="s">
        <v>1</v>
      </c>
      <c r="H34" s="219" t="s">
        <v>154</v>
      </c>
      <c r="I34" s="411" t="s">
        <v>1</v>
      </c>
      <c r="J34" s="409"/>
    </row>
    <row r="35" spans="1:10" ht="15.95">
      <c r="A35" s="411"/>
      <c r="B35" s="409"/>
      <c r="C35" s="411"/>
      <c r="D35" s="411"/>
      <c r="E35" s="409"/>
      <c r="F35" s="409"/>
      <c r="G35" s="411"/>
      <c r="H35" s="219" t="s">
        <v>144</v>
      </c>
      <c r="I35" s="411"/>
      <c r="J35" s="409"/>
    </row>
    <row r="36" spans="1:10" ht="15.95">
      <c r="A36" s="411"/>
      <c r="B36" s="409"/>
      <c r="C36" s="411"/>
      <c r="D36" s="411"/>
      <c r="E36" s="409"/>
      <c r="F36" s="409"/>
      <c r="G36" s="411"/>
      <c r="H36" s="219" t="s">
        <v>2726</v>
      </c>
      <c r="I36" s="411"/>
      <c r="J36" s="409"/>
    </row>
    <row r="37" spans="1:10" ht="15.95">
      <c r="A37" s="219">
        <v>25</v>
      </c>
      <c r="B37" s="216" t="s">
        <v>178</v>
      </c>
      <c r="C37" s="219" t="s">
        <v>19</v>
      </c>
      <c r="D37" s="219" t="s">
        <v>10</v>
      </c>
      <c r="E37" s="216" t="s">
        <v>180</v>
      </c>
      <c r="F37" s="216">
        <v>25423.031999999999</v>
      </c>
      <c r="G37" s="219" t="s">
        <v>1</v>
      </c>
      <c r="H37" s="219" t="s">
        <v>183</v>
      </c>
      <c r="I37" s="219" t="s">
        <v>1</v>
      </c>
      <c r="J37" s="216"/>
    </row>
    <row r="38" spans="1:10" ht="15.95">
      <c r="A38" s="411">
        <v>26</v>
      </c>
      <c r="B38" s="409" t="s">
        <v>184</v>
      </c>
      <c r="C38" s="411" t="s">
        <v>19</v>
      </c>
      <c r="D38" s="411" t="s">
        <v>8</v>
      </c>
      <c r="E38" s="409" t="s">
        <v>185</v>
      </c>
      <c r="F38" s="409">
        <v>0</v>
      </c>
      <c r="G38" s="411" t="s">
        <v>1</v>
      </c>
      <c r="H38" s="219" t="s">
        <v>154</v>
      </c>
      <c r="I38" s="411" t="s">
        <v>1</v>
      </c>
      <c r="J38" s="409" t="s">
        <v>804</v>
      </c>
    </row>
    <row r="39" spans="1:10" ht="15.95">
      <c r="A39" s="411"/>
      <c r="B39" s="409"/>
      <c r="C39" s="411"/>
      <c r="D39" s="411"/>
      <c r="E39" s="409"/>
      <c r="F39" s="409"/>
      <c r="G39" s="411"/>
      <c r="H39" s="219" t="s">
        <v>144</v>
      </c>
      <c r="I39" s="411"/>
      <c r="J39" s="409"/>
    </row>
    <row r="40" spans="1:10" ht="15.95">
      <c r="A40" s="411"/>
      <c r="B40" s="409"/>
      <c r="C40" s="411"/>
      <c r="D40" s="411"/>
      <c r="E40" s="409"/>
      <c r="F40" s="409"/>
      <c r="G40" s="411"/>
      <c r="H40" s="219" t="s">
        <v>2726</v>
      </c>
      <c r="I40" s="411"/>
      <c r="J40" s="409"/>
    </row>
    <row r="41" spans="1:10" ht="15.95">
      <c r="A41" s="411">
        <v>27</v>
      </c>
      <c r="B41" s="409" t="s">
        <v>187</v>
      </c>
      <c r="C41" s="411" t="s">
        <v>19</v>
      </c>
      <c r="D41" s="411" t="s">
        <v>8</v>
      </c>
      <c r="E41" s="409" t="s">
        <v>188</v>
      </c>
      <c r="F41" s="409">
        <v>3386.0639999999999</v>
      </c>
      <c r="G41" s="411" t="s">
        <v>1</v>
      </c>
      <c r="H41" s="219" t="s">
        <v>154</v>
      </c>
      <c r="I41" s="411" t="s">
        <v>1</v>
      </c>
      <c r="J41" s="409"/>
    </row>
    <row r="42" spans="1:10" ht="15.95">
      <c r="A42" s="411"/>
      <c r="B42" s="409"/>
      <c r="C42" s="411"/>
      <c r="D42" s="411"/>
      <c r="E42" s="409"/>
      <c r="F42" s="409"/>
      <c r="G42" s="411"/>
      <c r="H42" s="219" t="s">
        <v>144</v>
      </c>
      <c r="I42" s="411"/>
      <c r="J42" s="409"/>
    </row>
    <row r="43" spans="1:10" ht="15.95">
      <c r="A43" s="411"/>
      <c r="B43" s="409"/>
      <c r="C43" s="411"/>
      <c r="D43" s="411"/>
      <c r="E43" s="409"/>
      <c r="F43" s="409"/>
      <c r="G43" s="411"/>
      <c r="H43" s="219" t="s">
        <v>2726</v>
      </c>
      <c r="I43" s="411"/>
      <c r="J43" s="409"/>
    </row>
    <row r="44" spans="1:10" ht="15.95">
      <c r="A44" s="411">
        <v>28</v>
      </c>
      <c r="B44" s="409" t="s">
        <v>191</v>
      </c>
      <c r="C44" s="411" t="s">
        <v>19</v>
      </c>
      <c r="D44" s="411" t="s">
        <v>8</v>
      </c>
      <c r="E44" s="409" t="s">
        <v>192</v>
      </c>
      <c r="F44" s="409">
        <v>167.70599999999999</v>
      </c>
      <c r="G44" s="411" t="s">
        <v>1</v>
      </c>
      <c r="H44" s="219" t="s">
        <v>2727</v>
      </c>
      <c r="I44" s="411" t="s">
        <v>1</v>
      </c>
      <c r="J44" s="409"/>
    </row>
    <row r="45" spans="1:10" ht="15.95">
      <c r="A45" s="411"/>
      <c r="B45" s="409"/>
      <c r="C45" s="411"/>
      <c r="D45" s="411"/>
      <c r="E45" s="409"/>
      <c r="F45" s="409"/>
      <c r="G45" s="411"/>
      <c r="H45" s="219" t="s">
        <v>138</v>
      </c>
      <c r="I45" s="411"/>
      <c r="J45" s="409"/>
    </row>
    <row r="46" spans="1:10" ht="15.95">
      <c r="A46" s="411"/>
      <c r="B46" s="409"/>
      <c r="C46" s="411"/>
      <c r="D46" s="411"/>
      <c r="E46" s="409"/>
      <c r="F46" s="409"/>
      <c r="G46" s="411"/>
      <c r="H46" s="219" t="s">
        <v>2726</v>
      </c>
      <c r="I46" s="411"/>
      <c r="J46" s="409"/>
    </row>
    <row r="47" spans="1:10" ht="15.95">
      <c r="A47" s="411">
        <v>29</v>
      </c>
      <c r="B47" s="409" t="s">
        <v>196</v>
      </c>
      <c r="C47" s="411" t="s">
        <v>19</v>
      </c>
      <c r="D47" s="411" t="s">
        <v>8</v>
      </c>
      <c r="E47" s="409" t="s">
        <v>197</v>
      </c>
      <c r="F47" s="409">
        <v>0</v>
      </c>
      <c r="G47" s="411" t="s">
        <v>1</v>
      </c>
      <c r="H47" s="219" t="s">
        <v>2727</v>
      </c>
      <c r="I47" s="411" t="s">
        <v>1</v>
      </c>
      <c r="J47" s="409"/>
    </row>
    <row r="48" spans="1:10" ht="15.95">
      <c r="A48" s="411"/>
      <c r="B48" s="409"/>
      <c r="C48" s="411"/>
      <c r="D48" s="411"/>
      <c r="E48" s="409"/>
      <c r="F48" s="409"/>
      <c r="G48" s="411"/>
      <c r="H48" s="219" t="s">
        <v>138</v>
      </c>
      <c r="I48" s="411"/>
      <c r="J48" s="409"/>
    </row>
    <row r="49" spans="1:10" ht="15.95">
      <c r="A49" s="411"/>
      <c r="B49" s="409"/>
      <c r="C49" s="411"/>
      <c r="D49" s="411"/>
      <c r="E49" s="409"/>
      <c r="F49" s="409"/>
      <c r="G49" s="411"/>
      <c r="H49" s="219" t="s">
        <v>2726</v>
      </c>
      <c r="I49" s="411"/>
      <c r="J49" s="409"/>
    </row>
    <row r="50" spans="1:10" ht="15.95">
      <c r="A50" s="411">
        <v>30</v>
      </c>
      <c r="B50" s="409" t="s">
        <v>200</v>
      </c>
      <c r="C50" s="411" t="s">
        <v>19</v>
      </c>
      <c r="D50" s="411" t="s">
        <v>8</v>
      </c>
      <c r="E50" s="409" t="s">
        <v>201</v>
      </c>
      <c r="F50" s="409">
        <v>15.972</v>
      </c>
      <c r="G50" s="411" t="s">
        <v>1</v>
      </c>
      <c r="H50" s="219" t="s">
        <v>133</v>
      </c>
      <c r="I50" s="411" t="s">
        <v>1</v>
      </c>
      <c r="J50" s="409" t="s">
        <v>804</v>
      </c>
    </row>
    <row r="51" spans="1:10" ht="15.95">
      <c r="A51" s="411"/>
      <c r="B51" s="409"/>
      <c r="C51" s="411"/>
      <c r="D51" s="411"/>
      <c r="E51" s="409"/>
      <c r="F51" s="409"/>
      <c r="G51" s="411"/>
      <c r="H51" s="219" t="s">
        <v>2728</v>
      </c>
      <c r="I51" s="411"/>
      <c r="J51" s="409"/>
    </row>
    <row r="52" spans="1:10" ht="15.95">
      <c r="A52" s="411">
        <v>31</v>
      </c>
      <c r="B52" s="409" t="s">
        <v>205</v>
      </c>
      <c r="C52" s="411" t="s">
        <v>19</v>
      </c>
      <c r="D52" s="411" t="s">
        <v>8</v>
      </c>
      <c r="E52" s="409" t="s">
        <v>206</v>
      </c>
      <c r="F52" s="409">
        <v>0</v>
      </c>
      <c r="G52" s="411" t="s">
        <v>1</v>
      </c>
      <c r="H52" s="219" t="s">
        <v>133</v>
      </c>
      <c r="I52" s="411" t="s">
        <v>1</v>
      </c>
      <c r="J52" s="409" t="s">
        <v>804</v>
      </c>
    </row>
    <row r="53" spans="1:10" ht="15.95">
      <c r="A53" s="411"/>
      <c r="B53" s="409"/>
      <c r="C53" s="411"/>
      <c r="D53" s="411"/>
      <c r="E53" s="409"/>
      <c r="F53" s="409"/>
      <c r="G53" s="411"/>
      <c r="H53" s="219" t="s">
        <v>2728</v>
      </c>
      <c r="I53" s="411"/>
      <c r="J53" s="409"/>
    </row>
    <row r="54" spans="1:10" ht="15.95">
      <c r="A54" s="411">
        <v>32</v>
      </c>
      <c r="B54" s="409" t="s">
        <v>209</v>
      </c>
      <c r="C54" s="411" t="s">
        <v>19</v>
      </c>
      <c r="D54" s="411" t="s">
        <v>8</v>
      </c>
      <c r="E54" s="409" t="s">
        <v>210</v>
      </c>
      <c r="F54" s="409">
        <v>0</v>
      </c>
      <c r="G54" s="411" t="s">
        <v>1</v>
      </c>
      <c r="H54" s="219" t="s">
        <v>133</v>
      </c>
      <c r="I54" s="411" t="s">
        <v>1</v>
      </c>
      <c r="J54" s="409"/>
    </row>
    <row r="55" spans="1:10" ht="15.95">
      <c r="A55" s="411"/>
      <c r="B55" s="409"/>
      <c r="C55" s="411"/>
      <c r="D55" s="411"/>
      <c r="E55" s="409"/>
      <c r="F55" s="409"/>
      <c r="G55" s="411"/>
      <c r="H55" s="219" t="s">
        <v>2728</v>
      </c>
      <c r="I55" s="411"/>
      <c r="J55" s="409"/>
    </row>
    <row r="56" spans="1:10" ht="15.95">
      <c r="A56" s="411">
        <v>33</v>
      </c>
      <c r="B56" s="409" t="s">
        <v>213</v>
      </c>
      <c r="C56" s="411" t="s">
        <v>19</v>
      </c>
      <c r="D56" s="411" t="s">
        <v>8</v>
      </c>
      <c r="E56" s="409" t="s">
        <v>214</v>
      </c>
      <c r="F56" s="409">
        <v>0</v>
      </c>
      <c r="G56" s="411" t="s">
        <v>1</v>
      </c>
      <c r="H56" s="219" t="s">
        <v>2727</v>
      </c>
      <c r="I56" s="411" t="s">
        <v>1</v>
      </c>
      <c r="J56" s="409"/>
    </row>
    <row r="57" spans="1:10" ht="15.95">
      <c r="A57" s="411"/>
      <c r="B57" s="409"/>
      <c r="C57" s="411"/>
      <c r="D57" s="411"/>
      <c r="E57" s="409"/>
      <c r="F57" s="409"/>
      <c r="G57" s="411"/>
      <c r="H57" s="219" t="s">
        <v>133</v>
      </c>
      <c r="I57" s="411"/>
      <c r="J57" s="409"/>
    </row>
    <row r="58" spans="1:10" ht="15.95">
      <c r="A58" s="411"/>
      <c r="B58" s="409"/>
      <c r="C58" s="411"/>
      <c r="D58" s="411"/>
      <c r="E58" s="409"/>
      <c r="F58" s="409"/>
      <c r="G58" s="411"/>
      <c r="H58" s="219" t="s">
        <v>2729</v>
      </c>
      <c r="I58" s="411"/>
      <c r="J58" s="409"/>
    </row>
    <row r="59" spans="1:10" ht="15.95">
      <c r="A59" s="411"/>
      <c r="B59" s="409"/>
      <c r="C59" s="411"/>
      <c r="D59" s="411"/>
      <c r="E59" s="409"/>
      <c r="F59" s="409"/>
      <c r="G59" s="411"/>
      <c r="H59" s="219" t="s">
        <v>2730</v>
      </c>
      <c r="I59" s="411"/>
      <c r="J59" s="409"/>
    </row>
    <row r="60" spans="1:10" ht="15.95">
      <c r="A60" s="411"/>
      <c r="B60" s="409"/>
      <c r="C60" s="411"/>
      <c r="D60" s="411"/>
      <c r="E60" s="409"/>
      <c r="F60" s="409"/>
      <c r="G60" s="411"/>
      <c r="H60" s="219" t="s">
        <v>2728</v>
      </c>
      <c r="I60" s="411"/>
      <c r="J60" s="409"/>
    </row>
    <row r="61" spans="1:10" ht="15.95">
      <c r="A61" s="411"/>
      <c r="B61" s="409"/>
      <c r="C61" s="411"/>
      <c r="D61" s="411"/>
      <c r="E61" s="409"/>
      <c r="F61" s="409"/>
      <c r="G61" s="411"/>
      <c r="H61" s="219" t="s">
        <v>2731</v>
      </c>
      <c r="I61" s="411"/>
      <c r="J61" s="409"/>
    </row>
    <row r="62" spans="1:10" ht="15.95">
      <c r="A62" s="411"/>
      <c r="B62" s="409"/>
      <c r="C62" s="411"/>
      <c r="D62" s="411"/>
      <c r="E62" s="409"/>
      <c r="F62" s="409"/>
      <c r="G62" s="411"/>
      <c r="H62" s="219" t="s">
        <v>2732</v>
      </c>
      <c r="I62" s="411"/>
      <c r="J62" s="409"/>
    </row>
    <row r="63" spans="1:10" ht="15.95">
      <c r="A63" s="411">
        <v>34</v>
      </c>
      <c r="B63" s="409" t="s">
        <v>218</v>
      </c>
      <c r="C63" s="411" t="s">
        <v>19</v>
      </c>
      <c r="D63" s="411" t="s">
        <v>8</v>
      </c>
      <c r="E63" s="409" t="s">
        <v>220</v>
      </c>
      <c r="F63" s="409">
        <v>0</v>
      </c>
      <c r="G63" s="411" t="s">
        <v>1</v>
      </c>
      <c r="H63" s="219" t="s">
        <v>2727</v>
      </c>
      <c r="I63" s="411" t="s">
        <v>1</v>
      </c>
      <c r="J63" s="409"/>
    </row>
    <row r="64" spans="1:10" ht="15.95">
      <c r="A64" s="411"/>
      <c r="B64" s="409"/>
      <c r="C64" s="411"/>
      <c r="D64" s="411"/>
      <c r="E64" s="409"/>
      <c r="F64" s="409"/>
      <c r="G64" s="411"/>
      <c r="H64" s="219" t="s">
        <v>133</v>
      </c>
      <c r="I64" s="411"/>
      <c r="J64" s="409"/>
    </row>
    <row r="65" spans="1:10" ht="15.95">
      <c r="A65" s="411"/>
      <c r="B65" s="409"/>
      <c r="C65" s="411"/>
      <c r="D65" s="411"/>
      <c r="E65" s="409"/>
      <c r="F65" s="409"/>
      <c r="G65" s="411"/>
      <c r="H65" s="219" t="s">
        <v>2728</v>
      </c>
      <c r="I65" s="411"/>
      <c r="J65" s="409"/>
    </row>
    <row r="66" spans="1:10" ht="15.95">
      <c r="A66" s="411">
        <v>35</v>
      </c>
      <c r="B66" s="409" t="s">
        <v>223</v>
      </c>
      <c r="C66" s="411" t="s">
        <v>19</v>
      </c>
      <c r="D66" s="411" t="s">
        <v>8</v>
      </c>
      <c r="E66" s="409" t="s">
        <v>224</v>
      </c>
      <c r="F66" s="409">
        <v>69478.2</v>
      </c>
      <c r="G66" s="411" t="s">
        <v>1</v>
      </c>
      <c r="H66" s="219" t="s">
        <v>739</v>
      </c>
      <c r="I66" s="411" t="s">
        <v>1</v>
      </c>
      <c r="J66" s="409"/>
    </row>
    <row r="67" spans="1:10" ht="15.95">
      <c r="A67" s="411"/>
      <c r="B67" s="409"/>
      <c r="C67" s="411"/>
      <c r="D67" s="411"/>
      <c r="E67" s="409"/>
      <c r="F67" s="409"/>
      <c r="G67" s="411"/>
      <c r="H67" s="219" t="s">
        <v>133</v>
      </c>
      <c r="I67" s="411"/>
      <c r="J67" s="409"/>
    </row>
    <row r="68" spans="1:10" ht="15.95">
      <c r="A68" s="411"/>
      <c r="B68" s="409"/>
      <c r="C68" s="411"/>
      <c r="D68" s="411"/>
      <c r="E68" s="409"/>
      <c r="F68" s="409"/>
      <c r="G68" s="411"/>
      <c r="H68" s="219" t="s">
        <v>2728</v>
      </c>
      <c r="I68" s="411"/>
      <c r="J68" s="409"/>
    </row>
    <row r="69" spans="1:10" ht="15.95">
      <c r="A69" s="411">
        <v>36</v>
      </c>
      <c r="B69" s="409" t="s">
        <v>228</v>
      </c>
      <c r="C69" s="411" t="s">
        <v>19</v>
      </c>
      <c r="D69" s="411" t="s">
        <v>8</v>
      </c>
      <c r="E69" s="409" t="s">
        <v>229</v>
      </c>
      <c r="F69" s="409">
        <v>0</v>
      </c>
      <c r="G69" s="411" t="s">
        <v>1</v>
      </c>
      <c r="H69" s="219" t="s">
        <v>739</v>
      </c>
      <c r="I69" s="411" t="s">
        <v>1</v>
      </c>
      <c r="J69" s="409"/>
    </row>
    <row r="70" spans="1:10" ht="15.95">
      <c r="A70" s="411"/>
      <c r="B70" s="409"/>
      <c r="C70" s="411"/>
      <c r="D70" s="411"/>
      <c r="E70" s="409"/>
      <c r="F70" s="409"/>
      <c r="G70" s="411"/>
      <c r="H70" s="219" t="s">
        <v>133</v>
      </c>
      <c r="I70" s="411"/>
      <c r="J70" s="409"/>
    </row>
    <row r="71" spans="1:10" ht="15.95">
      <c r="A71" s="411"/>
      <c r="B71" s="409"/>
      <c r="C71" s="411"/>
      <c r="D71" s="411"/>
      <c r="E71" s="409"/>
      <c r="F71" s="409"/>
      <c r="G71" s="411"/>
      <c r="H71" s="219" t="s">
        <v>2728</v>
      </c>
      <c r="I71" s="411"/>
      <c r="J71" s="409"/>
    </row>
    <row r="72" spans="1:10" ht="15.95">
      <c r="A72" s="411">
        <v>37</v>
      </c>
      <c r="B72" s="409" t="s">
        <v>231</v>
      </c>
      <c r="C72" s="411" t="s">
        <v>19</v>
      </c>
      <c r="D72" s="411" t="s">
        <v>8</v>
      </c>
      <c r="E72" s="409" t="s">
        <v>233</v>
      </c>
      <c r="F72" s="409">
        <v>1224.52</v>
      </c>
      <c r="G72" s="411" t="s">
        <v>1</v>
      </c>
      <c r="H72" s="219" t="s">
        <v>242</v>
      </c>
      <c r="I72" s="411" t="s">
        <v>1</v>
      </c>
      <c r="J72" s="409"/>
    </row>
    <row r="73" spans="1:10" ht="15.95">
      <c r="A73" s="411"/>
      <c r="B73" s="409"/>
      <c r="C73" s="411"/>
      <c r="D73" s="411"/>
      <c r="E73" s="409"/>
      <c r="F73" s="409"/>
      <c r="G73" s="411"/>
      <c r="H73" s="219" t="s">
        <v>133</v>
      </c>
      <c r="I73" s="411"/>
      <c r="J73" s="409"/>
    </row>
    <row r="74" spans="1:10" ht="15.95">
      <c r="A74" s="411"/>
      <c r="B74" s="409"/>
      <c r="C74" s="411"/>
      <c r="D74" s="411"/>
      <c r="E74" s="409"/>
      <c r="F74" s="409"/>
      <c r="G74" s="411"/>
      <c r="H74" s="219" t="s">
        <v>2728</v>
      </c>
      <c r="I74" s="411"/>
      <c r="J74" s="409"/>
    </row>
    <row r="75" spans="1:10" ht="15.95">
      <c r="A75" s="411">
        <v>38</v>
      </c>
      <c r="B75" s="409" t="s">
        <v>236</v>
      </c>
      <c r="C75" s="411" t="s">
        <v>19</v>
      </c>
      <c r="D75" s="411" t="s">
        <v>8</v>
      </c>
      <c r="E75" s="409" t="s">
        <v>237</v>
      </c>
      <c r="F75" s="409">
        <v>0</v>
      </c>
      <c r="G75" s="411" t="s">
        <v>1</v>
      </c>
      <c r="H75" s="219" t="s">
        <v>242</v>
      </c>
      <c r="I75" s="411" t="s">
        <v>1</v>
      </c>
      <c r="J75" s="409"/>
    </row>
    <row r="76" spans="1:10" ht="15.95">
      <c r="A76" s="411"/>
      <c r="B76" s="409"/>
      <c r="C76" s="411"/>
      <c r="D76" s="411"/>
      <c r="E76" s="409"/>
      <c r="F76" s="409"/>
      <c r="G76" s="411"/>
      <c r="H76" s="219" t="s">
        <v>133</v>
      </c>
      <c r="I76" s="411"/>
      <c r="J76" s="409"/>
    </row>
    <row r="77" spans="1:10" ht="15.95">
      <c r="A77" s="411"/>
      <c r="B77" s="409"/>
      <c r="C77" s="411"/>
      <c r="D77" s="411"/>
      <c r="E77" s="409"/>
      <c r="F77" s="409"/>
      <c r="G77" s="411"/>
      <c r="H77" s="219" t="s">
        <v>2728</v>
      </c>
      <c r="I77" s="411"/>
      <c r="J77" s="409"/>
    </row>
    <row r="78" spans="1:10" ht="15.95">
      <c r="A78" s="219">
        <v>39</v>
      </c>
      <c r="B78" s="216" t="s">
        <v>239</v>
      </c>
      <c r="C78" s="219" t="s">
        <v>19</v>
      </c>
      <c r="D78" s="219" t="s">
        <v>8</v>
      </c>
      <c r="E78" s="216" t="s">
        <v>240</v>
      </c>
      <c r="F78" s="216">
        <v>28790.861000000001</v>
      </c>
      <c r="G78" s="219" t="s">
        <v>1</v>
      </c>
      <c r="H78" s="219" t="s">
        <v>242</v>
      </c>
      <c r="I78" s="219" t="s">
        <v>1</v>
      </c>
      <c r="J78" s="216"/>
    </row>
    <row r="79" spans="1:10" ht="15.95">
      <c r="A79" s="219">
        <v>40</v>
      </c>
      <c r="B79" s="216" t="s">
        <v>243</v>
      </c>
      <c r="C79" s="219" t="s">
        <v>19</v>
      </c>
      <c r="D79" s="219" t="s">
        <v>8</v>
      </c>
      <c r="E79" s="216" t="s">
        <v>244</v>
      </c>
      <c r="F79" s="216">
        <v>30015.381000000001</v>
      </c>
      <c r="G79" s="219" t="s">
        <v>1</v>
      </c>
      <c r="H79" s="219" t="s">
        <v>242</v>
      </c>
      <c r="I79" s="219" t="s">
        <v>1</v>
      </c>
      <c r="J79" s="216"/>
    </row>
    <row r="80" spans="1:10" ht="15.95">
      <c r="A80" s="219">
        <v>41</v>
      </c>
      <c r="B80" s="216" t="s">
        <v>246</v>
      </c>
      <c r="C80" s="219" t="s">
        <v>17</v>
      </c>
      <c r="D80" s="219" t="s">
        <v>9</v>
      </c>
      <c r="E80" s="216" t="s">
        <v>247</v>
      </c>
      <c r="F80" s="216" t="s">
        <v>1506</v>
      </c>
      <c r="G80" s="219" t="s">
        <v>1</v>
      </c>
      <c r="H80" s="219" t="s">
        <v>56</v>
      </c>
      <c r="I80" s="219" t="s">
        <v>1</v>
      </c>
      <c r="J80" s="216"/>
    </row>
    <row r="81" spans="1:10" ht="15.95">
      <c r="A81" s="219">
        <v>42</v>
      </c>
      <c r="B81" s="216" t="s">
        <v>412</v>
      </c>
      <c r="C81" s="219" t="s">
        <v>19</v>
      </c>
      <c r="D81" s="219" t="s">
        <v>6</v>
      </c>
      <c r="E81" s="216" t="s">
        <v>413</v>
      </c>
      <c r="F81" s="216" t="s">
        <v>416</v>
      </c>
      <c r="G81" s="219" t="s">
        <v>1</v>
      </c>
      <c r="H81" s="219" t="s">
        <v>417</v>
      </c>
      <c r="I81" s="219" t="s">
        <v>53</v>
      </c>
      <c r="J81" s="216"/>
    </row>
    <row r="82" spans="1:10" ht="15.95">
      <c r="A82" s="219">
        <v>43</v>
      </c>
      <c r="B82" s="216" t="s">
        <v>419</v>
      </c>
      <c r="C82" s="219" t="s">
        <v>104</v>
      </c>
      <c r="D82" s="219" t="s">
        <v>6</v>
      </c>
      <c r="E82" s="216" t="s">
        <v>420</v>
      </c>
      <c r="F82" s="216" t="s">
        <v>422</v>
      </c>
      <c r="G82" s="219" t="s">
        <v>1</v>
      </c>
      <c r="H82" s="219" t="s">
        <v>423</v>
      </c>
      <c r="I82" s="219" t="s">
        <v>53</v>
      </c>
      <c r="J82" s="216"/>
    </row>
    <row r="83" spans="1:10" ht="15.95">
      <c r="A83" s="411">
        <v>44</v>
      </c>
      <c r="B83" s="409" t="s">
        <v>424</v>
      </c>
      <c r="C83" s="411" t="s">
        <v>19</v>
      </c>
      <c r="D83" s="411" t="s">
        <v>6</v>
      </c>
      <c r="E83" s="409" t="s">
        <v>425</v>
      </c>
      <c r="F83" s="409" t="s">
        <v>427</v>
      </c>
      <c r="G83" s="411" t="s">
        <v>1</v>
      </c>
      <c r="H83" s="219" t="s">
        <v>2734</v>
      </c>
      <c r="I83" s="411" t="s">
        <v>1</v>
      </c>
      <c r="J83" s="409"/>
    </row>
    <row r="84" spans="1:10" ht="15.95">
      <c r="A84" s="411"/>
      <c r="B84" s="409"/>
      <c r="C84" s="411"/>
      <c r="D84" s="411"/>
      <c r="E84" s="409"/>
      <c r="F84" s="409"/>
      <c r="G84" s="411"/>
      <c r="H84" s="219" t="s">
        <v>2735</v>
      </c>
      <c r="I84" s="411"/>
      <c r="J84" s="409"/>
    </row>
    <row r="85" spans="1:10" ht="15.95">
      <c r="A85" s="411">
        <v>45</v>
      </c>
      <c r="B85" s="409" t="s">
        <v>429</v>
      </c>
      <c r="C85" s="411" t="s">
        <v>19</v>
      </c>
      <c r="D85" s="411" t="s">
        <v>6</v>
      </c>
      <c r="E85" s="409" t="s">
        <v>430</v>
      </c>
      <c r="F85" s="409" t="s">
        <v>432</v>
      </c>
      <c r="G85" s="411" t="s">
        <v>1</v>
      </c>
      <c r="H85" s="219" t="s">
        <v>2736</v>
      </c>
      <c r="I85" s="411" t="s">
        <v>1</v>
      </c>
      <c r="J85" s="409"/>
    </row>
    <row r="86" spans="1:10" ht="15.95">
      <c r="A86" s="411"/>
      <c r="B86" s="409"/>
      <c r="C86" s="411"/>
      <c r="D86" s="411"/>
      <c r="E86" s="409"/>
      <c r="F86" s="409"/>
      <c r="G86" s="411"/>
      <c r="H86" s="219" t="s">
        <v>2737</v>
      </c>
      <c r="I86" s="411"/>
      <c r="J86" s="409"/>
    </row>
    <row r="87" spans="1:10" ht="15.95">
      <c r="A87" s="411">
        <v>46</v>
      </c>
      <c r="B87" s="409" t="s">
        <v>434</v>
      </c>
      <c r="C87" s="411" t="s">
        <v>19</v>
      </c>
      <c r="D87" s="411" t="s">
        <v>6</v>
      </c>
      <c r="E87" s="409" t="s">
        <v>435</v>
      </c>
      <c r="F87" s="409" t="s">
        <v>437</v>
      </c>
      <c r="G87" s="411" t="s">
        <v>1</v>
      </c>
      <c r="H87" s="219" t="s">
        <v>2738</v>
      </c>
      <c r="I87" s="411" t="s">
        <v>1</v>
      </c>
      <c r="J87" s="409"/>
    </row>
    <row r="88" spans="1:10" ht="15.95">
      <c r="A88" s="411"/>
      <c r="B88" s="409"/>
      <c r="C88" s="411"/>
      <c r="D88" s="411"/>
      <c r="E88" s="409"/>
      <c r="F88" s="409"/>
      <c r="G88" s="411"/>
      <c r="H88" s="219" t="s">
        <v>2739</v>
      </c>
      <c r="I88" s="411"/>
      <c r="J88" s="409"/>
    </row>
    <row r="89" spans="1:10" ht="15.95">
      <c r="A89" s="411">
        <v>47</v>
      </c>
      <c r="B89" s="409" t="s">
        <v>439</v>
      </c>
      <c r="C89" s="411" t="s">
        <v>104</v>
      </c>
      <c r="D89" s="411" t="s">
        <v>6</v>
      </c>
      <c r="E89" s="409" t="s">
        <v>440</v>
      </c>
      <c r="F89" s="409" t="s">
        <v>442</v>
      </c>
      <c r="G89" s="411" t="s">
        <v>1</v>
      </c>
      <c r="H89" s="219" t="s">
        <v>551</v>
      </c>
      <c r="I89" s="411" t="s">
        <v>53</v>
      </c>
      <c r="J89" s="409"/>
    </row>
    <row r="90" spans="1:10" ht="15.95">
      <c r="A90" s="411"/>
      <c r="B90" s="409"/>
      <c r="C90" s="411"/>
      <c r="D90" s="411"/>
      <c r="E90" s="409"/>
      <c r="F90" s="409"/>
      <c r="G90" s="411"/>
      <c r="H90" s="219" t="s">
        <v>453</v>
      </c>
      <c r="I90" s="411"/>
      <c r="J90" s="409"/>
    </row>
    <row r="91" spans="1:10" ht="15.95">
      <c r="A91" s="219">
        <v>48</v>
      </c>
      <c r="B91" s="216" t="s">
        <v>444</v>
      </c>
      <c r="C91" s="219" t="s">
        <v>104</v>
      </c>
      <c r="D91" s="219" t="s">
        <v>6</v>
      </c>
      <c r="E91" s="216" t="s">
        <v>445</v>
      </c>
      <c r="F91" s="216" t="s">
        <v>447</v>
      </c>
      <c r="G91" s="219" t="s">
        <v>448</v>
      </c>
      <c r="H91" s="219" t="s">
        <v>810</v>
      </c>
      <c r="I91" s="219"/>
      <c r="J91" s="216" t="s">
        <v>811</v>
      </c>
    </row>
    <row r="92" spans="1:10" ht="15.95">
      <c r="A92" s="219">
        <v>49</v>
      </c>
      <c r="B92" s="216" t="s">
        <v>450</v>
      </c>
      <c r="C92" s="219" t="s">
        <v>104</v>
      </c>
      <c r="D92" s="219" t="s">
        <v>6</v>
      </c>
      <c r="E92" s="216" t="s">
        <v>451</v>
      </c>
      <c r="F92" s="216" t="s">
        <v>447</v>
      </c>
      <c r="G92" s="219" t="s">
        <v>1</v>
      </c>
      <c r="H92" s="219" t="s">
        <v>453</v>
      </c>
      <c r="I92" s="219" t="s">
        <v>53</v>
      </c>
      <c r="J92" s="216"/>
    </row>
    <row r="93" spans="1:10" ht="15.95">
      <c r="A93" s="219">
        <v>50</v>
      </c>
      <c r="B93" s="216" t="s">
        <v>490</v>
      </c>
      <c r="C93" s="219" t="s">
        <v>104</v>
      </c>
      <c r="D93" s="219" t="s">
        <v>6</v>
      </c>
      <c r="E93" s="216" t="s">
        <v>491</v>
      </c>
      <c r="F93" s="216" t="s">
        <v>494</v>
      </c>
      <c r="G93" s="219" t="s">
        <v>448</v>
      </c>
      <c r="H93" s="219">
        <v>0</v>
      </c>
      <c r="I93" s="219"/>
      <c r="J93" s="216"/>
    </row>
    <row r="94" spans="1:10" ht="15.95">
      <c r="A94" s="219">
        <v>51</v>
      </c>
      <c r="B94" s="216" t="s">
        <v>496</v>
      </c>
      <c r="C94" s="219" t="s">
        <v>104</v>
      </c>
      <c r="D94" s="219" t="s">
        <v>6</v>
      </c>
      <c r="E94" s="216" t="s">
        <v>497</v>
      </c>
      <c r="F94" s="216" t="s">
        <v>499</v>
      </c>
      <c r="G94" s="219" t="s">
        <v>448</v>
      </c>
      <c r="H94" s="219">
        <v>0</v>
      </c>
      <c r="I94" s="219"/>
      <c r="J94" s="216"/>
    </row>
    <row r="95" spans="1:10" ht="15.95">
      <c r="A95" s="219">
        <v>52</v>
      </c>
      <c r="B95" s="216" t="s">
        <v>500</v>
      </c>
      <c r="C95" s="219" t="s">
        <v>17</v>
      </c>
      <c r="D95" s="219" t="s">
        <v>6</v>
      </c>
      <c r="E95" s="216" t="s">
        <v>501</v>
      </c>
      <c r="F95" s="216" t="s">
        <v>447</v>
      </c>
      <c r="G95" s="219" t="s">
        <v>1</v>
      </c>
      <c r="H95" s="219" t="s">
        <v>349</v>
      </c>
      <c r="I95" s="219"/>
      <c r="J95" s="216"/>
    </row>
    <row r="96" spans="1:10" ht="15.95">
      <c r="A96" s="219">
        <v>53</v>
      </c>
      <c r="B96" s="216" t="s">
        <v>505</v>
      </c>
      <c r="C96" s="219" t="s">
        <v>17</v>
      </c>
      <c r="D96" s="219" t="s">
        <v>6</v>
      </c>
      <c r="E96" s="216" t="s">
        <v>506</v>
      </c>
      <c r="F96" s="216" t="s">
        <v>447</v>
      </c>
      <c r="G96" s="219" t="s">
        <v>1</v>
      </c>
      <c r="H96" s="219"/>
      <c r="I96" s="219"/>
      <c r="J96" s="216"/>
    </row>
    <row r="97" spans="1:10" ht="15.95">
      <c r="A97" s="411">
        <v>54</v>
      </c>
      <c r="B97" s="409" t="s">
        <v>509</v>
      </c>
      <c r="C97" s="411" t="s">
        <v>17</v>
      </c>
      <c r="D97" s="411" t="s">
        <v>6</v>
      </c>
      <c r="E97" s="409" t="s">
        <v>510</v>
      </c>
      <c r="F97" s="409" t="s">
        <v>512</v>
      </c>
      <c r="G97" s="411" t="s">
        <v>1</v>
      </c>
      <c r="H97" s="219" t="s">
        <v>2740</v>
      </c>
      <c r="I97" s="411"/>
      <c r="J97" s="409"/>
    </row>
    <row r="98" spans="1:10">
      <c r="A98" s="411"/>
      <c r="B98" s="409"/>
      <c r="C98" s="411"/>
      <c r="D98" s="411"/>
      <c r="E98" s="409"/>
      <c r="F98" s="409"/>
      <c r="G98" s="411"/>
      <c r="H98" s="218"/>
      <c r="I98" s="411"/>
      <c r="J98" s="409"/>
    </row>
    <row r="99" spans="1:10" ht="15.95">
      <c r="A99" s="411"/>
      <c r="B99" s="409"/>
      <c r="C99" s="411"/>
      <c r="D99" s="411"/>
      <c r="E99" s="409"/>
      <c r="F99" s="409"/>
      <c r="G99" s="411"/>
      <c r="H99" s="219" t="s">
        <v>2741</v>
      </c>
      <c r="I99" s="411"/>
      <c r="J99" s="409"/>
    </row>
    <row r="100" spans="1:10" ht="15.95">
      <c r="A100" s="411"/>
      <c r="B100" s="409"/>
      <c r="C100" s="411"/>
      <c r="D100" s="411"/>
      <c r="E100" s="409"/>
      <c r="F100" s="409"/>
      <c r="G100" s="411"/>
      <c r="H100" s="219" t="s">
        <v>2742</v>
      </c>
      <c r="I100" s="411"/>
      <c r="J100" s="409"/>
    </row>
    <row r="101" spans="1:10" ht="15.95">
      <c r="A101" s="411"/>
      <c r="B101" s="409"/>
      <c r="C101" s="411"/>
      <c r="D101" s="411"/>
      <c r="E101" s="409"/>
      <c r="F101" s="409"/>
      <c r="G101" s="411"/>
      <c r="H101" s="219" t="s">
        <v>2743</v>
      </c>
      <c r="I101" s="411"/>
      <c r="J101" s="409"/>
    </row>
    <row r="102" spans="1:10" ht="15.95">
      <c r="A102" s="411"/>
      <c r="B102" s="409"/>
      <c r="C102" s="411"/>
      <c r="D102" s="411"/>
      <c r="E102" s="409"/>
      <c r="F102" s="409"/>
      <c r="G102" s="411"/>
      <c r="H102" s="219" t="s">
        <v>2744</v>
      </c>
      <c r="I102" s="411"/>
      <c r="J102" s="409"/>
    </row>
    <row r="103" spans="1:10" ht="15.95">
      <c r="A103" s="219">
        <v>55</v>
      </c>
      <c r="B103" s="216" t="s">
        <v>515</v>
      </c>
      <c r="C103" s="219" t="s">
        <v>17</v>
      </c>
      <c r="D103" s="219" t="s">
        <v>6</v>
      </c>
      <c r="E103" s="216" t="s">
        <v>516</v>
      </c>
      <c r="F103" s="216" t="s">
        <v>512</v>
      </c>
      <c r="G103" s="219" t="s">
        <v>1</v>
      </c>
      <c r="H103" s="219"/>
      <c r="I103" s="219"/>
      <c r="J103" s="216"/>
    </row>
    <row r="104" spans="1:10" ht="15.95">
      <c r="A104" s="219">
        <v>56</v>
      </c>
      <c r="B104" s="216" t="s">
        <v>518</v>
      </c>
      <c r="C104" s="219" t="s">
        <v>17</v>
      </c>
      <c r="D104" s="219" t="s">
        <v>6</v>
      </c>
      <c r="E104" s="216" t="s">
        <v>519</v>
      </c>
      <c r="F104" s="216" t="s">
        <v>512</v>
      </c>
      <c r="G104" s="219" t="s">
        <v>1</v>
      </c>
      <c r="H104" s="219"/>
      <c r="I104" s="219"/>
      <c r="J104" s="216"/>
    </row>
    <row r="105" spans="1:10" ht="15.95">
      <c r="A105" s="219">
        <v>57</v>
      </c>
      <c r="B105" s="216" t="s">
        <v>521</v>
      </c>
      <c r="C105" s="219" t="s">
        <v>17</v>
      </c>
      <c r="D105" s="219" t="s">
        <v>6</v>
      </c>
      <c r="E105" s="216" t="s">
        <v>522</v>
      </c>
      <c r="F105" s="216" t="s">
        <v>512</v>
      </c>
      <c r="G105" s="219" t="s">
        <v>1</v>
      </c>
      <c r="H105" s="219"/>
      <c r="I105" s="219"/>
      <c r="J105" s="216"/>
    </row>
    <row r="106" spans="1:10" ht="15.95">
      <c r="A106" s="219">
        <v>58</v>
      </c>
      <c r="B106" s="216" t="s">
        <v>524</v>
      </c>
      <c r="C106" s="219" t="s">
        <v>17</v>
      </c>
      <c r="D106" s="219" t="s">
        <v>6</v>
      </c>
      <c r="E106" s="216" t="s">
        <v>525</v>
      </c>
      <c r="F106" s="216" t="s">
        <v>512</v>
      </c>
      <c r="G106" s="219" t="s">
        <v>1</v>
      </c>
      <c r="H106" s="219"/>
      <c r="I106" s="219"/>
      <c r="J106" s="216"/>
    </row>
    <row r="107" spans="1:10" ht="15.95">
      <c r="A107" s="219">
        <v>59</v>
      </c>
      <c r="B107" s="216" t="s">
        <v>527</v>
      </c>
      <c r="C107" s="219" t="s">
        <v>17</v>
      </c>
      <c r="D107" s="219" t="s">
        <v>6</v>
      </c>
      <c r="E107" s="216" t="s">
        <v>528</v>
      </c>
      <c r="F107" s="216" t="s">
        <v>512</v>
      </c>
      <c r="G107" s="219" t="s">
        <v>1</v>
      </c>
      <c r="H107" s="219"/>
      <c r="I107" s="219"/>
      <c r="J107" s="216"/>
    </row>
    <row r="108" spans="1:10" ht="15.95">
      <c r="A108" s="219">
        <v>60</v>
      </c>
      <c r="B108" s="216" t="s">
        <v>530</v>
      </c>
      <c r="C108" s="219" t="s">
        <v>17</v>
      </c>
      <c r="D108" s="219" t="s">
        <v>6</v>
      </c>
      <c r="E108" s="216" t="s">
        <v>531</v>
      </c>
      <c r="F108" s="216" t="s">
        <v>512</v>
      </c>
      <c r="G108" s="219" t="s">
        <v>1</v>
      </c>
      <c r="H108" s="219"/>
      <c r="I108" s="219"/>
      <c r="J108" s="216"/>
    </row>
    <row r="109" spans="1:10" ht="15.95">
      <c r="A109" s="219">
        <v>61</v>
      </c>
      <c r="B109" s="216" t="s">
        <v>533</v>
      </c>
      <c r="C109" s="219" t="s">
        <v>17</v>
      </c>
      <c r="D109" s="219" t="s">
        <v>6</v>
      </c>
      <c r="E109" s="216" t="s">
        <v>534</v>
      </c>
      <c r="F109" s="216" t="s">
        <v>512</v>
      </c>
      <c r="G109" s="219" t="s">
        <v>1</v>
      </c>
      <c r="H109" s="219"/>
      <c r="I109" s="219"/>
      <c r="J109" s="216"/>
    </row>
    <row r="110" spans="1:10" ht="15.95">
      <c r="A110" s="219">
        <v>62</v>
      </c>
      <c r="B110" s="216" t="s">
        <v>536</v>
      </c>
      <c r="C110" s="219" t="s">
        <v>17</v>
      </c>
      <c r="D110" s="219" t="s">
        <v>6</v>
      </c>
      <c r="E110" s="216" t="s">
        <v>537</v>
      </c>
      <c r="F110" s="216" t="s">
        <v>512</v>
      </c>
      <c r="G110" s="219" t="s">
        <v>1</v>
      </c>
      <c r="H110" s="219"/>
      <c r="I110" s="219"/>
      <c r="J110" s="216"/>
    </row>
    <row r="111" spans="1:10" ht="15.95">
      <c r="A111" s="219">
        <v>63</v>
      </c>
      <c r="B111" s="216" t="s">
        <v>539</v>
      </c>
      <c r="C111" s="219" t="s">
        <v>17</v>
      </c>
      <c r="D111" s="219" t="s">
        <v>6</v>
      </c>
      <c r="E111" s="216" t="s">
        <v>540</v>
      </c>
      <c r="F111" s="216" t="s">
        <v>512</v>
      </c>
      <c r="G111" s="219" t="s">
        <v>1</v>
      </c>
      <c r="H111" s="219"/>
      <c r="I111" s="219"/>
      <c r="J111" s="216"/>
    </row>
    <row r="112" spans="1:10" ht="15.95">
      <c r="A112" s="219">
        <v>64</v>
      </c>
      <c r="B112" s="216" t="s">
        <v>542</v>
      </c>
      <c r="C112" s="219" t="s">
        <v>17</v>
      </c>
      <c r="D112" s="219" t="s">
        <v>6</v>
      </c>
      <c r="E112" s="216" t="s">
        <v>543</v>
      </c>
      <c r="F112" s="216" t="s">
        <v>512</v>
      </c>
      <c r="G112" s="219" t="s">
        <v>1</v>
      </c>
      <c r="H112" s="219"/>
      <c r="I112" s="219"/>
      <c r="J112" s="216"/>
    </row>
    <row r="113" spans="1:10" ht="15.95">
      <c r="A113" s="219">
        <v>65</v>
      </c>
      <c r="B113" s="216" t="s">
        <v>545</v>
      </c>
      <c r="C113" s="219" t="s">
        <v>17</v>
      </c>
      <c r="D113" s="219" t="s">
        <v>6</v>
      </c>
      <c r="E113" s="216" t="s">
        <v>546</v>
      </c>
      <c r="F113" s="216" t="s">
        <v>512</v>
      </c>
      <c r="G113" s="219" t="s">
        <v>1</v>
      </c>
      <c r="H113" s="219"/>
      <c r="I113" s="219"/>
      <c r="J113" s="216"/>
    </row>
    <row r="114" spans="1:10" ht="15.95">
      <c r="A114" s="219">
        <v>66</v>
      </c>
      <c r="B114" s="216" t="s">
        <v>2464</v>
      </c>
      <c r="C114" s="219" t="s">
        <v>17</v>
      </c>
      <c r="D114" s="219" t="s">
        <v>6</v>
      </c>
      <c r="E114" s="216" t="s">
        <v>537</v>
      </c>
      <c r="F114" s="216" t="s">
        <v>512</v>
      </c>
      <c r="G114" s="219" t="s">
        <v>1</v>
      </c>
      <c r="H114" s="219" t="s">
        <v>551</v>
      </c>
      <c r="I114" s="219" t="s">
        <v>1</v>
      </c>
      <c r="J114" s="216"/>
    </row>
    <row r="115" spans="1:10" ht="15.95">
      <c r="A115" s="219">
        <v>67</v>
      </c>
      <c r="B115" s="216" t="s">
        <v>2465</v>
      </c>
      <c r="C115" s="219" t="s">
        <v>17</v>
      </c>
      <c r="D115" s="219" t="s">
        <v>6</v>
      </c>
      <c r="E115" s="216" t="s">
        <v>540</v>
      </c>
      <c r="F115" s="216" t="s">
        <v>512</v>
      </c>
      <c r="G115" s="219" t="s">
        <v>1</v>
      </c>
      <c r="H115" s="219" t="s">
        <v>551</v>
      </c>
      <c r="I115" s="219" t="s">
        <v>1</v>
      </c>
      <c r="J115" s="216"/>
    </row>
    <row r="116" spans="1:10" ht="15.95">
      <c r="A116" s="219">
        <v>68</v>
      </c>
      <c r="B116" s="216" t="s">
        <v>548</v>
      </c>
      <c r="C116" s="219" t="s">
        <v>17</v>
      </c>
      <c r="D116" s="219" t="s">
        <v>6</v>
      </c>
      <c r="E116" s="216" t="s">
        <v>549</v>
      </c>
      <c r="F116" s="216" t="s">
        <v>442</v>
      </c>
      <c r="G116" s="219" t="s">
        <v>1</v>
      </c>
      <c r="H116" s="219" t="s">
        <v>551</v>
      </c>
      <c r="I116" s="219" t="s">
        <v>1</v>
      </c>
      <c r="J116" s="216"/>
    </row>
    <row r="117" spans="1:10" ht="15.95">
      <c r="A117" s="219">
        <v>69</v>
      </c>
      <c r="B117" s="216" t="s">
        <v>552</v>
      </c>
      <c r="C117" s="219" t="s">
        <v>17</v>
      </c>
      <c r="D117" s="219" t="s">
        <v>6</v>
      </c>
      <c r="E117" s="216" t="s">
        <v>553</v>
      </c>
      <c r="F117" s="216" t="s">
        <v>442</v>
      </c>
      <c r="G117" s="219" t="s">
        <v>1</v>
      </c>
      <c r="H117" s="219" t="s">
        <v>551</v>
      </c>
      <c r="I117" s="219" t="s">
        <v>1</v>
      </c>
      <c r="J117" s="216"/>
    </row>
    <row r="118" spans="1:10" ht="15.95">
      <c r="A118" s="219">
        <v>70</v>
      </c>
      <c r="B118" s="216" t="s">
        <v>555</v>
      </c>
      <c r="C118" s="219" t="s">
        <v>17</v>
      </c>
      <c r="D118" s="219" t="s">
        <v>6</v>
      </c>
      <c r="E118" s="216" t="s">
        <v>556</v>
      </c>
      <c r="F118" s="216" t="s">
        <v>558</v>
      </c>
      <c r="G118" s="219" t="s">
        <v>57</v>
      </c>
      <c r="H118" s="219" t="s">
        <v>813</v>
      </c>
      <c r="I118" s="219"/>
      <c r="J118" s="216"/>
    </row>
    <row r="119" spans="1:10" ht="15.95">
      <c r="A119" s="219">
        <v>71</v>
      </c>
      <c r="B119" s="216" t="s">
        <v>560</v>
      </c>
      <c r="C119" s="219" t="s">
        <v>17</v>
      </c>
      <c r="D119" s="219" t="s">
        <v>6</v>
      </c>
      <c r="E119" s="216" t="s">
        <v>561</v>
      </c>
      <c r="F119" s="216" t="s">
        <v>563</v>
      </c>
      <c r="G119" s="219" t="s">
        <v>57</v>
      </c>
      <c r="H119" s="219"/>
      <c r="I119" s="219"/>
      <c r="J119" s="216"/>
    </row>
    <row r="120" spans="1:10" ht="15.95">
      <c r="A120" s="219">
        <v>72</v>
      </c>
      <c r="B120" s="216" t="s">
        <v>2466</v>
      </c>
      <c r="C120" s="219" t="s">
        <v>17</v>
      </c>
      <c r="D120" s="219" t="s">
        <v>6</v>
      </c>
      <c r="E120" s="216" t="s">
        <v>537</v>
      </c>
      <c r="F120" s="216"/>
      <c r="G120" s="219" t="s">
        <v>1</v>
      </c>
      <c r="H120" s="219" t="s">
        <v>2745</v>
      </c>
      <c r="I120" s="219"/>
      <c r="J120" s="216"/>
    </row>
    <row r="121" spans="1:10" ht="15.95">
      <c r="A121" s="219">
        <v>73</v>
      </c>
      <c r="B121" s="216" t="s">
        <v>2467</v>
      </c>
      <c r="C121" s="219" t="s">
        <v>17</v>
      </c>
      <c r="D121" s="219" t="s">
        <v>6</v>
      </c>
      <c r="E121" s="216" t="s">
        <v>540</v>
      </c>
      <c r="F121" s="216"/>
      <c r="G121" s="219" t="s">
        <v>1</v>
      </c>
      <c r="H121" s="219" t="s">
        <v>2746</v>
      </c>
      <c r="I121" s="219"/>
      <c r="J121" s="216"/>
    </row>
    <row r="122" spans="1:10" ht="15.95">
      <c r="A122" s="219">
        <v>74</v>
      </c>
      <c r="B122" s="216" t="s">
        <v>580</v>
      </c>
      <c r="C122" s="219" t="s">
        <v>17</v>
      </c>
      <c r="D122" s="219" t="s">
        <v>11</v>
      </c>
      <c r="E122" s="216" t="s">
        <v>581</v>
      </c>
      <c r="F122" s="216" t="s">
        <v>584</v>
      </c>
      <c r="G122" s="219" t="s">
        <v>57</v>
      </c>
      <c r="H122" s="219"/>
      <c r="I122" s="219"/>
      <c r="J122" s="216"/>
    </row>
    <row r="123" spans="1:10" ht="15.95">
      <c r="A123" s="219">
        <v>75</v>
      </c>
      <c r="B123" s="216" t="s">
        <v>621</v>
      </c>
      <c r="C123" s="219" t="s">
        <v>19</v>
      </c>
      <c r="D123" s="219" t="s">
        <v>4</v>
      </c>
      <c r="E123" s="216" t="s">
        <v>622</v>
      </c>
      <c r="F123" s="216">
        <v>2</v>
      </c>
      <c r="G123" s="219" t="s">
        <v>1</v>
      </c>
      <c r="H123" s="219" t="s">
        <v>625</v>
      </c>
      <c r="I123" s="219" t="s">
        <v>1</v>
      </c>
      <c r="J123" s="216"/>
    </row>
    <row r="124" spans="1:10" ht="15.95">
      <c r="A124" s="219">
        <v>76</v>
      </c>
      <c r="B124" s="216" t="s">
        <v>626</v>
      </c>
      <c r="C124" s="219" t="s">
        <v>19</v>
      </c>
      <c r="D124" s="219" t="s">
        <v>4</v>
      </c>
      <c r="E124" s="216" t="s">
        <v>627</v>
      </c>
      <c r="F124" s="216">
        <v>0</v>
      </c>
      <c r="G124" s="219" t="s">
        <v>1</v>
      </c>
      <c r="H124" s="219" t="s">
        <v>625</v>
      </c>
      <c r="I124" s="219" t="s">
        <v>1</v>
      </c>
      <c r="J124" s="216" t="s">
        <v>802</v>
      </c>
    </row>
    <row r="125" spans="1:10" ht="15.95">
      <c r="A125" s="219">
        <v>77</v>
      </c>
      <c r="B125" s="216" t="s">
        <v>675</v>
      </c>
      <c r="C125" s="219" t="s">
        <v>19</v>
      </c>
      <c r="D125" s="219" t="s">
        <v>680</v>
      </c>
      <c r="E125" s="216" t="s">
        <v>676</v>
      </c>
      <c r="F125" s="216">
        <v>4994</v>
      </c>
      <c r="G125" s="219" t="s">
        <v>1</v>
      </c>
      <c r="H125" s="219" t="s">
        <v>678</v>
      </c>
      <c r="I125" s="219" t="s">
        <v>53</v>
      </c>
      <c r="J125" s="216"/>
    </row>
    <row r="126" spans="1:10" ht="15.95">
      <c r="A126" s="219">
        <v>78</v>
      </c>
      <c r="B126" s="216" t="s">
        <v>679</v>
      </c>
      <c r="C126" s="219" t="s">
        <v>19</v>
      </c>
      <c r="D126" s="219" t="s">
        <v>680</v>
      </c>
      <c r="E126" s="216" t="s">
        <v>681</v>
      </c>
      <c r="F126" s="216" t="s">
        <v>333</v>
      </c>
      <c r="G126" s="219" t="s">
        <v>53</v>
      </c>
      <c r="H126" s="219" t="s">
        <v>683</v>
      </c>
      <c r="I126" s="219" t="s">
        <v>684</v>
      </c>
      <c r="J126" s="216"/>
    </row>
    <row r="127" spans="1:10" ht="15.95">
      <c r="A127" s="219">
        <v>79</v>
      </c>
      <c r="B127" s="216" t="s">
        <v>732</v>
      </c>
      <c r="C127" s="219" t="s">
        <v>17</v>
      </c>
      <c r="D127" s="219" t="s">
        <v>11</v>
      </c>
      <c r="E127" s="216" t="s">
        <v>733</v>
      </c>
      <c r="F127" s="216" t="s">
        <v>584</v>
      </c>
      <c r="G127" s="219" t="s">
        <v>57</v>
      </c>
      <c r="H127" s="219">
        <v>0</v>
      </c>
      <c r="I127" s="219"/>
      <c r="J127" s="216" t="s">
        <v>814</v>
      </c>
    </row>
    <row r="128" spans="1:10" ht="15.95">
      <c r="A128" s="219">
        <v>80</v>
      </c>
      <c r="B128" s="216" t="s">
        <v>735</v>
      </c>
      <c r="C128" s="219" t="s">
        <v>19</v>
      </c>
      <c r="D128" s="219" t="s">
        <v>7</v>
      </c>
      <c r="E128" s="216" t="s">
        <v>736</v>
      </c>
      <c r="F128" s="216">
        <v>8700</v>
      </c>
      <c r="G128" s="219" t="s">
        <v>1</v>
      </c>
      <c r="H128" s="219" t="s">
        <v>739</v>
      </c>
      <c r="I128" s="219" t="s">
        <v>1</v>
      </c>
      <c r="J128" s="216" t="s">
        <v>804</v>
      </c>
    </row>
    <row r="129" spans="1:10" ht="15.95">
      <c r="A129" s="219">
        <v>81</v>
      </c>
      <c r="B129" s="216" t="s">
        <v>740</v>
      </c>
      <c r="C129" s="219" t="s">
        <v>19</v>
      </c>
      <c r="D129" s="219" t="s">
        <v>11</v>
      </c>
      <c r="E129" s="216" t="s">
        <v>741</v>
      </c>
      <c r="F129" s="216">
        <v>8</v>
      </c>
      <c r="G129" s="219" t="s">
        <v>1</v>
      </c>
      <c r="H129" s="219" t="s">
        <v>743</v>
      </c>
      <c r="I129" s="219" t="s">
        <v>1</v>
      </c>
      <c r="J129" s="216"/>
    </row>
    <row r="130" spans="1:10" ht="15.95">
      <c r="A130" s="219">
        <v>82</v>
      </c>
      <c r="B130" s="216" t="s">
        <v>744</v>
      </c>
      <c r="C130" s="219" t="s">
        <v>104</v>
      </c>
      <c r="D130" s="219" t="s">
        <v>11</v>
      </c>
      <c r="E130" s="216" t="s">
        <v>745</v>
      </c>
      <c r="F130" s="216">
        <v>100</v>
      </c>
      <c r="G130" s="219" t="s">
        <v>448</v>
      </c>
      <c r="H130" s="219" t="s">
        <v>748</v>
      </c>
      <c r="I130" s="219"/>
      <c r="J130" s="216" t="s">
        <v>816</v>
      </c>
    </row>
    <row r="131" spans="1:10" ht="15.95">
      <c r="A131" s="219">
        <v>83</v>
      </c>
      <c r="B131" s="216" t="s">
        <v>749</v>
      </c>
      <c r="C131" s="219" t="s">
        <v>104</v>
      </c>
      <c r="D131" s="219" t="s">
        <v>11</v>
      </c>
      <c r="E131" s="216" t="s">
        <v>750</v>
      </c>
      <c r="F131" s="216">
        <v>181</v>
      </c>
      <c r="G131" s="219" t="s">
        <v>448</v>
      </c>
      <c r="H131" s="219"/>
      <c r="I131" s="219"/>
      <c r="J131" s="216" t="s">
        <v>817</v>
      </c>
    </row>
    <row r="132" spans="1:10" ht="15.95">
      <c r="A132" s="219">
        <v>84</v>
      </c>
      <c r="B132" s="216" t="s">
        <v>753</v>
      </c>
      <c r="C132" s="219" t="s">
        <v>104</v>
      </c>
      <c r="D132" s="219" t="s">
        <v>11</v>
      </c>
      <c r="E132" s="216" t="s">
        <v>754</v>
      </c>
      <c r="F132" s="216" t="s">
        <v>107</v>
      </c>
      <c r="G132" s="219" t="s">
        <v>448</v>
      </c>
      <c r="H132" s="219"/>
      <c r="I132" s="219"/>
      <c r="J132" s="216" t="s">
        <v>818</v>
      </c>
    </row>
    <row r="133" spans="1:10" ht="15.95">
      <c r="A133" s="219">
        <v>85</v>
      </c>
      <c r="B133" s="216" t="s">
        <v>771</v>
      </c>
      <c r="C133" s="219" t="s">
        <v>17</v>
      </c>
      <c r="D133" s="219" t="s">
        <v>11</v>
      </c>
      <c r="E133" s="216" t="s">
        <v>772</v>
      </c>
      <c r="F133" s="216" t="s">
        <v>584</v>
      </c>
      <c r="G133" s="219" t="s">
        <v>57</v>
      </c>
      <c r="H133" s="219" t="s">
        <v>349</v>
      </c>
      <c r="I133" s="219"/>
      <c r="J133" s="216"/>
    </row>
    <row r="134" spans="1:10" ht="15.95">
      <c r="A134" s="219">
        <v>86</v>
      </c>
      <c r="B134" s="216" t="s">
        <v>819</v>
      </c>
      <c r="C134" s="219" t="s">
        <v>19</v>
      </c>
      <c r="D134" s="219" t="s">
        <v>4</v>
      </c>
      <c r="E134" s="216" t="s">
        <v>820</v>
      </c>
      <c r="F134" s="216">
        <v>21</v>
      </c>
      <c r="G134" s="219" t="s">
        <v>1</v>
      </c>
      <c r="H134" s="219"/>
      <c r="I134" s="219"/>
      <c r="J134" s="216"/>
    </row>
    <row r="135" spans="1:10" ht="15.95">
      <c r="A135" s="219">
        <v>87</v>
      </c>
      <c r="B135" s="216" t="s">
        <v>823</v>
      </c>
      <c r="C135" s="219" t="s">
        <v>19</v>
      </c>
      <c r="D135" s="219" t="s">
        <v>4</v>
      </c>
      <c r="E135" s="216" t="s">
        <v>824</v>
      </c>
      <c r="F135" s="216">
        <v>21</v>
      </c>
      <c r="G135" s="219" t="s">
        <v>1</v>
      </c>
      <c r="H135" s="219"/>
      <c r="I135" s="219"/>
      <c r="J135" s="216"/>
    </row>
    <row r="136" spans="1:10" ht="15.95">
      <c r="A136" s="219">
        <v>88</v>
      </c>
      <c r="B136" s="216" t="s">
        <v>827</v>
      </c>
      <c r="C136" s="219" t="s">
        <v>19</v>
      </c>
      <c r="D136" s="219" t="s">
        <v>4</v>
      </c>
      <c r="E136" s="216" t="s">
        <v>828</v>
      </c>
      <c r="F136" s="216">
        <v>2</v>
      </c>
      <c r="G136" s="219" t="s">
        <v>1</v>
      </c>
      <c r="H136" s="219"/>
      <c r="I136" s="219"/>
      <c r="J136" s="216"/>
    </row>
    <row r="137" spans="1:10" ht="15.95">
      <c r="A137" s="219">
        <v>89</v>
      </c>
      <c r="B137" s="216" t="s">
        <v>830</v>
      </c>
      <c r="C137" s="219" t="s">
        <v>104</v>
      </c>
      <c r="D137" s="219" t="s">
        <v>10</v>
      </c>
      <c r="E137" s="216" t="s">
        <v>831</v>
      </c>
      <c r="F137" s="216">
        <v>25423</v>
      </c>
      <c r="G137" s="219" t="s">
        <v>57</v>
      </c>
      <c r="H137" s="219"/>
      <c r="I137" s="219"/>
      <c r="J137" s="216"/>
    </row>
    <row r="138" spans="1:10" ht="15.95">
      <c r="A138" s="219">
        <v>90</v>
      </c>
      <c r="B138" s="216" t="s">
        <v>835</v>
      </c>
      <c r="C138" s="219" t="s">
        <v>104</v>
      </c>
      <c r="D138" s="219" t="s">
        <v>13</v>
      </c>
      <c r="E138" s="216" t="s">
        <v>836</v>
      </c>
      <c r="F138" s="216">
        <v>3183</v>
      </c>
      <c r="G138" s="219" t="s">
        <v>57</v>
      </c>
      <c r="H138" s="219"/>
      <c r="I138" s="219"/>
      <c r="J138" s="216"/>
    </row>
    <row r="139" spans="1:10" ht="15.95">
      <c r="A139" s="219">
        <v>91</v>
      </c>
      <c r="B139" s="216" t="s">
        <v>839</v>
      </c>
      <c r="C139" s="219" t="s">
        <v>104</v>
      </c>
      <c r="D139" s="219" t="s">
        <v>232</v>
      </c>
      <c r="E139" s="216" t="s">
        <v>840</v>
      </c>
      <c r="F139" s="216">
        <v>3759</v>
      </c>
      <c r="G139" s="219" t="s">
        <v>57</v>
      </c>
      <c r="H139" s="219"/>
      <c r="I139" s="219"/>
      <c r="J139" s="216"/>
    </row>
    <row r="140" spans="1:10" ht="15.95">
      <c r="A140" s="219">
        <v>92</v>
      </c>
      <c r="B140" s="216" t="s">
        <v>843</v>
      </c>
      <c r="C140" s="219" t="s">
        <v>104</v>
      </c>
      <c r="D140" s="219" t="s">
        <v>8</v>
      </c>
      <c r="E140" s="216" t="s">
        <v>844</v>
      </c>
      <c r="F140" s="216">
        <v>8</v>
      </c>
      <c r="G140" s="219" t="s">
        <v>57</v>
      </c>
      <c r="H140" s="219"/>
      <c r="I140" s="219"/>
      <c r="J140" s="216"/>
    </row>
    <row r="141" spans="1:10" ht="15.95">
      <c r="A141" s="219">
        <v>93</v>
      </c>
      <c r="B141" s="216" t="s">
        <v>848</v>
      </c>
      <c r="C141" s="219" t="s">
        <v>104</v>
      </c>
      <c r="D141" s="219" t="s">
        <v>8</v>
      </c>
      <c r="E141" s="216" t="s">
        <v>849</v>
      </c>
      <c r="F141" s="216">
        <v>168</v>
      </c>
      <c r="G141" s="219" t="s">
        <v>57</v>
      </c>
      <c r="H141" s="219"/>
      <c r="I141" s="219"/>
      <c r="J141" s="216"/>
    </row>
  </sheetData>
  <mergeCells count="225">
    <mergeCell ref="I6:I7"/>
    <mergeCell ref="J6:J7"/>
    <mergeCell ref="A12:A13"/>
    <mergeCell ref="B12:B13"/>
    <mergeCell ref="C12:C13"/>
    <mergeCell ref="D12:D13"/>
    <mergeCell ref="E12:E13"/>
    <mergeCell ref="F12:F13"/>
    <mergeCell ref="G12:G13"/>
    <mergeCell ref="A6:A7"/>
    <mergeCell ref="B6:B7"/>
    <mergeCell ref="C6:C7"/>
    <mergeCell ref="D6:D7"/>
    <mergeCell ref="E6:E7"/>
    <mergeCell ref="F6:F7"/>
    <mergeCell ref="G6:G7"/>
    <mergeCell ref="I12:I13"/>
    <mergeCell ref="J12:J13"/>
    <mergeCell ref="A14:A15"/>
    <mergeCell ref="B14:B15"/>
    <mergeCell ref="C14:C15"/>
    <mergeCell ref="D14:D15"/>
    <mergeCell ref="E14:E15"/>
    <mergeCell ref="F14:F15"/>
    <mergeCell ref="G14:G15"/>
    <mergeCell ref="I14:I15"/>
    <mergeCell ref="J14:J15"/>
    <mergeCell ref="A21:A22"/>
    <mergeCell ref="B21:B22"/>
    <mergeCell ref="C21:C22"/>
    <mergeCell ref="D21:D22"/>
    <mergeCell ref="E21:E22"/>
    <mergeCell ref="F21:F22"/>
    <mergeCell ref="G21:G22"/>
    <mergeCell ref="I21:I22"/>
    <mergeCell ref="J21:J22"/>
    <mergeCell ref="A26:A27"/>
    <mergeCell ref="B26:B27"/>
    <mergeCell ref="C26:C27"/>
    <mergeCell ref="D26:D27"/>
    <mergeCell ref="E26:E27"/>
    <mergeCell ref="F26:F27"/>
    <mergeCell ref="G26:G27"/>
    <mergeCell ref="I26:I27"/>
    <mergeCell ref="J26:J27"/>
    <mergeCell ref="A28:A31"/>
    <mergeCell ref="B28:B31"/>
    <mergeCell ref="C28:C31"/>
    <mergeCell ref="D28:D31"/>
    <mergeCell ref="E28:E31"/>
    <mergeCell ref="F28:F31"/>
    <mergeCell ref="G28:G31"/>
    <mergeCell ref="I28:I31"/>
    <mergeCell ref="J28:J31"/>
    <mergeCell ref="A34:A36"/>
    <mergeCell ref="B34:B36"/>
    <mergeCell ref="C34:C36"/>
    <mergeCell ref="D34:D36"/>
    <mergeCell ref="E34:E36"/>
    <mergeCell ref="F34:F36"/>
    <mergeCell ref="G34:G36"/>
    <mergeCell ref="I34:I36"/>
    <mergeCell ref="J34:J36"/>
    <mergeCell ref="A38:A40"/>
    <mergeCell ref="B38:B40"/>
    <mergeCell ref="C38:C40"/>
    <mergeCell ref="D38:D40"/>
    <mergeCell ref="E38:E40"/>
    <mergeCell ref="F38:F40"/>
    <mergeCell ref="G38:G40"/>
    <mergeCell ref="I38:I40"/>
    <mergeCell ref="J38:J40"/>
    <mergeCell ref="A41:A43"/>
    <mergeCell ref="B41:B43"/>
    <mergeCell ref="C41:C43"/>
    <mergeCell ref="D41:D43"/>
    <mergeCell ref="E41:E43"/>
    <mergeCell ref="F41:F43"/>
    <mergeCell ref="G41:G43"/>
    <mergeCell ref="I41:I43"/>
    <mergeCell ref="J41:J43"/>
    <mergeCell ref="A44:A46"/>
    <mergeCell ref="B44:B46"/>
    <mergeCell ref="C44:C46"/>
    <mergeCell ref="D44:D46"/>
    <mergeCell ref="E44:E46"/>
    <mergeCell ref="F44:F46"/>
    <mergeCell ref="G44:G46"/>
    <mergeCell ref="I44:I46"/>
    <mergeCell ref="J44:J46"/>
    <mergeCell ref="A47:A49"/>
    <mergeCell ref="B47:B49"/>
    <mergeCell ref="C47:C49"/>
    <mergeCell ref="D47:D49"/>
    <mergeCell ref="E47:E49"/>
    <mergeCell ref="F47:F49"/>
    <mergeCell ref="G47:G49"/>
    <mergeCell ref="I47:I49"/>
    <mergeCell ref="J47:J49"/>
    <mergeCell ref="A50:A51"/>
    <mergeCell ref="B50:B51"/>
    <mergeCell ref="C50:C51"/>
    <mergeCell ref="D50:D51"/>
    <mergeCell ref="E50:E51"/>
    <mergeCell ref="F50:F51"/>
    <mergeCell ref="G50:G51"/>
    <mergeCell ref="I50:I51"/>
    <mergeCell ref="J50:J51"/>
    <mergeCell ref="A52:A53"/>
    <mergeCell ref="B52:B53"/>
    <mergeCell ref="C52:C53"/>
    <mergeCell ref="D52:D53"/>
    <mergeCell ref="E52:E53"/>
    <mergeCell ref="F52:F53"/>
    <mergeCell ref="G52:G53"/>
    <mergeCell ref="I52:I53"/>
    <mergeCell ref="J52:J53"/>
    <mergeCell ref="A54:A55"/>
    <mergeCell ref="B54:B55"/>
    <mergeCell ref="C54:C55"/>
    <mergeCell ref="D54:D55"/>
    <mergeCell ref="E54:E55"/>
    <mergeCell ref="F54:F55"/>
    <mergeCell ref="G54:G55"/>
    <mergeCell ref="I54:I55"/>
    <mergeCell ref="J54:J55"/>
    <mergeCell ref="A56:A62"/>
    <mergeCell ref="B56:B62"/>
    <mergeCell ref="C56:C62"/>
    <mergeCell ref="D56:D62"/>
    <mergeCell ref="E56:E62"/>
    <mergeCell ref="F56:F62"/>
    <mergeCell ref="G56:G62"/>
    <mergeCell ref="I56:I62"/>
    <mergeCell ref="J56:J62"/>
    <mergeCell ref="A63:A65"/>
    <mergeCell ref="B63:B65"/>
    <mergeCell ref="C63:C65"/>
    <mergeCell ref="D63:D65"/>
    <mergeCell ref="E63:E65"/>
    <mergeCell ref="F63:F65"/>
    <mergeCell ref="G63:G65"/>
    <mergeCell ref="I63:I65"/>
    <mergeCell ref="J63:J65"/>
    <mergeCell ref="A66:A68"/>
    <mergeCell ref="B66:B68"/>
    <mergeCell ref="C66:C68"/>
    <mergeCell ref="D66:D68"/>
    <mergeCell ref="E66:E68"/>
    <mergeCell ref="F66:F68"/>
    <mergeCell ref="G66:G68"/>
    <mergeCell ref="I66:I68"/>
    <mergeCell ref="J66:J68"/>
    <mergeCell ref="A69:A71"/>
    <mergeCell ref="B69:B71"/>
    <mergeCell ref="C69:C71"/>
    <mergeCell ref="D69:D71"/>
    <mergeCell ref="E69:E71"/>
    <mergeCell ref="F69:F71"/>
    <mergeCell ref="G69:G71"/>
    <mergeCell ref="I69:I71"/>
    <mergeCell ref="J69:J71"/>
    <mergeCell ref="A72:A74"/>
    <mergeCell ref="B72:B74"/>
    <mergeCell ref="C72:C74"/>
    <mergeCell ref="D72:D74"/>
    <mergeCell ref="E72:E74"/>
    <mergeCell ref="F72:F74"/>
    <mergeCell ref="G72:G74"/>
    <mergeCell ref="I72:I74"/>
    <mergeCell ref="J72:J74"/>
    <mergeCell ref="A75:A77"/>
    <mergeCell ref="B75:B77"/>
    <mergeCell ref="C75:C77"/>
    <mergeCell ref="D75:D77"/>
    <mergeCell ref="E75:E77"/>
    <mergeCell ref="F75:F77"/>
    <mergeCell ref="G75:G77"/>
    <mergeCell ref="I75:I77"/>
    <mergeCell ref="J75:J77"/>
    <mergeCell ref="A83:A84"/>
    <mergeCell ref="B83:B84"/>
    <mergeCell ref="C83:C84"/>
    <mergeCell ref="D83:D84"/>
    <mergeCell ref="E83:E84"/>
    <mergeCell ref="F83:F84"/>
    <mergeCell ref="G83:G84"/>
    <mergeCell ref="I83:I84"/>
    <mergeCell ref="J83:J84"/>
    <mergeCell ref="A85:A86"/>
    <mergeCell ref="B85:B86"/>
    <mergeCell ref="C85:C86"/>
    <mergeCell ref="D85:D86"/>
    <mergeCell ref="E85:E86"/>
    <mergeCell ref="F85:F86"/>
    <mergeCell ref="G85:G86"/>
    <mergeCell ref="I85:I86"/>
    <mergeCell ref="J85:J86"/>
    <mergeCell ref="A87:A88"/>
    <mergeCell ref="B87:B88"/>
    <mergeCell ref="C87:C88"/>
    <mergeCell ref="D87:D88"/>
    <mergeCell ref="E87:E88"/>
    <mergeCell ref="F87:F88"/>
    <mergeCell ref="G87:G88"/>
    <mergeCell ref="I87:I88"/>
    <mergeCell ref="J87:J88"/>
    <mergeCell ref="A89:A90"/>
    <mergeCell ref="B89:B90"/>
    <mergeCell ref="C89:C90"/>
    <mergeCell ref="D89:D90"/>
    <mergeCell ref="E89:E90"/>
    <mergeCell ref="F89:F90"/>
    <mergeCell ref="G89:G90"/>
    <mergeCell ref="I97:I102"/>
    <mergeCell ref="J97:J102"/>
    <mergeCell ref="I89:I90"/>
    <mergeCell ref="J89:J90"/>
    <mergeCell ref="A97:A102"/>
    <mergeCell ref="B97:B102"/>
    <mergeCell ref="C97:C102"/>
    <mergeCell ref="D97:D102"/>
    <mergeCell ref="E97:E102"/>
    <mergeCell ref="F97:F102"/>
    <mergeCell ref="G97:G102"/>
  </mergeCell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905C-FA64-4E4C-9983-E1023CC1BC25}">
  <dimension ref="A2:O325"/>
  <sheetViews>
    <sheetView topLeftCell="D3" zoomScale="85" zoomScaleNormal="85" workbookViewId="0">
      <selection activeCell="D3" sqref="D3"/>
    </sheetView>
  </sheetViews>
  <sheetFormatPr defaultColWidth="10.28515625" defaultRowHeight="15.6"/>
  <cols>
    <col min="1" max="1" width="17.140625" style="10" customWidth="1"/>
    <col min="2" max="2" width="14.140625" style="10" customWidth="1"/>
    <col min="3" max="3" width="10.140625" style="10" customWidth="1"/>
    <col min="4" max="5" width="27.7109375" style="1" customWidth="1"/>
    <col min="6" max="6" width="14.28515625" style="1" customWidth="1"/>
    <col min="7" max="8" width="19" style="1" bestFit="1" customWidth="1"/>
    <col min="9" max="9" width="17.85546875" style="1" bestFit="1" customWidth="1"/>
    <col min="10" max="10" width="20.140625" style="1" bestFit="1" customWidth="1"/>
    <col min="11" max="12" width="19" style="1" bestFit="1" customWidth="1"/>
    <col min="13" max="13" width="17.85546875" style="1" bestFit="1" customWidth="1"/>
    <col min="14" max="14" width="20.140625" style="1" bestFit="1" customWidth="1"/>
    <col min="15" max="15" width="18.42578125" style="1" bestFit="1" customWidth="1"/>
    <col min="16" max="16384" width="10.28515625" style="1"/>
  </cols>
  <sheetData>
    <row r="2" spans="1:4">
      <c r="A2" s="164" t="s">
        <v>2751</v>
      </c>
      <c r="B2" s="10" t="s">
        <v>2671</v>
      </c>
      <c r="C2" s="10" t="s">
        <v>2604</v>
      </c>
      <c r="D2" s="10" t="s">
        <v>2752</v>
      </c>
    </row>
    <row r="3" spans="1:4">
      <c r="A3" s="10" t="s">
        <v>2753</v>
      </c>
      <c r="B3" s="10" t="s">
        <v>2754</v>
      </c>
      <c r="C3" s="10" t="s">
        <v>2632</v>
      </c>
      <c r="D3" s="10">
        <v>1</v>
      </c>
    </row>
    <row r="4" spans="1:4">
      <c r="A4" s="10" t="s">
        <v>2755</v>
      </c>
      <c r="B4" s="10" t="s">
        <v>15</v>
      </c>
      <c r="C4" s="10" t="s">
        <v>2632</v>
      </c>
      <c r="D4" s="10">
        <v>2</v>
      </c>
    </row>
    <row r="5" spans="1:4">
      <c r="A5" s="10" t="s">
        <v>2756</v>
      </c>
      <c r="B5" s="10" t="s">
        <v>15</v>
      </c>
      <c r="C5" s="10" t="s">
        <v>2632</v>
      </c>
      <c r="D5" s="10">
        <v>3</v>
      </c>
    </row>
    <row r="6" spans="1:4">
      <c r="A6" s="10" t="s">
        <v>440</v>
      </c>
      <c r="B6" s="10" t="s">
        <v>15</v>
      </c>
      <c r="C6" s="10" t="s">
        <v>2632</v>
      </c>
      <c r="D6" s="10">
        <v>4</v>
      </c>
    </row>
    <row r="7" spans="1:4">
      <c r="A7" s="10" t="s">
        <v>2757</v>
      </c>
      <c r="B7" s="10" t="s">
        <v>15</v>
      </c>
      <c r="C7" s="10" t="s">
        <v>2632</v>
      </c>
      <c r="D7" s="10">
        <v>5</v>
      </c>
    </row>
    <row r="8" spans="1:4">
      <c r="A8" s="10" t="s">
        <v>2758</v>
      </c>
      <c r="B8" s="10" t="s">
        <v>15</v>
      </c>
      <c r="C8" s="10" t="s">
        <v>2632</v>
      </c>
      <c r="D8" s="10">
        <v>6</v>
      </c>
    </row>
    <row r="9" spans="1:4">
      <c r="A9" s="10" t="s">
        <v>2759</v>
      </c>
      <c r="B9" s="10" t="s">
        <v>2754</v>
      </c>
      <c r="C9" s="10" t="s">
        <v>2632</v>
      </c>
      <c r="D9" s="10">
        <v>7</v>
      </c>
    </row>
    <row r="10" spans="1:4">
      <c r="A10" s="10" t="s">
        <v>2760</v>
      </c>
      <c r="B10" s="10" t="s">
        <v>2754</v>
      </c>
      <c r="C10" s="10" t="s">
        <v>2632</v>
      </c>
      <c r="D10" s="10">
        <v>8</v>
      </c>
    </row>
    <row r="11" spans="1:4">
      <c r="A11" s="10" t="s">
        <v>2761</v>
      </c>
      <c r="B11" s="10" t="s">
        <v>2754</v>
      </c>
      <c r="C11" s="10" t="s">
        <v>2632</v>
      </c>
      <c r="D11" s="10">
        <v>9</v>
      </c>
    </row>
    <row r="12" spans="1:4">
      <c r="A12" s="10" t="s">
        <v>2762</v>
      </c>
      <c r="B12" s="10" t="s">
        <v>2754</v>
      </c>
      <c r="C12" s="10" t="s">
        <v>2632</v>
      </c>
      <c r="D12" s="10">
        <v>10</v>
      </c>
    </row>
    <row r="13" spans="1:4">
      <c r="A13" s="10" t="s">
        <v>2763</v>
      </c>
      <c r="B13" s="10" t="s">
        <v>15</v>
      </c>
      <c r="C13" s="10" t="s">
        <v>2632</v>
      </c>
      <c r="D13" s="10">
        <v>11</v>
      </c>
    </row>
    <row r="17" spans="1:15" ht="20.45">
      <c r="A17" s="8" t="s">
        <v>2764</v>
      </c>
      <c r="B17" s="8"/>
      <c r="C17" s="8"/>
      <c r="D17" s="8"/>
      <c r="E17" s="8"/>
      <c r="F17" s="8"/>
      <c r="G17" s="8"/>
      <c r="H17" s="8"/>
      <c r="I17" s="8"/>
      <c r="J17" s="8"/>
      <c r="K17" s="8"/>
      <c r="L17" s="8"/>
      <c r="M17" s="8"/>
      <c r="N17" s="8"/>
      <c r="O17" s="8"/>
    </row>
    <row r="18" spans="1:15" ht="20.45">
      <c r="A18" s="9" t="s">
        <v>2765</v>
      </c>
      <c r="B18" s="9"/>
      <c r="C18" s="9"/>
      <c r="D18" s="9"/>
      <c r="E18" s="9"/>
      <c r="F18" s="9"/>
      <c r="G18" s="9"/>
      <c r="H18" s="9"/>
      <c r="I18" s="9"/>
      <c r="J18" s="9"/>
      <c r="K18" s="9"/>
      <c r="L18" s="9"/>
      <c r="M18" s="9"/>
      <c r="N18" s="9"/>
      <c r="O18" s="9"/>
    </row>
    <row r="19" spans="1:15" ht="15.95" thickBot="1"/>
    <row r="20" spans="1:15" ht="21" thickBot="1">
      <c r="A20" s="11"/>
      <c r="B20" s="12"/>
      <c r="C20" s="11"/>
      <c r="D20" s="13"/>
      <c r="E20" s="13"/>
      <c r="F20" s="13"/>
      <c r="G20" s="14" t="s">
        <v>2766</v>
      </c>
      <c r="H20" s="15"/>
      <c r="I20" s="15"/>
      <c r="J20" s="15"/>
      <c r="K20" s="15"/>
      <c r="L20" s="15"/>
      <c r="M20" s="15"/>
      <c r="N20" s="15"/>
      <c r="O20" s="16"/>
    </row>
    <row r="21" spans="1:15" ht="15.95" thickBot="1">
      <c r="A21" s="17" t="s">
        <v>2767</v>
      </c>
      <c r="B21" s="18" t="s">
        <v>2768</v>
      </c>
      <c r="C21" s="17" t="s">
        <v>2769</v>
      </c>
      <c r="D21" s="17" t="s">
        <v>2757</v>
      </c>
      <c r="E21" s="17" t="s">
        <v>2758</v>
      </c>
      <c r="F21" s="17" t="s">
        <v>2770</v>
      </c>
      <c r="G21" s="19" t="s">
        <v>2771</v>
      </c>
      <c r="H21" s="20"/>
      <c r="I21" s="20"/>
      <c r="J21" s="21"/>
      <c r="K21" s="19" t="s">
        <v>2772</v>
      </c>
      <c r="L21" s="20"/>
      <c r="M21" s="20"/>
      <c r="N21" s="21"/>
      <c r="O21" s="22" t="s">
        <v>2773</v>
      </c>
    </row>
    <row r="22" spans="1:15" ht="15.95" thickBot="1">
      <c r="A22" s="23" t="s">
        <v>2774</v>
      </c>
      <c r="B22" s="24"/>
      <c r="C22" s="23"/>
      <c r="D22" s="23"/>
      <c r="E22" s="23"/>
      <c r="F22" s="24" t="s">
        <v>2775</v>
      </c>
      <c r="G22" s="25" t="s">
        <v>2776</v>
      </c>
      <c r="H22" s="26" t="s">
        <v>2777</v>
      </c>
      <c r="I22" s="27" t="s">
        <v>2778</v>
      </c>
      <c r="J22" s="28" t="s">
        <v>2707</v>
      </c>
      <c r="K22" s="29" t="s">
        <v>2776</v>
      </c>
      <c r="L22" s="29" t="s">
        <v>2777</v>
      </c>
      <c r="M22" s="29" t="s">
        <v>2778</v>
      </c>
      <c r="N22" s="29" t="s">
        <v>2707</v>
      </c>
      <c r="O22" s="30" t="s">
        <v>2707</v>
      </c>
    </row>
    <row r="23" spans="1:15">
      <c r="A23" s="31">
        <v>6618</v>
      </c>
      <c r="B23" s="32" t="s">
        <v>2779</v>
      </c>
      <c r="C23" s="33" t="s">
        <v>2780</v>
      </c>
      <c r="D23" s="34" t="s">
        <v>2781</v>
      </c>
      <c r="E23" s="1" t="s">
        <v>2782</v>
      </c>
      <c r="F23" s="35">
        <v>14.600000000000001</v>
      </c>
      <c r="G23" s="36">
        <v>24598891.791000001</v>
      </c>
      <c r="H23" s="37">
        <v>18354886.752350003</v>
      </c>
      <c r="I23" s="37">
        <v>3132924.5665799999</v>
      </c>
      <c r="J23" s="38">
        <v>46086703.109930001</v>
      </c>
      <c r="K23" s="36">
        <v>14216706.511000002</v>
      </c>
      <c r="L23" s="37">
        <v>16854508.976050001</v>
      </c>
      <c r="M23" s="37">
        <v>2717435.1655000001</v>
      </c>
      <c r="N23" s="38">
        <v>33788650.652550004</v>
      </c>
      <c r="O23" s="39">
        <v>79875353.762480006</v>
      </c>
    </row>
    <row r="24" spans="1:15">
      <c r="A24" s="31">
        <v>6618</v>
      </c>
      <c r="B24" s="32" t="s">
        <v>2779</v>
      </c>
      <c r="C24" s="31" t="s">
        <v>2780</v>
      </c>
      <c r="D24" s="34" t="s">
        <v>2781</v>
      </c>
      <c r="E24" s="1" t="s">
        <v>2783</v>
      </c>
      <c r="F24" s="35">
        <v>12.299999999999997</v>
      </c>
      <c r="G24" s="36">
        <v>41255423.947000004</v>
      </c>
      <c r="H24" s="37">
        <v>45538945.452600002</v>
      </c>
      <c r="I24" s="37">
        <v>7672884.2601299975</v>
      </c>
      <c r="J24" s="38">
        <v>94467253.659730002</v>
      </c>
      <c r="K24" s="36">
        <v>68071159.441</v>
      </c>
      <c r="L24" s="37">
        <v>51024010.100400001</v>
      </c>
      <c r="M24" s="37">
        <v>8353385.6074400004</v>
      </c>
      <c r="N24" s="38">
        <v>127448555.14884</v>
      </c>
      <c r="O24" s="39">
        <v>221915808.80857</v>
      </c>
    </row>
    <row r="25" spans="1:15">
      <c r="A25" s="31">
        <v>6618</v>
      </c>
      <c r="B25" s="32" t="s">
        <v>2779</v>
      </c>
      <c r="C25" s="31" t="s">
        <v>2780</v>
      </c>
      <c r="D25" s="34" t="s">
        <v>2781</v>
      </c>
      <c r="E25" s="1" t="s">
        <v>2784</v>
      </c>
      <c r="F25" s="35">
        <v>2.2000000000000028</v>
      </c>
      <c r="G25" s="36">
        <v>22363388.973999999</v>
      </c>
      <c r="H25" s="37">
        <v>15039329.532099999</v>
      </c>
      <c r="I25" s="37">
        <v>2356206.0279999999</v>
      </c>
      <c r="J25" s="38">
        <v>39758924.534099996</v>
      </c>
      <c r="K25" s="36">
        <v>79251.581000000006</v>
      </c>
      <c r="L25" s="37">
        <v>40453.907550000004</v>
      </c>
      <c r="M25" s="37">
        <v>13475.53125</v>
      </c>
      <c r="N25" s="38">
        <v>133181.01980000001</v>
      </c>
      <c r="O25" s="39">
        <v>39892105.553899996</v>
      </c>
    </row>
    <row r="26" spans="1:15">
      <c r="A26" s="31">
        <v>6627</v>
      </c>
      <c r="B26" s="32" t="s">
        <v>2779</v>
      </c>
      <c r="C26" s="31" t="s">
        <v>2785</v>
      </c>
      <c r="D26" s="34" t="s">
        <v>2786</v>
      </c>
      <c r="E26" s="1" t="s">
        <v>2787</v>
      </c>
      <c r="F26" s="35">
        <v>15.6</v>
      </c>
      <c r="G26" s="36">
        <v>25949047.747000001</v>
      </c>
      <c r="H26" s="37">
        <v>19213971.74405</v>
      </c>
      <c r="I26" s="37">
        <v>3376162.9169799997</v>
      </c>
      <c r="J26" s="38">
        <v>48539182.408030003</v>
      </c>
      <c r="K26" s="36">
        <v>15610382.086999999</v>
      </c>
      <c r="L26" s="37">
        <v>18700613.012450002</v>
      </c>
      <c r="M26" s="37">
        <v>3144112.895</v>
      </c>
      <c r="N26" s="38">
        <v>37455107.994450003</v>
      </c>
      <c r="O26" s="39">
        <v>85994290.402480006</v>
      </c>
    </row>
    <row r="27" spans="1:15">
      <c r="A27" s="31">
        <v>6214</v>
      </c>
      <c r="B27" s="32" t="s">
        <v>2002</v>
      </c>
      <c r="C27" s="31" t="s">
        <v>2780</v>
      </c>
      <c r="D27" s="34" t="s">
        <v>2788</v>
      </c>
      <c r="E27" s="1" t="s">
        <v>2789</v>
      </c>
      <c r="F27" s="35">
        <v>67.5</v>
      </c>
      <c r="G27" s="36">
        <v>151613430.48499998</v>
      </c>
      <c r="H27" s="37">
        <v>176208279.66570002</v>
      </c>
      <c r="I27" s="37">
        <v>26730555.970874999</v>
      </c>
      <c r="J27" s="38">
        <v>354552266.121575</v>
      </c>
      <c r="K27" s="36">
        <v>454794112.00599998</v>
      </c>
      <c r="L27" s="37">
        <v>209640807.2051</v>
      </c>
      <c r="M27" s="37">
        <v>29380469.017999995</v>
      </c>
      <c r="N27" s="38">
        <v>693815388.22909999</v>
      </c>
      <c r="O27" s="39">
        <v>1048367654.350675</v>
      </c>
    </row>
    <row r="28" spans="1:15">
      <c r="A28" s="31">
        <v>6214</v>
      </c>
      <c r="B28" s="32" t="s">
        <v>2002</v>
      </c>
      <c r="C28" s="31" t="s">
        <v>2780</v>
      </c>
      <c r="D28" s="34" t="s">
        <v>2788</v>
      </c>
      <c r="E28" s="1" t="s">
        <v>2790</v>
      </c>
      <c r="F28" s="35">
        <v>16.199999999999989</v>
      </c>
      <c r="G28" s="36">
        <v>38922958.277999997</v>
      </c>
      <c r="H28" s="37">
        <v>42219368.678850003</v>
      </c>
      <c r="I28" s="37">
        <v>6434393.6397499992</v>
      </c>
      <c r="J28" s="38">
        <v>87576720.596599996</v>
      </c>
      <c r="K28" s="36">
        <v>107579377.98300001</v>
      </c>
      <c r="L28" s="37">
        <v>50172868.978949994</v>
      </c>
      <c r="M28" s="37">
        <v>6874392.4856250007</v>
      </c>
      <c r="N28" s="38">
        <v>164626639.447575</v>
      </c>
      <c r="O28" s="39">
        <v>252203360.044175</v>
      </c>
    </row>
    <row r="29" spans="1:15">
      <c r="A29" s="31">
        <v>6214</v>
      </c>
      <c r="B29" s="32" t="s">
        <v>2002</v>
      </c>
      <c r="C29" s="31" t="s">
        <v>2780</v>
      </c>
      <c r="D29" s="34" t="s">
        <v>2788</v>
      </c>
      <c r="E29" s="1" t="s">
        <v>2791</v>
      </c>
      <c r="F29" s="35">
        <v>32.400000000000006</v>
      </c>
      <c r="G29" s="36">
        <v>84370183.226999998</v>
      </c>
      <c r="H29" s="37">
        <v>86778554.269150004</v>
      </c>
      <c r="I29" s="37">
        <v>11911793.785500001</v>
      </c>
      <c r="J29" s="38">
        <v>183060531.28165001</v>
      </c>
      <c r="K29" s="36">
        <v>219960766.88500002</v>
      </c>
      <c r="L29" s="37">
        <v>102749583.8176</v>
      </c>
      <c r="M29" s="37">
        <v>14032485.595000003</v>
      </c>
      <c r="N29" s="38">
        <v>336742836.29760003</v>
      </c>
      <c r="O29" s="39">
        <v>519803367.57925004</v>
      </c>
    </row>
    <row r="30" spans="1:15">
      <c r="A30" s="31">
        <v>4006</v>
      </c>
      <c r="B30" s="32" t="s">
        <v>2002</v>
      </c>
      <c r="C30" s="31" t="s">
        <v>2780</v>
      </c>
      <c r="D30" s="34" t="s">
        <v>2792</v>
      </c>
      <c r="E30" s="1" t="s">
        <v>2793</v>
      </c>
      <c r="F30" s="35">
        <v>6.4</v>
      </c>
      <c r="G30" s="36">
        <v>274631.38500000001</v>
      </c>
      <c r="H30" s="37">
        <v>112381.65914999999</v>
      </c>
      <c r="I30" s="37">
        <v>19943.326125</v>
      </c>
      <c r="J30" s="38">
        <v>406956.37027499999</v>
      </c>
      <c r="K30" s="36">
        <v>6541.2690000000002</v>
      </c>
      <c r="L30" s="37">
        <v>99150.809249999991</v>
      </c>
      <c r="M30" s="37">
        <v>56225.708624999999</v>
      </c>
      <c r="N30" s="38">
        <v>161917.78687499999</v>
      </c>
      <c r="O30" s="39">
        <v>568874.15714999998</v>
      </c>
    </row>
    <row r="31" spans="1:15">
      <c r="A31" s="31">
        <v>6334</v>
      </c>
      <c r="B31" s="32" t="s">
        <v>1853</v>
      </c>
      <c r="C31" s="31" t="s">
        <v>2780</v>
      </c>
      <c r="D31" s="34" t="s">
        <v>2191</v>
      </c>
      <c r="E31" s="1" t="s">
        <v>2794</v>
      </c>
      <c r="F31" s="35">
        <v>18.899999999999999</v>
      </c>
      <c r="G31" s="36">
        <v>3279.18</v>
      </c>
      <c r="H31" s="37">
        <v>10456682.90625</v>
      </c>
      <c r="I31" s="37">
        <v>1193135.98875</v>
      </c>
      <c r="J31" s="38">
        <v>11653098.074999999</v>
      </c>
      <c r="K31" s="36">
        <v>39715238.173</v>
      </c>
      <c r="L31" s="37">
        <v>10341261.1249</v>
      </c>
      <c r="M31" s="37">
        <v>840292.67975000001</v>
      </c>
      <c r="N31" s="38">
        <v>50896791.977650002</v>
      </c>
      <c r="O31" s="39">
        <v>62549890.052650005</v>
      </c>
    </row>
    <row r="32" spans="1:15">
      <c r="A32" s="31">
        <v>6517</v>
      </c>
      <c r="B32" s="32" t="s">
        <v>1870</v>
      </c>
      <c r="C32" s="31" t="s">
        <v>2780</v>
      </c>
      <c r="D32" s="34" t="s">
        <v>2063</v>
      </c>
      <c r="E32" s="1" t="s">
        <v>2795</v>
      </c>
      <c r="F32" s="35">
        <v>175.4</v>
      </c>
      <c r="G32" s="36">
        <v>959870647.0849998</v>
      </c>
      <c r="H32" s="37">
        <v>1029132336.3715498</v>
      </c>
      <c r="I32" s="37">
        <v>136595179.48617998</v>
      </c>
      <c r="J32" s="38">
        <v>2125598162.9427297</v>
      </c>
      <c r="K32" s="36">
        <v>1592861041.461</v>
      </c>
      <c r="L32" s="37">
        <v>1024090205.8521501</v>
      </c>
      <c r="M32" s="37">
        <v>135328103.24649999</v>
      </c>
      <c r="N32" s="38">
        <v>2752279350.5596499</v>
      </c>
      <c r="O32" s="39">
        <v>4877877513.5023794</v>
      </c>
    </row>
    <row r="33" spans="1:15">
      <c r="A33" s="31">
        <v>6517</v>
      </c>
      <c r="B33" s="32" t="s">
        <v>1870</v>
      </c>
      <c r="C33" s="31" t="s">
        <v>2780</v>
      </c>
      <c r="D33" s="34" t="s">
        <v>2063</v>
      </c>
      <c r="E33" s="1" t="s">
        <v>2796</v>
      </c>
      <c r="F33" s="35">
        <v>21.599999999999994</v>
      </c>
      <c r="G33" s="36">
        <v>118918250.85599998</v>
      </c>
      <c r="H33" s="37">
        <v>133782016.15465</v>
      </c>
      <c r="I33" s="37">
        <v>18235688.527210001</v>
      </c>
      <c r="J33" s="38">
        <v>270935955.53785998</v>
      </c>
      <c r="K33" s="36">
        <v>192647776.95300001</v>
      </c>
      <c r="L33" s="37">
        <v>133105976.61939999</v>
      </c>
      <c r="M33" s="37">
        <v>18165527.699375</v>
      </c>
      <c r="N33" s="38">
        <v>343919281.27177495</v>
      </c>
      <c r="O33" s="39">
        <v>614855236.80963492</v>
      </c>
    </row>
    <row r="34" spans="1:15">
      <c r="A34" s="31">
        <v>6517</v>
      </c>
      <c r="B34" s="32" t="s">
        <v>1870</v>
      </c>
      <c r="C34" s="31" t="s">
        <v>2780</v>
      </c>
      <c r="D34" s="34" t="s">
        <v>2063</v>
      </c>
      <c r="E34" s="1" t="s">
        <v>2797</v>
      </c>
      <c r="F34" s="35">
        <v>9.9999999999994316E-2</v>
      </c>
      <c r="G34" s="36">
        <v>15620784.658999998</v>
      </c>
      <c r="H34" s="37">
        <v>13647784.5606</v>
      </c>
      <c r="I34" s="37">
        <v>2191211.8674725001</v>
      </c>
      <c r="J34" s="38">
        <v>31459781.087072499</v>
      </c>
      <c r="K34" s="36">
        <v>11940996.870000001</v>
      </c>
      <c r="L34" s="37">
        <v>13647334.822700001</v>
      </c>
      <c r="M34" s="37">
        <v>2342325.8107475</v>
      </c>
      <c r="N34" s="38">
        <v>27930657.503447503</v>
      </c>
      <c r="O34" s="39">
        <v>59390438.590520002</v>
      </c>
    </row>
    <row r="35" spans="1:15">
      <c r="A35" s="31">
        <v>6517</v>
      </c>
      <c r="B35" s="32" t="s">
        <v>1870</v>
      </c>
      <c r="C35" s="31" t="s">
        <v>2780</v>
      </c>
      <c r="D35" s="34" t="s">
        <v>2063</v>
      </c>
      <c r="E35" s="1" t="s">
        <v>2798</v>
      </c>
      <c r="F35" s="35">
        <v>9.2000000000000171</v>
      </c>
      <c r="G35" s="36">
        <v>89343651.229000002</v>
      </c>
      <c r="H35" s="37">
        <v>98544695.155050009</v>
      </c>
      <c r="I35" s="37">
        <v>16694338.7809145</v>
      </c>
      <c r="J35" s="38">
        <v>204582685.1649645</v>
      </c>
      <c r="K35" s="36">
        <v>116047626.19499999</v>
      </c>
      <c r="L35" s="37">
        <v>98216206.25925</v>
      </c>
      <c r="M35" s="37">
        <v>15730865.281429498</v>
      </c>
      <c r="N35" s="38">
        <v>229994697.73567948</v>
      </c>
      <c r="O35" s="39">
        <v>434577382.90064394</v>
      </c>
    </row>
    <row r="36" spans="1:15">
      <c r="A36" s="31">
        <v>4018</v>
      </c>
      <c r="B36" s="32" t="s">
        <v>1928</v>
      </c>
      <c r="C36" s="31" t="s">
        <v>2780</v>
      </c>
      <c r="D36" s="34" t="s">
        <v>2799</v>
      </c>
      <c r="E36" s="1" t="s">
        <v>2800</v>
      </c>
      <c r="F36" s="35">
        <v>5</v>
      </c>
      <c r="G36" s="36">
        <v>51114.818000000007</v>
      </c>
      <c r="H36" s="37">
        <v>179799.20765</v>
      </c>
      <c r="I36" s="37">
        <v>143979.65699999998</v>
      </c>
      <c r="J36" s="38">
        <v>374893.68264999997</v>
      </c>
      <c r="K36" s="36">
        <v>64089.004000000001</v>
      </c>
      <c r="L36" s="37">
        <v>43524.407800000008</v>
      </c>
      <c r="M36" s="37">
        <v>84790.250000000015</v>
      </c>
      <c r="N36" s="38">
        <v>192403.6618</v>
      </c>
      <c r="O36" s="39">
        <v>567297.34444999998</v>
      </c>
    </row>
    <row r="37" spans="1:15">
      <c r="A37" s="31">
        <v>6243</v>
      </c>
      <c r="B37" s="32" t="s">
        <v>2002</v>
      </c>
      <c r="C37" s="31" t="s">
        <v>2780</v>
      </c>
      <c r="D37" s="34" t="s">
        <v>2801</v>
      </c>
      <c r="E37" s="1" t="s">
        <v>2802</v>
      </c>
      <c r="F37" s="35">
        <v>7.8</v>
      </c>
      <c r="G37" s="36">
        <v>1682257.1070000003</v>
      </c>
      <c r="H37" s="37">
        <v>574599.82550000004</v>
      </c>
      <c r="I37" s="37">
        <v>396099.39974999998</v>
      </c>
      <c r="J37" s="38">
        <v>2652956.33225</v>
      </c>
      <c r="K37" s="36">
        <v>9277.2950000000001</v>
      </c>
      <c r="L37" s="37">
        <v>566668.72930000001</v>
      </c>
      <c r="M37" s="37">
        <v>100156.034375</v>
      </c>
      <c r="N37" s="38">
        <v>676102.05867500009</v>
      </c>
      <c r="O37" s="39">
        <v>3329058.390925</v>
      </c>
    </row>
    <row r="38" spans="1:15">
      <c r="A38" s="31">
        <v>6243</v>
      </c>
      <c r="B38" s="32" t="s">
        <v>2002</v>
      </c>
      <c r="C38" s="31" t="s">
        <v>2780</v>
      </c>
      <c r="D38" s="34" t="s">
        <v>2801</v>
      </c>
      <c r="E38" s="1" t="s">
        <v>2803</v>
      </c>
      <c r="F38" s="35">
        <v>3.5000000000000009</v>
      </c>
      <c r="G38" s="36">
        <v>5078786.8600000003</v>
      </c>
      <c r="H38" s="37">
        <v>2453643.9537</v>
      </c>
      <c r="I38" s="37">
        <v>530831.12800000003</v>
      </c>
      <c r="J38" s="38">
        <v>8063261.9417000003</v>
      </c>
      <c r="K38" s="36">
        <v>288886.50400000002</v>
      </c>
      <c r="L38" s="37">
        <v>2446786.9166000001</v>
      </c>
      <c r="M38" s="37">
        <v>541290.14300000004</v>
      </c>
      <c r="N38" s="38">
        <v>3276963.5636000005</v>
      </c>
      <c r="O38" s="39">
        <v>11340225.5053</v>
      </c>
    </row>
    <row r="39" spans="1:15">
      <c r="A39" s="31">
        <v>6321</v>
      </c>
      <c r="B39" s="32" t="s">
        <v>1831</v>
      </c>
      <c r="C39" s="31" t="s">
        <v>2780</v>
      </c>
      <c r="D39" s="34" t="s">
        <v>2804</v>
      </c>
      <c r="E39" s="1" t="s">
        <v>2805</v>
      </c>
      <c r="F39" s="35">
        <v>76.599999999999994</v>
      </c>
      <c r="G39" s="36">
        <v>56600629.802999996</v>
      </c>
      <c r="H39" s="37">
        <v>256682498.27399996</v>
      </c>
      <c r="I39" s="37">
        <v>47934655.813336998</v>
      </c>
      <c r="J39" s="38">
        <v>361217783.89033699</v>
      </c>
      <c r="K39" s="36">
        <v>589181766.48900008</v>
      </c>
      <c r="L39" s="37">
        <v>245724410.93099999</v>
      </c>
      <c r="M39" s="37">
        <v>45519033.379836999</v>
      </c>
      <c r="N39" s="38">
        <v>880425210.79983711</v>
      </c>
      <c r="O39" s="39">
        <v>1241642994.6901741</v>
      </c>
    </row>
    <row r="40" spans="1:15">
      <c r="A40" s="31">
        <v>6321</v>
      </c>
      <c r="B40" s="32" t="s">
        <v>2806</v>
      </c>
      <c r="C40" s="31" t="s">
        <v>2780</v>
      </c>
      <c r="D40" s="34" t="s">
        <v>2804</v>
      </c>
      <c r="E40" s="1" t="s">
        <v>2807</v>
      </c>
      <c r="F40" s="35">
        <v>42</v>
      </c>
      <c r="G40" s="36">
        <v>35713248.814000003</v>
      </c>
      <c r="H40" s="37">
        <v>134120977.26529998</v>
      </c>
      <c r="I40" s="37">
        <v>24160486.609180499</v>
      </c>
      <c r="J40" s="38">
        <v>193994712.6884805</v>
      </c>
      <c r="K40" s="36">
        <v>298420212.79800004</v>
      </c>
      <c r="L40" s="37">
        <v>128997334.71429999</v>
      </c>
      <c r="M40" s="37">
        <v>23223339.614430502</v>
      </c>
      <c r="N40" s="38">
        <v>450640887.1267305</v>
      </c>
      <c r="O40" s="39">
        <v>644635599.81521106</v>
      </c>
    </row>
    <row r="41" spans="1:15">
      <c r="A41" s="31">
        <v>6228</v>
      </c>
      <c r="B41" s="32" t="s">
        <v>2002</v>
      </c>
      <c r="C41" s="31" t="s">
        <v>2780</v>
      </c>
      <c r="D41" s="34" t="s">
        <v>2808</v>
      </c>
      <c r="E41" s="1" t="s">
        <v>2809</v>
      </c>
      <c r="F41" s="35">
        <v>28</v>
      </c>
      <c r="G41" s="36">
        <v>607605.45600000001</v>
      </c>
      <c r="H41" s="37">
        <v>248246.17599999998</v>
      </c>
      <c r="I41" s="37">
        <v>100846.2</v>
      </c>
      <c r="J41" s="38">
        <v>956697.83199999994</v>
      </c>
      <c r="K41" s="36">
        <v>20036.912</v>
      </c>
      <c r="L41" s="37">
        <v>12626.9944</v>
      </c>
      <c r="M41" s="37">
        <v>17148.600000000002</v>
      </c>
      <c r="N41" s="38">
        <v>49812.506399999998</v>
      </c>
      <c r="O41" s="39">
        <v>1006510.3383999999</v>
      </c>
    </row>
    <row r="42" spans="1:15">
      <c r="A42" s="31">
        <v>6319</v>
      </c>
      <c r="B42" s="32" t="s">
        <v>1831</v>
      </c>
      <c r="C42" s="31" t="s">
        <v>2780</v>
      </c>
      <c r="D42" s="34" t="s">
        <v>1917</v>
      </c>
      <c r="E42" s="1" t="s">
        <v>2810</v>
      </c>
      <c r="F42" s="35">
        <v>8.1999999999999993</v>
      </c>
      <c r="G42" s="36">
        <v>72345186.836999997</v>
      </c>
      <c r="H42" s="37">
        <v>59706073.524200007</v>
      </c>
      <c r="I42" s="37">
        <v>9626686.1600499991</v>
      </c>
      <c r="J42" s="38">
        <v>141677946.52125001</v>
      </c>
      <c r="K42" s="36">
        <v>135445329.11500001</v>
      </c>
      <c r="L42" s="37">
        <v>69660088.619100004</v>
      </c>
      <c r="M42" s="37">
        <v>10417225.155375</v>
      </c>
      <c r="N42" s="38">
        <v>215522642.88947502</v>
      </c>
      <c r="O42" s="39">
        <v>357200589.410725</v>
      </c>
    </row>
    <row r="43" spans="1:15">
      <c r="A43" s="31">
        <v>6319</v>
      </c>
      <c r="B43" s="32" t="s">
        <v>1831</v>
      </c>
      <c r="C43" s="31" t="s">
        <v>2780</v>
      </c>
      <c r="D43" s="34" t="s">
        <v>1917</v>
      </c>
      <c r="E43" s="1" t="s">
        <v>2811</v>
      </c>
      <c r="F43" s="35">
        <v>38.400000000000006</v>
      </c>
      <c r="G43" s="36">
        <v>340658779.41400003</v>
      </c>
      <c r="H43" s="37">
        <v>259046964.54500002</v>
      </c>
      <c r="I43" s="37">
        <v>42193938.373490006</v>
      </c>
      <c r="J43" s="38">
        <v>641899682.33249009</v>
      </c>
      <c r="K43" s="36">
        <v>532262951.76100004</v>
      </c>
      <c r="L43" s="37">
        <v>298594302.824</v>
      </c>
      <c r="M43" s="37">
        <v>44487536.570075005</v>
      </c>
      <c r="N43" s="38">
        <v>875344791.15507507</v>
      </c>
      <c r="O43" s="39">
        <v>1517244473.487565</v>
      </c>
    </row>
    <row r="44" spans="1:15">
      <c r="A44" s="31">
        <v>6319</v>
      </c>
      <c r="B44" s="32" t="s">
        <v>2806</v>
      </c>
      <c r="C44" s="31" t="s">
        <v>2780</v>
      </c>
      <c r="D44" s="34" t="s">
        <v>1917</v>
      </c>
      <c r="E44" s="1" t="s">
        <v>2812</v>
      </c>
      <c r="F44" s="35">
        <v>70.900000000000006</v>
      </c>
      <c r="G44" s="36">
        <v>660752461.89199996</v>
      </c>
      <c r="H44" s="37">
        <v>479256632.91644996</v>
      </c>
      <c r="I44" s="37">
        <v>76302240.890410006</v>
      </c>
      <c r="J44" s="38">
        <v>1216311335.6988599</v>
      </c>
      <c r="K44" s="36">
        <v>957002050.4410001</v>
      </c>
      <c r="L44" s="37">
        <v>547838090.77699995</v>
      </c>
      <c r="M44" s="37">
        <v>80313114.490925014</v>
      </c>
      <c r="N44" s="38">
        <v>1585153255.708925</v>
      </c>
      <c r="O44" s="39">
        <v>2801464591.4077849</v>
      </c>
    </row>
    <row r="45" spans="1:15">
      <c r="A45" s="31">
        <v>6319</v>
      </c>
      <c r="B45" s="32" t="s">
        <v>1853</v>
      </c>
      <c r="C45" s="31" t="s">
        <v>2780</v>
      </c>
      <c r="D45" s="34" t="s">
        <v>1917</v>
      </c>
      <c r="E45" s="1" t="s">
        <v>2813</v>
      </c>
      <c r="F45" s="35">
        <v>13.400000000000006</v>
      </c>
      <c r="G45" s="36">
        <v>126753344.46600001</v>
      </c>
      <c r="H45" s="37">
        <v>90795051.568550006</v>
      </c>
      <c r="I45" s="37">
        <v>14483661.98298</v>
      </c>
      <c r="J45" s="38">
        <v>232032058.01753002</v>
      </c>
      <c r="K45" s="36">
        <v>178485905.51700002</v>
      </c>
      <c r="L45" s="37">
        <v>103765496.54895</v>
      </c>
      <c r="M45" s="37">
        <v>15262805.881650001</v>
      </c>
      <c r="N45" s="38">
        <v>297514207.94760001</v>
      </c>
      <c r="O45" s="39">
        <v>529546265.96513003</v>
      </c>
    </row>
    <row r="46" spans="1:15">
      <c r="A46" s="31">
        <v>6516</v>
      </c>
      <c r="B46" s="32" t="s">
        <v>1870</v>
      </c>
      <c r="C46" s="31" t="s">
        <v>2780</v>
      </c>
      <c r="D46" s="34" t="s">
        <v>2814</v>
      </c>
      <c r="E46" s="1" t="s">
        <v>2815</v>
      </c>
      <c r="F46" s="35">
        <v>27.6</v>
      </c>
      <c r="G46" s="36">
        <v>3145798.6349999998</v>
      </c>
      <c r="H46" s="37">
        <v>2562229.7528999997</v>
      </c>
      <c r="I46" s="37">
        <v>1467216.5895</v>
      </c>
      <c r="J46" s="38">
        <v>7175244.9773999993</v>
      </c>
      <c r="K46" s="36">
        <v>4199537.0669999998</v>
      </c>
      <c r="L46" s="37">
        <v>2602711.5880499999</v>
      </c>
      <c r="M46" s="37">
        <v>1559192.5544999999</v>
      </c>
      <c r="N46" s="38">
        <v>8361441.2095499998</v>
      </c>
      <c r="O46" s="39">
        <v>15536686.186949998</v>
      </c>
    </row>
    <row r="47" spans="1:15">
      <c r="A47" s="31">
        <v>6202</v>
      </c>
      <c r="B47" s="32" t="s">
        <v>2002</v>
      </c>
      <c r="C47" s="31" t="s">
        <v>2780</v>
      </c>
      <c r="D47" s="34" t="s">
        <v>2098</v>
      </c>
      <c r="E47" s="1" t="s">
        <v>2816</v>
      </c>
      <c r="F47" s="35">
        <v>97.6</v>
      </c>
      <c r="G47" s="36">
        <v>2205155558.158</v>
      </c>
      <c r="H47" s="37">
        <v>1271150702.5961499</v>
      </c>
      <c r="I47" s="37">
        <v>187492840.31659999</v>
      </c>
      <c r="J47" s="38">
        <v>3663799101.0707498</v>
      </c>
      <c r="K47" s="36">
        <v>1455302731.8960001</v>
      </c>
      <c r="L47" s="37">
        <v>1330290902.5206499</v>
      </c>
      <c r="M47" s="37">
        <v>198332235.68800005</v>
      </c>
      <c r="N47" s="38">
        <v>2983925870.10465</v>
      </c>
      <c r="O47" s="39">
        <v>6647724971.1753998</v>
      </c>
    </row>
    <row r="48" spans="1:15">
      <c r="A48" s="31">
        <v>6202</v>
      </c>
      <c r="B48" s="32" t="s">
        <v>2002</v>
      </c>
      <c r="C48" s="31" t="s">
        <v>2780</v>
      </c>
      <c r="D48" s="34" t="s">
        <v>2098</v>
      </c>
      <c r="E48" s="1" t="s">
        <v>2817</v>
      </c>
      <c r="F48" s="35">
        <v>46.800000000000011</v>
      </c>
      <c r="G48" s="36">
        <v>1183581853.5589998</v>
      </c>
      <c r="H48" s="37">
        <v>677800195.62319994</v>
      </c>
      <c r="I48" s="37">
        <v>98061425.010535002</v>
      </c>
      <c r="J48" s="38">
        <v>1959443474.1927347</v>
      </c>
      <c r="K48" s="36">
        <v>771308999.73199999</v>
      </c>
      <c r="L48" s="37">
        <v>709625754.42715001</v>
      </c>
      <c r="M48" s="37">
        <v>104672323.772025</v>
      </c>
      <c r="N48" s="38">
        <v>1585607077.9311752</v>
      </c>
      <c r="O48" s="39">
        <v>3545050552.12391</v>
      </c>
    </row>
    <row r="49" spans="1:15">
      <c r="A49" s="31">
        <v>6202</v>
      </c>
      <c r="B49" s="32" t="s">
        <v>2002</v>
      </c>
      <c r="C49" s="31" t="s">
        <v>2780</v>
      </c>
      <c r="D49" s="34" t="s">
        <v>2098</v>
      </c>
      <c r="E49" s="1" t="s">
        <v>2818</v>
      </c>
      <c r="F49" s="35">
        <v>21.199999999999989</v>
      </c>
      <c r="G49" s="36">
        <v>377520739.67500007</v>
      </c>
      <c r="H49" s="37">
        <v>215743206.87535</v>
      </c>
      <c r="I49" s="37">
        <v>31203684.477460001</v>
      </c>
      <c r="J49" s="38">
        <v>624467631.0278101</v>
      </c>
      <c r="K49" s="36">
        <v>243092307.39200002</v>
      </c>
      <c r="L49" s="37">
        <v>225635578.69865</v>
      </c>
      <c r="M49" s="37">
        <v>33669598.024549998</v>
      </c>
      <c r="N49" s="38">
        <v>502397484.11520004</v>
      </c>
      <c r="O49" s="39">
        <v>1126865115.1430101</v>
      </c>
    </row>
    <row r="50" spans="1:15">
      <c r="A50" s="31">
        <v>6202</v>
      </c>
      <c r="B50" s="32" t="s">
        <v>2002</v>
      </c>
      <c r="C50" s="31" t="s">
        <v>2780</v>
      </c>
      <c r="D50" s="34" t="s">
        <v>2098</v>
      </c>
      <c r="E50" s="1" t="s">
        <v>2819</v>
      </c>
      <c r="F50" s="35">
        <v>5.5</v>
      </c>
      <c r="G50" s="36">
        <v>125925977.05400001</v>
      </c>
      <c r="H50" s="37">
        <v>73630738.190449983</v>
      </c>
      <c r="I50" s="37">
        <v>11179500.642695</v>
      </c>
      <c r="J50" s="38">
        <v>210736215.88714498</v>
      </c>
      <c r="K50" s="36">
        <v>83393288.849999994</v>
      </c>
      <c r="L50" s="37">
        <v>76789942.507599995</v>
      </c>
      <c r="M50" s="37">
        <v>11974510.872234998</v>
      </c>
      <c r="N50" s="38">
        <v>172157742.22983497</v>
      </c>
      <c r="O50" s="39">
        <v>382893958.11697996</v>
      </c>
    </row>
    <row r="51" spans="1:15">
      <c r="A51" s="31">
        <v>6202</v>
      </c>
      <c r="B51" s="32" t="s">
        <v>2002</v>
      </c>
      <c r="C51" s="31" t="s">
        <v>2780</v>
      </c>
      <c r="D51" s="34" t="s">
        <v>2098</v>
      </c>
      <c r="E51" s="1" t="s">
        <v>2820</v>
      </c>
      <c r="F51" s="35">
        <v>3.4000000000000057</v>
      </c>
      <c r="G51" s="36">
        <v>97979006.563000008</v>
      </c>
      <c r="H51" s="37">
        <v>59290604.264649995</v>
      </c>
      <c r="I51" s="37">
        <v>9053933.1559449974</v>
      </c>
      <c r="J51" s="38">
        <v>166323543.98359501</v>
      </c>
      <c r="K51" s="36">
        <v>72788072.493999988</v>
      </c>
      <c r="L51" s="37">
        <v>60344095.112450011</v>
      </c>
      <c r="M51" s="37">
        <v>9428038.4122499991</v>
      </c>
      <c r="N51" s="38">
        <v>142560206.0187</v>
      </c>
      <c r="O51" s="39">
        <v>308883750.00229502</v>
      </c>
    </row>
    <row r="52" spans="1:15">
      <c r="A52" s="31">
        <v>6202</v>
      </c>
      <c r="B52" s="32" t="s">
        <v>2002</v>
      </c>
      <c r="C52" s="31" t="s">
        <v>2780</v>
      </c>
      <c r="D52" s="34" t="s">
        <v>2098</v>
      </c>
      <c r="E52" s="1" t="s">
        <v>2821</v>
      </c>
      <c r="F52" s="35">
        <v>1.3000000000000114</v>
      </c>
      <c r="G52" s="36">
        <v>50345209.487999998</v>
      </c>
      <c r="H52" s="37">
        <v>21876549.43905</v>
      </c>
      <c r="I52" s="37">
        <v>3666993.4041250004</v>
      </c>
      <c r="J52" s="38">
        <v>75888752.331174999</v>
      </c>
      <c r="K52" s="36">
        <v>15121050.684</v>
      </c>
      <c r="L52" s="37">
        <v>21815933.513250001</v>
      </c>
      <c r="M52" s="37">
        <v>3749067.686425</v>
      </c>
      <c r="N52" s="38">
        <v>40686051.883675002</v>
      </c>
      <c r="O52" s="39">
        <v>116574804.21485001</v>
      </c>
    </row>
    <row r="53" spans="1:15">
      <c r="A53" s="31">
        <v>6354</v>
      </c>
      <c r="B53" s="32" t="s">
        <v>1853</v>
      </c>
      <c r="C53" s="31" t="s">
        <v>2780</v>
      </c>
      <c r="D53" s="34" t="s">
        <v>2822</v>
      </c>
      <c r="E53" s="1" t="s">
        <v>2823</v>
      </c>
      <c r="F53" s="35">
        <v>28.299999999999997</v>
      </c>
      <c r="G53" s="36">
        <v>7771249.9200000009</v>
      </c>
      <c r="H53" s="37">
        <v>2331992.5533499997</v>
      </c>
      <c r="I53" s="37">
        <v>545906.50025000004</v>
      </c>
      <c r="J53" s="38">
        <v>10649148.9736</v>
      </c>
      <c r="K53" s="36">
        <v>0</v>
      </c>
      <c r="L53" s="37">
        <v>2381225.1073499997</v>
      </c>
      <c r="M53" s="37">
        <v>335022.91800000001</v>
      </c>
      <c r="N53" s="38">
        <v>2716248.0253499998</v>
      </c>
      <c r="O53" s="39">
        <v>13365396.998950001</v>
      </c>
    </row>
    <row r="54" spans="1:15">
      <c r="A54" s="31">
        <v>6113</v>
      </c>
      <c r="B54" s="32" t="s">
        <v>1928</v>
      </c>
      <c r="C54" s="31" t="s">
        <v>2780</v>
      </c>
      <c r="D54" s="34" t="s">
        <v>2824</v>
      </c>
      <c r="E54" s="1" t="s">
        <v>2825</v>
      </c>
      <c r="F54" s="35">
        <v>9.9</v>
      </c>
      <c r="G54" s="36">
        <v>0</v>
      </c>
      <c r="H54" s="37">
        <v>0</v>
      </c>
      <c r="I54" s="37">
        <v>0</v>
      </c>
      <c r="J54" s="38">
        <v>0</v>
      </c>
      <c r="K54" s="36">
        <v>0</v>
      </c>
      <c r="L54" s="37">
        <v>0</v>
      </c>
      <c r="M54" s="37">
        <v>0</v>
      </c>
      <c r="N54" s="38">
        <v>0</v>
      </c>
      <c r="O54" s="39">
        <v>0</v>
      </c>
    </row>
    <row r="55" spans="1:15" s="40" customFormat="1">
      <c r="A55" s="31">
        <v>6318</v>
      </c>
      <c r="B55" s="32" t="s">
        <v>1831</v>
      </c>
      <c r="C55" s="31" t="s">
        <v>2780</v>
      </c>
      <c r="D55" s="34" t="s">
        <v>1826</v>
      </c>
      <c r="E55" s="1" t="s">
        <v>2826</v>
      </c>
      <c r="F55" s="35">
        <v>1.9</v>
      </c>
      <c r="G55" s="36">
        <v>25446535.206999999</v>
      </c>
      <c r="H55" s="37">
        <v>26596038.521600001</v>
      </c>
      <c r="I55" s="37">
        <v>4143214.5810029996</v>
      </c>
      <c r="J55" s="38">
        <v>56185788.309602998</v>
      </c>
      <c r="K55" s="36">
        <v>53314868.961999997</v>
      </c>
      <c r="L55" s="37">
        <v>25417352.13205</v>
      </c>
      <c r="M55" s="37">
        <v>3636201.668476</v>
      </c>
      <c r="N55" s="38">
        <v>82368422.762525991</v>
      </c>
      <c r="O55" s="39">
        <v>138554211.07212898</v>
      </c>
    </row>
    <row r="56" spans="1:15" s="40" customFormat="1">
      <c r="A56" s="31">
        <v>6318</v>
      </c>
      <c r="B56" s="32" t="s">
        <v>1831</v>
      </c>
      <c r="C56" s="31" t="s">
        <v>2780</v>
      </c>
      <c r="D56" s="34" t="s">
        <v>1826</v>
      </c>
      <c r="E56" s="1" t="s">
        <v>2827</v>
      </c>
      <c r="F56" s="35">
        <v>3.8000000000000003</v>
      </c>
      <c r="G56" s="36">
        <v>35322373.376000002</v>
      </c>
      <c r="H56" s="37">
        <v>41852560.776050001</v>
      </c>
      <c r="I56" s="37">
        <v>6063265.4622060005</v>
      </c>
      <c r="J56" s="38">
        <v>83238199.614256009</v>
      </c>
      <c r="K56" s="36">
        <v>96998794.839000002</v>
      </c>
      <c r="L56" s="37">
        <v>46131886.520149998</v>
      </c>
      <c r="M56" s="37">
        <v>6228970.9141659997</v>
      </c>
      <c r="N56" s="38">
        <v>149359652.273316</v>
      </c>
      <c r="O56" s="39">
        <v>232597851.88757199</v>
      </c>
    </row>
    <row r="57" spans="1:15" s="40" customFormat="1">
      <c r="A57" s="31">
        <v>6318</v>
      </c>
      <c r="B57" s="32" t="s">
        <v>1831</v>
      </c>
      <c r="C57" s="31" t="s">
        <v>2780</v>
      </c>
      <c r="D57" s="34" t="s">
        <v>1826</v>
      </c>
      <c r="E57" s="1" t="s">
        <v>2828</v>
      </c>
      <c r="F57" s="35">
        <v>50.599999999999994</v>
      </c>
      <c r="G57" s="36">
        <v>469719400.838</v>
      </c>
      <c r="H57" s="37">
        <v>541239380.36029994</v>
      </c>
      <c r="I57" s="37">
        <v>78719442.042907</v>
      </c>
      <c r="J57" s="38">
        <v>1089678223.2412069</v>
      </c>
      <c r="K57" s="36">
        <v>1243603895.7270002</v>
      </c>
      <c r="L57" s="37">
        <v>597186767.24794996</v>
      </c>
      <c r="M57" s="37">
        <v>81185708.335926995</v>
      </c>
      <c r="N57" s="38">
        <v>1921976371.3108773</v>
      </c>
      <c r="O57" s="39">
        <v>3011654594.552084</v>
      </c>
    </row>
    <row r="58" spans="1:15" s="40" customFormat="1">
      <c r="A58" s="31">
        <v>6318</v>
      </c>
      <c r="B58" s="32" t="s">
        <v>1831</v>
      </c>
      <c r="C58" s="31" t="s">
        <v>2780</v>
      </c>
      <c r="D58" s="34" t="s">
        <v>1826</v>
      </c>
      <c r="E58" s="1" t="s">
        <v>2829</v>
      </c>
      <c r="F58" s="35">
        <v>76.8</v>
      </c>
      <c r="G58" s="36">
        <v>654248212.50100005</v>
      </c>
      <c r="H58" s="37">
        <v>546003388.4020499</v>
      </c>
      <c r="I58" s="37">
        <v>85749897.030550003</v>
      </c>
      <c r="J58" s="38">
        <v>1286001497.9335999</v>
      </c>
      <c r="K58" s="36">
        <v>1252763714.8729999</v>
      </c>
      <c r="L58" s="37">
        <v>642064218.39419997</v>
      </c>
      <c r="M58" s="37">
        <v>91986650.976475015</v>
      </c>
      <c r="N58" s="38">
        <v>1986814584.243675</v>
      </c>
      <c r="O58" s="39">
        <v>3272816082.1772747</v>
      </c>
    </row>
    <row r="59" spans="1:15" s="40" customFormat="1">
      <c r="A59" s="31">
        <v>6421</v>
      </c>
      <c r="B59" s="32" t="s">
        <v>1870</v>
      </c>
      <c r="C59" s="31" t="s">
        <v>2780</v>
      </c>
      <c r="D59" s="34" t="s">
        <v>2830</v>
      </c>
      <c r="E59" s="1" t="s">
        <v>2831</v>
      </c>
      <c r="F59" s="35">
        <v>3.2000000000000028</v>
      </c>
      <c r="G59" s="36">
        <v>3288067.4389999998</v>
      </c>
      <c r="H59" s="37">
        <v>1548299.4563</v>
      </c>
      <c r="I59" s="37">
        <v>955724.94300000009</v>
      </c>
      <c r="J59" s="38">
        <v>5792091.8382999999</v>
      </c>
      <c r="K59" s="36">
        <v>3311251.6569999997</v>
      </c>
      <c r="L59" s="37">
        <v>1391638.69035</v>
      </c>
      <c r="M59" s="37">
        <v>902661.804</v>
      </c>
      <c r="N59" s="38">
        <v>5605552.151349999</v>
      </c>
      <c r="O59" s="39">
        <v>11397643.98965</v>
      </c>
    </row>
    <row r="60" spans="1:15" s="40" customFormat="1">
      <c r="A60" s="31">
        <v>6421</v>
      </c>
      <c r="B60" s="32" t="s">
        <v>1870</v>
      </c>
      <c r="C60" s="31" t="s">
        <v>2780</v>
      </c>
      <c r="D60" s="34" t="s">
        <v>2830</v>
      </c>
      <c r="E60" s="1" t="s">
        <v>2832</v>
      </c>
      <c r="F60" s="35">
        <v>6.7000000000000028</v>
      </c>
      <c r="G60" s="36">
        <v>57729452.715999998</v>
      </c>
      <c r="H60" s="37">
        <v>42735788.724399999</v>
      </c>
      <c r="I60" s="37">
        <v>7215927.8477479992</v>
      </c>
      <c r="J60" s="38">
        <v>107681169.288148</v>
      </c>
      <c r="K60" s="36">
        <v>68596170.915999994</v>
      </c>
      <c r="L60" s="37">
        <v>45312290.994599998</v>
      </c>
      <c r="M60" s="37">
        <v>7375837.3325260002</v>
      </c>
      <c r="N60" s="38">
        <v>121284299.24312599</v>
      </c>
      <c r="O60" s="39">
        <v>228965468.53127399</v>
      </c>
    </row>
    <row r="61" spans="1:15" s="40" customFormat="1">
      <c r="A61" s="31">
        <v>6421</v>
      </c>
      <c r="B61" s="32" t="s">
        <v>1870</v>
      </c>
      <c r="C61" s="31" t="s">
        <v>2780</v>
      </c>
      <c r="D61" s="34" t="s">
        <v>2830</v>
      </c>
      <c r="E61" s="1" t="s">
        <v>2833</v>
      </c>
      <c r="F61" s="35">
        <v>25.299999999999997</v>
      </c>
      <c r="G61" s="36">
        <v>194847261.80100003</v>
      </c>
      <c r="H61" s="37">
        <v>155964896.85104999</v>
      </c>
      <c r="I61" s="37">
        <v>25767784.780084502</v>
      </c>
      <c r="J61" s="38">
        <v>376579943.43213451</v>
      </c>
      <c r="K61" s="36">
        <v>264448698.48699999</v>
      </c>
      <c r="L61" s="37">
        <v>171355373.74400002</v>
      </c>
      <c r="M61" s="37">
        <v>26709427.930707</v>
      </c>
      <c r="N61" s="38">
        <v>462513500.16170698</v>
      </c>
      <c r="O61" s="39">
        <v>839093443.59384155</v>
      </c>
    </row>
    <row r="62" spans="1:15" s="40" customFormat="1">
      <c r="A62" s="31">
        <v>6421</v>
      </c>
      <c r="B62" s="32" t="s">
        <v>1870</v>
      </c>
      <c r="C62" s="31" t="s">
        <v>2780</v>
      </c>
      <c r="D62" s="34" t="s">
        <v>2830</v>
      </c>
      <c r="E62" s="1" t="s">
        <v>2834</v>
      </c>
      <c r="F62" s="35">
        <v>8.7000000000000028</v>
      </c>
      <c r="G62" s="36">
        <v>60332003.267999999</v>
      </c>
      <c r="H62" s="37">
        <v>51083377.053400002</v>
      </c>
      <c r="I62" s="37">
        <v>8402014.8879950009</v>
      </c>
      <c r="J62" s="38">
        <v>119817395.20939501</v>
      </c>
      <c r="K62" s="36">
        <v>94903545.586999997</v>
      </c>
      <c r="L62" s="37">
        <v>59745197.194649994</v>
      </c>
      <c r="M62" s="37">
        <v>8846359.7501355</v>
      </c>
      <c r="N62" s="38">
        <v>163495102.53178552</v>
      </c>
      <c r="O62" s="39">
        <v>283312497.74118054</v>
      </c>
    </row>
    <row r="63" spans="1:15">
      <c r="A63" s="31">
        <v>6003</v>
      </c>
      <c r="B63" s="32" t="s">
        <v>1928</v>
      </c>
      <c r="C63" s="31" t="s">
        <v>2780</v>
      </c>
      <c r="D63" s="34" t="s">
        <v>893</v>
      </c>
      <c r="E63" s="1" t="s">
        <v>2835</v>
      </c>
      <c r="F63" s="35">
        <v>87</v>
      </c>
      <c r="G63" s="36">
        <v>8091579.1460000006</v>
      </c>
      <c r="H63" s="37">
        <v>5472744.1572000002</v>
      </c>
      <c r="I63" s="37">
        <v>541331.26949999994</v>
      </c>
      <c r="J63" s="38">
        <v>14105654.572700001</v>
      </c>
      <c r="K63" s="36">
        <v>754165972.11299968</v>
      </c>
      <c r="L63" s="37">
        <v>1369407992.8073001</v>
      </c>
      <c r="M63" s="37">
        <v>215569940.66584992</v>
      </c>
      <c r="N63" s="38">
        <v>2339143905.5861497</v>
      </c>
      <c r="O63" s="39">
        <v>2353249560.1588497</v>
      </c>
    </row>
    <row r="64" spans="1:15">
      <c r="A64" s="31">
        <v>6003</v>
      </c>
      <c r="B64" s="32" t="s">
        <v>1928</v>
      </c>
      <c r="C64" s="31" t="s">
        <v>2780</v>
      </c>
      <c r="D64" s="34" t="s">
        <v>893</v>
      </c>
      <c r="E64" s="1" t="s">
        <v>2836</v>
      </c>
      <c r="F64" s="35">
        <v>22.400000000000006</v>
      </c>
      <c r="G64" s="36">
        <v>452274819.722</v>
      </c>
      <c r="H64" s="37">
        <v>204738704.49674997</v>
      </c>
      <c r="I64" s="37">
        <v>32353829.014749996</v>
      </c>
      <c r="J64" s="38">
        <v>689367353.2335</v>
      </c>
      <c r="K64" s="36">
        <v>109653313.49200001</v>
      </c>
      <c r="L64" s="37">
        <v>230278521.87265</v>
      </c>
      <c r="M64" s="37">
        <v>34446636.46980001</v>
      </c>
      <c r="N64" s="38">
        <v>374378471.83445001</v>
      </c>
      <c r="O64" s="39">
        <v>1063745825.06795</v>
      </c>
    </row>
    <row r="65" spans="1:15">
      <c r="A65" s="31">
        <v>6003</v>
      </c>
      <c r="B65" s="32" t="s">
        <v>1928</v>
      </c>
      <c r="C65" s="31" t="s">
        <v>2780</v>
      </c>
      <c r="D65" s="34" t="s">
        <v>893</v>
      </c>
      <c r="E65" s="1" t="s">
        <v>2837</v>
      </c>
      <c r="F65" s="35">
        <v>2.5</v>
      </c>
      <c r="G65" s="36">
        <v>4809808.7029999988</v>
      </c>
      <c r="H65" s="37">
        <v>14071395.29195</v>
      </c>
      <c r="I65" s="37">
        <v>2349556.2956500002</v>
      </c>
      <c r="J65" s="38">
        <v>21230760.290600002</v>
      </c>
      <c r="K65" s="36">
        <v>17294602.024999999</v>
      </c>
      <c r="L65" s="37">
        <v>54675955.343150005</v>
      </c>
      <c r="M65" s="37">
        <v>8999724.2032999992</v>
      </c>
      <c r="N65" s="38">
        <v>80970281.571449995</v>
      </c>
      <c r="O65" s="39">
        <v>102201041.86205</v>
      </c>
    </row>
    <row r="66" spans="1:15">
      <c r="A66" s="31">
        <v>6003</v>
      </c>
      <c r="B66" s="32" t="s">
        <v>1928</v>
      </c>
      <c r="C66" s="31" t="s">
        <v>2780</v>
      </c>
      <c r="D66" s="34" t="s">
        <v>893</v>
      </c>
      <c r="E66" s="1" t="s">
        <v>2838</v>
      </c>
      <c r="F66" s="35">
        <v>0.5</v>
      </c>
      <c r="G66" s="36">
        <v>10101202.366</v>
      </c>
      <c r="H66" s="37">
        <v>11243670.987</v>
      </c>
      <c r="I66" s="37">
        <v>1913145.6674499998</v>
      </c>
      <c r="J66" s="38">
        <v>23258019.02045</v>
      </c>
      <c r="K66" s="36">
        <v>19040257.446000002</v>
      </c>
      <c r="L66" s="37">
        <v>10951848.29885</v>
      </c>
      <c r="M66" s="37">
        <v>1977537.66105</v>
      </c>
      <c r="N66" s="38">
        <v>31969643.405900002</v>
      </c>
      <c r="O66" s="39">
        <v>55227662.426349998</v>
      </c>
    </row>
    <row r="67" spans="1:15">
      <c r="A67" s="31">
        <v>6003</v>
      </c>
      <c r="B67" s="32" t="s">
        <v>1928</v>
      </c>
      <c r="C67" s="31" t="s">
        <v>2780</v>
      </c>
      <c r="D67" s="34" t="s">
        <v>893</v>
      </c>
      <c r="E67" s="1" t="s">
        <v>2839</v>
      </c>
      <c r="F67" s="35">
        <v>2.5999999999999943</v>
      </c>
      <c r="G67" s="36">
        <v>55609717.821999997</v>
      </c>
      <c r="H67" s="37">
        <v>19343524.130899999</v>
      </c>
      <c r="I67" s="37">
        <v>3550660.2072000001</v>
      </c>
      <c r="J67" s="38">
        <v>78503902.160099998</v>
      </c>
      <c r="K67" s="36">
        <v>6683934.7760000005</v>
      </c>
      <c r="L67" s="37">
        <v>19104663.370650001</v>
      </c>
      <c r="M67" s="37">
        <v>3105206.5210000002</v>
      </c>
      <c r="N67" s="38">
        <v>28893804.667650003</v>
      </c>
      <c r="O67" s="39">
        <v>107397706.82775</v>
      </c>
    </row>
    <row r="68" spans="1:15">
      <c r="A68" s="31">
        <v>6003</v>
      </c>
      <c r="B68" s="32" t="s">
        <v>1928</v>
      </c>
      <c r="C68" s="31" t="s">
        <v>2780</v>
      </c>
      <c r="D68" s="34" t="s">
        <v>893</v>
      </c>
      <c r="E68" s="1" t="s">
        <v>2840</v>
      </c>
      <c r="F68" s="35">
        <v>0.59999999999999432</v>
      </c>
      <c r="G68" s="36">
        <v>18569995.719000001</v>
      </c>
      <c r="H68" s="37">
        <v>6407575.4212500006</v>
      </c>
      <c r="I68" s="37">
        <v>1131371.3143500001</v>
      </c>
      <c r="J68" s="38">
        <v>26108942.454600003</v>
      </c>
      <c r="K68" s="36">
        <v>2294760.423</v>
      </c>
      <c r="L68" s="37">
        <v>6395629.3223999999</v>
      </c>
      <c r="M68" s="37">
        <v>999037.90724999993</v>
      </c>
      <c r="N68" s="38">
        <v>9689427.6526500005</v>
      </c>
      <c r="O68" s="39">
        <v>35798370.107250005</v>
      </c>
    </row>
    <row r="69" spans="1:15">
      <c r="A69" s="31">
        <v>6003</v>
      </c>
      <c r="B69" s="32" t="s">
        <v>1928</v>
      </c>
      <c r="C69" s="31" t="s">
        <v>2780</v>
      </c>
      <c r="D69" s="34" t="s">
        <v>893</v>
      </c>
      <c r="E69" s="1" t="s">
        <v>2841</v>
      </c>
      <c r="F69" s="35">
        <v>8.5</v>
      </c>
      <c r="G69" s="36">
        <v>143651391.27100003</v>
      </c>
      <c r="H69" s="37">
        <v>52022485.792750001</v>
      </c>
      <c r="I69" s="37">
        <v>8924302.2454499993</v>
      </c>
      <c r="J69" s="38">
        <v>204598179.30920002</v>
      </c>
      <c r="K69" s="36">
        <v>23999414.928000003</v>
      </c>
      <c r="L69" s="37">
        <v>51558771.623500004</v>
      </c>
      <c r="M69" s="37">
        <v>7610923.5494999997</v>
      </c>
      <c r="N69" s="38">
        <v>83169110.101000011</v>
      </c>
      <c r="O69" s="39">
        <v>287767289.4102</v>
      </c>
    </row>
    <row r="70" spans="1:15">
      <c r="A70" s="31">
        <v>6003</v>
      </c>
      <c r="B70" s="32" t="s">
        <v>1928</v>
      </c>
      <c r="C70" s="31" t="s">
        <v>2780</v>
      </c>
      <c r="D70" s="34" t="s">
        <v>893</v>
      </c>
      <c r="E70" s="1" t="s">
        <v>2842</v>
      </c>
      <c r="F70" s="35">
        <v>5</v>
      </c>
      <c r="G70" s="36">
        <v>63969188.984999999</v>
      </c>
      <c r="H70" s="37">
        <v>28675858.270950004</v>
      </c>
      <c r="I70" s="37">
        <v>4524439.4950000001</v>
      </c>
      <c r="J70" s="38">
        <v>97169486.750950009</v>
      </c>
      <c r="K70" s="36">
        <v>31392418.758999992</v>
      </c>
      <c r="L70" s="37">
        <v>28711067.711800002</v>
      </c>
      <c r="M70" s="37">
        <v>4008761.2388500003</v>
      </c>
      <c r="N70" s="38">
        <v>64112247.709649995</v>
      </c>
      <c r="O70" s="39">
        <v>161281734.46060002</v>
      </c>
    </row>
    <row r="71" spans="1:15">
      <c r="A71" s="31">
        <v>6023</v>
      </c>
      <c r="B71" s="32" t="s">
        <v>1928</v>
      </c>
      <c r="C71" s="31" t="s">
        <v>2780</v>
      </c>
      <c r="D71" s="34" t="s">
        <v>2843</v>
      </c>
      <c r="E71" s="1" t="s">
        <v>2844</v>
      </c>
      <c r="F71" s="35">
        <v>68.5</v>
      </c>
      <c r="G71" s="36">
        <v>2945788282.1610003</v>
      </c>
      <c r="H71" s="37">
        <v>1086074032.46415</v>
      </c>
      <c r="I71" s="37">
        <v>164383605.9325</v>
      </c>
      <c r="J71" s="38">
        <v>4196245920.5576501</v>
      </c>
      <c r="K71" s="36">
        <v>6986421.2140000006</v>
      </c>
      <c r="L71" s="37">
        <v>2892512.3245999999</v>
      </c>
      <c r="M71" s="37">
        <v>2075855.0512499998</v>
      </c>
      <c r="N71" s="38">
        <v>11954788.589850001</v>
      </c>
      <c r="O71" s="39">
        <v>4208200709.1475</v>
      </c>
    </row>
    <row r="72" spans="1:15">
      <c r="A72" s="31">
        <v>6022</v>
      </c>
      <c r="B72" s="32" t="s">
        <v>1928</v>
      </c>
      <c r="C72" s="31" t="s">
        <v>2780</v>
      </c>
      <c r="D72" s="34" t="s">
        <v>2845</v>
      </c>
      <c r="E72" s="1" t="s">
        <v>2846</v>
      </c>
      <c r="F72" s="35">
        <v>87.4</v>
      </c>
      <c r="G72" s="36">
        <v>3487580443.2579999</v>
      </c>
      <c r="H72" s="37">
        <v>1316996036.4396501</v>
      </c>
      <c r="I72" s="37">
        <v>203113676.39449999</v>
      </c>
      <c r="J72" s="38">
        <v>5007690156.0921497</v>
      </c>
      <c r="K72" s="36">
        <v>265236.538</v>
      </c>
      <c r="L72" s="37">
        <v>117914.6525</v>
      </c>
      <c r="M72" s="37">
        <v>49056.012000000002</v>
      </c>
      <c r="N72" s="38">
        <v>432207.20250000001</v>
      </c>
      <c r="O72" s="39">
        <v>5008122363.2946501</v>
      </c>
    </row>
    <row r="73" spans="1:15">
      <c r="A73" s="31">
        <v>6022</v>
      </c>
      <c r="B73" s="32" t="s">
        <v>1928</v>
      </c>
      <c r="C73" s="31" t="s">
        <v>2780</v>
      </c>
      <c r="D73" s="34" t="s">
        <v>2845</v>
      </c>
      <c r="E73" s="1" t="s">
        <v>2847</v>
      </c>
      <c r="F73" s="35">
        <v>14.299999999999997</v>
      </c>
      <c r="G73" s="36">
        <v>197358804.02599999</v>
      </c>
      <c r="H73" s="37">
        <v>57289119.146850005</v>
      </c>
      <c r="I73" s="37">
        <v>8744343.3055000007</v>
      </c>
      <c r="J73" s="38">
        <v>263392266.47835001</v>
      </c>
      <c r="K73" s="36">
        <v>12683337.317</v>
      </c>
      <c r="L73" s="37">
        <v>13447767.300549999</v>
      </c>
      <c r="M73" s="37">
        <v>2865745.6340000001</v>
      </c>
      <c r="N73" s="38">
        <v>28996850.25155</v>
      </c>
      <c r="O73" s="39">
        <v>292389116.7299</v>
      </c>
    </row>
    <row r="74" spans="1:15">
      <c r="A74" s="31">
        <v>6022</v>
      </c>
      <c r="B74" s="32" t="s">
        <v>1928</v>
      </c>
      <c r="C74" s="31" t="s">
        <v>2780</v>
      </c>
      <c r="D74" s="34" t="s">
        <v>2845</v>
      </c>
      <c r="E74" s="1" t="s">
        <v>2848</v>
      </c>
      <c r="F74" s="35">
        <v>12.099999999999994</v>
      </c>
      <c r="G74" s="36">
        <v>63552565.222999997</v>
      </c>
      <c r="H74" s="37">
        <v>16316565.893099999</v>
      </c>
      <c r="I74" s="37">
        <v>2273229.8089999999</v>
      </c>
      <c r="J74" s="38">
        <v>82142360.925099999</v>
      </c>
      <c r="K74" s="36">
        <v>2877688.1799999997</v>
      </c>
      <c r="L74" s="37">
        <v>3959080.9029999999</v>
      </c>
      <c r="M74" s="37">
        <v>1542208.5725</v>
      </c>
      <c r="N74" s="38">
        <v>8378977.6554999994</v>
      </c>
      <c r="O74" s="39">
        <v>90521338.580599993</v>
      </c>
    </row>
    <row r="75" spans="1:15">
      <c r="A75" s="31">
        <v>6544</v>
      </c>
      <c r="B75" s="32" t="s">
        <v>1870</v>
      </c>
      <c r="C75" s="31" t="s">
        <v>2780</v>
      </c>
      <c r="D75" s="34" t="s">
        <v>2849</v>
      </c>
      <c r="E75" s="1" t="s">
        <v>2850</v>
      </c>
      <c r="F75" s="35">
        <v>97.5</v>
      </c>
      <c r="G75" s="36">
        <v>0</v>
      </c>
      <c r="H75" s="37">
        <v>0</v>
      </c>
      <c r="I75" s="37">
        <v>0</v>
      </c>
      <c r="J75" s="38">
        <v>0</v>
      </c>
      <c r="K75" s="36">
        <v>1157981796.687</v>
      </c>
      <c r="L75" s="37">
        <v>712636768.82984996</v>
      </c>
      <c r="M75" s="37">
        <v>104796142.30185451</v>
      </c>
      <c r="N75" s="38">
        <v>1975414707.8187046</v>
      </c>
      <c r="O75" s="39">
        <v>1975414707.8187046</v>
      </c>
    </row>
    <row r="76" spans="1:15">
      <c r="A76" s="31">
        <v>6114</v>
      </c>
      <c r="B76" s="32" t="s">
        <v>1928</v>
      </c>
      <c r="C76" s="31" t="s">
        <v>2780</v>
      </c>
      <c r="D76" s="34" t="s">
        <v>2851</v>
      </c>
      <c r="E76" s="1" t="s">
        <v>2852</v>
      </c>
      <c r="F76" s="35">
        <v>11.9</v>
      </c>
      <c r="G76" s="36">
        <v>4992289.6919999998</v>
      </c>
      <c r="H76" s="37">
        <v>5088981.7854000004</v>
      </c>
      <c r="I76" s="37">
        <v>1949099.9910000002</v>
      </c>
      <c r="J76" s="38">
        <v>12030371.468400002</v>
      </c>
      <c r="K76" s="36">
        <v>9194423.6700000018</v>
      </c>
      <c r="L76" s="37">
        <v>5045237.3600000003</v>
      </c>
      <c r="M76" s="37">
        <v>1971798.2050000001</v>
      </c>
      <c r="N76" s="38">
        <v>16211459.235000001</v>
      </c>
      <c r="O76" s="39">
        <v>28241830.703400001</v>
      </c>
    </row>
    <row r="77" spans="1:15">
      <c r="A77" s="31">
        <v>6114</v>
      </c>
      <c r="B77" s="32" t="s">
        <v>1928</v>
      </c>
      <c r="C77" s="31" t="s">
        <v>2780</v>
      </c>
      <c r="D77" s="34" t="s">
        <v>2851</v>
      </c>
      <c r="E77" s="1" t="s">
        <v>2853</v>
      </c>
      <c r="F77" s="35">
        <v>13.799999999999999</v>
      </c>
      <c r="G77" s="36">
        <v>5760300.7840000009</v>
      </c>
      <c r="H77" s="37">
        <v>5823498.6964999996</v>
      </c>
      <c r="I77" s="37">
        <v>2247982.0990000004</v>
      </c>
      <c r="J77" s="38">
        <v>13831781.579500001</v>
      </c>
      <c r="K77" s="36">
        <v>10591256.541999999</v>
      </c>
      <c r="L77" s="37">
        <v>5801298.6461499995</v>
      </c>
      <c r="M77" s="37">
        <v>2276407.4235</v>
      </c>
      <c r="N77" s="38">
        <v>18668962.611650001</v>
      </c>
      <c r="O77" s="39">
        <v>32500744.191150002</v>
      </c>
    </row>
    <row r="78" spans="1:15">
      <c r="A78" s="31">
        <v>6114</v>
      </c>
      <c r="B78" s="32" t="s">
        <v>1928</v>
      </c>
      <c r="C78" s="31" t="s">
        <v>2780</v>
      </c>
      <c r="D78" s="34" t="s">
        <v>2851</v>
      </c>
      <c r="E78" s="1" t="s">
        <v>2854</v>
      </c>
      <c r="F78" s="35">
        <v>18.400000000000002</v>
      </c>
      <c r="G78" s="36">
        <v>6556191.1900000004</v>
      </c>
      <c r="H78" s="37">
        <v>5224637.2543500001</v>
      </c>
      <c r="I78" s="37">
        <v>3238786.5239999997</v>
      </c>
      <c r="J78" s="38">
        <v>15019614.968350001</v>
      </c>
      <c r="K78" s="36">
        <v>4774180.3770000003</v>
      </c>
      <c r="L78" s="37">
        <v>3511950.1173</v>
      </c>
      <c r="M78" s="37">
        <v>3049553.2310000001</v>
      </c>
      <c r="N78" s="38">
        <v>11335683.725300001</v>
      </c>
      <c r="O78" s="39">
        <v>26355298.69365</v>
      </c>
    </row>
    <row r="79" spans="1:15">
      <c r="A79" s="31">
        <v>6114</v>
      </c>
      <c r="B79" s="32" t="s">
        <v>1928</v>
      </c>
      <c r="C79" s="31" t="s">
        <v>2780</v>
      </c>
      <c r="D79" s="34" t="s">
        <v>2851</v>
      </c>
      <c r="E79" s="1" t="s">
        <v>2855</v>
      </c>
      <c r="F79" s="35">
        <v>3.8999999999999986</v>
      </c>
      <c r="G79" s="36">
        <v>115632.77599999998</v>
      </c>
      <c r="H79" s="37">
        <v>109350.67675</v>
      </c>
      <c r="I79" s="37">
        <v>59769.237499999996</v>
      </c>
      <c r="J79" s="38">
        <v>284752.69024999999</v>
      </c>
      <c r="K79" s="36">
        <v>51975.630000000005</v>
      </c>
      <c r="L79" s="37">
        <v>47301.244550000003</v>
      </c>
      <c r="M79" s="37">
        <v>28823.346999999998</v>
      </c>
      <c r="N79" s="38">
        <v>128100.22155</v>
      </c>
      <c r="O79" s="39">
        <v>412852.9118</v>
      </c>
    </row>
    <row r="80" spans="1:15">
      <c r="A80" s="31">
        <v>4021</v>
      </c>
      <c r="B80" s="32" t="s">
        <v>1853</v>
      </c>
      <c r="C80" s="31" t="s">
        <v>2780</v>
      </c>
      <c r="D80" s="41" t="s">
        <v>2856</v>
      </c>
      <c r="E80" s="10" t="s">
        <v>2857</v>
      </c>
      <c r="F80" s="35">
        <v>5.2</v>
      </c>
      <c r="G80" s="36">
        <v>8073105.5079999994</v>
      </c>
      <c r="H80" s="37">
        <v>2104498.1340999999</v>
      </c>
      <c r="I80" s="37">
        <v>100453.14425</v>
      </c>
      <c r="J80" s="38">
        <v>10278056.786349999</v>
      </c>
      <c r="K80" s="36">
        <v>5696.8919999999998</v>
      </c>
      <c r="L80" s="37">
        <v>1854251.6031999998</v>
      </c>
      <c r="M80" s="37">
        <v>132480.57874999999</v>
      </c>
      <c r="N80" s="38">
        <v>1992429.0739499996</v>
      </c>
      <c r="O80" s="39">
        <v>12270485.860299999</v>
      </c>
    </row>
    <row r="81" spans="1:15" s="10" customFormat="1">
      <c r="A81" s="31">
        <v>6111</v>
      </c>
      <c r="B81" s="32" t="s">
        <v>1928</v>
      </c>
      <c r="C81" s="31" t="s">
        <v>2780</v>
      </c>
      <c r="D81" s="41" t="s">
        <v>1924</v>
      </c>
      <c r="E81" s="10" t="s">
        <v>2858</v>
      </c>
      <c r="F81" s="35">
        <v>7.1</v>
      </c>
      <c r="G81" s="36">
        <v>99810584.453000009</v>
      </c>
      <c r="H81" s="37">
        <v>35873191.372950003</v>
      </c>
      <c r="I81" s="37">
        <v>6231264.7609999999</v>
      </c>
      <c r="J81" s="38">
        <v>141915040.58695003</v>
      </c>
      <c r="K81" s="36">
        <v>13661090.982999999</v>
      </c>
      <c r="L81" s="37">
        <v>35089823.416749999</v>
      </c>
      <c r="M81" s="37">
        <v>5893549.2903749999</v>
      </c>
      <c r="N81" s="38">
        <v>54644463.690124996</v>
      </c>
      <c r="O81" s="39">
        <v>196559504.27707502</v>
      </c>
    </row>
    <row r="82" spans="1:15" s="10" customFormat="1">
      <c r="A82" s="31">
        <v>6111</v>
      </c>
      <c r="B82" s="32" t="s">
        <v>1928</v>
      </c>
      <c r="C82" s="31" t="s">
        <v>2780</v>
      </c>
      <c r="D82" s="34" t="s">
        <v>1924</v>
      </c>
      <c r="E82" s="1" t="s">
        <v>2859</v>
      </c>
      <c r="F82" s="35">
        <v>10.6</v>
      </c>
      <c r="G82" s="36">
        <v>156465137.49000001</v>
      </c>
      <c r="H82" s="37">
        <v>57067435.04885</v>
      </c>
      <c r="I82" s="37">
        <v>9811806.4505000003</v>
      </c>
      <c r="J82" s="38">
        <v>223344378.98935002</v>
      </c>
      <c r="K82" s="36">
        <v>15626496.357000001</v>
      </c>
      <c r="L82" s="37">
        <v>34376319.077600002</v>
      </c>
      <c r="M82" s="37">
        <v>5895663.9537500003</v>
      </c>
      <c r="N82" s="38">
        <v>55898479.388350002</v>
      </c>
      <c r="O82" s="39">
        <v>279242858.37770003</v>
      </c>
    </row>
    <row r="83" spans="1:15">
      <c r="A83" s="31">
        <v>6111</v>
      </c>
      <c r="B83" s="32" t="s">
        <v>1928</v>
      </c>
      <c r="C83" s="31" t="s">
        <v>2780</v>
      </c>
      <c r="D83" s="34" t="s">
        <v>1924</v>
      </c>
      <c r="E83" s="1" t="s">
        <v>2860</v>
      </c>
      <c r="F83" s="35">
        <v>77.8</v>
      </c>
      <c r="G83" s="36">
        <v>3148869272.1269994</v>
      </c>
      <c r="H83" s="37">
        <v>755575354.57149994</v>
      </c>
      <c r="I83" s="37">
        <v>145089379.92500001</v>
      </c>
      <c r="J83" s="38">
        <v>4049534006.6234994</v>
      </c>
      <c r="K83" s="36">
        <v>78442910.752999991</v>
      </c>
      <c r="L83" s="37">
        <v>754645726.68739998</v>
      </c>
      <c r="M83" s="37">
        <v>139659094.2405</v>
      </c>
      <c r="N83" s="38">
        <v>972747731.68089998</v>
      </c>
      <c r="O83" s="39">
        <v>5022281738.3043995</v>
      </c>
    </row>
    <row r="84" spans="1:15">
      <c r="A84" s="31">
        <v>6111</v>
      </c>
      <c r="B84" s="32" t="s">
        <v>1928</v>
      </c>
      <c r="C84" s="31" t="s">
        <v>2780</v>
      </c>
      <c r="D84" s="34" t="s">
        <v>1924</v>
      </c>
      <c r="E84" s="1" t="s">
        <v>2861</v>
      </c>
      <c r="F84" s="35">
        <v>9.9000000000000057</v>
      </c>
      <c r="G84" s="36">
        <v>113988682.76900001</v>
      </c>
      <c r="H84" s="37">
        <v>38302861.051049992</v>
      </c>
      <c r="I84" s="37">
        <v>9435826.8504999988</v>
      </c>
      <c r="J84" s="38">
        <v>161727370.67054999</v>
      </c>
      <c r="K84" s="36">
        <v>16463875.705</v>
      </c>
      <c r="L84" s="37">
        <v>50095769.934349999</v>
      </c>
      <c r="M84" s="37">
        <v>10026964.285999998</v>
      </c>
      <c r="N84" s="38">
        <v>76586609.925349995</v>
      </c>
      <c r="O84" s="39">
        <v>238313980.5959</v>
      </c>
    </row>
    <row r="85" spans="1:15">
      <c r="A85" s="31">
        <v>6111</v>
      </c>
      <c r="B85" s="32" t="s">
        <v>1928</v>
      </c>
      <c r="C85" s="31" t="s">
        <v>2780</v>
      </c>
      <c r="D85" s="34" t="s">
        <v>1924</v>
      </c>
      <c r="E85" s="1" t="s">
        <v>2862</v>
      </c>
      <c r="F85" s="35">
        <v>2.2999999999999972</v>
      </c>
      <c r="G85" s="36">
        <v>26437637.546000004</v>
      </c>
      <c r="H85" s="37">
        <v>8883657.6717999987</v>
      </c>
      <c r="I85" s="37">
        <v>2188395.2119999998</v>
      </c>
      <c r="J85" s="38">
        <v>37509690.429800004</v>
      </c>
      <c r="K85" s="36">
        <v>3809127.9319999996</v>
      </c>
      <c r="L85" s="37">
        <v>11613422.364399999</v>
      </c>
      <c r="M85" s="37">
        <v>2324864.1527499999</v>
      </c>
      <c r="N85" s="38">
        <v>17747414.44915</v>
      </c>
      <c r="O85" s="39">
        <v>55257104.87895</v>
      </c>
    </row>
    <row r="86" spans="1:15">
      <c r="A86" s="31">
        <v>6111</v>
      </c>
      <c r="B86" s="32" t="s">
        <v>1928</v>
      </c>
      <c r="C86" s="31" t="s">
        <v>2780</v>
      </c>
      <c r="D86" s="34" t="s">
        <v>1924</v>
      </c>
      <c r="E86" s="1" t="s">
        <v>2863</v>
      </c>
      <c r="F86" s="35">
        <v>42.7</v>
      </c>
      <c r="G86" s="36">
        <v>139631228.053</v>
      </c>
      <c r="H86" s="37">
        <v>64923257.777850002</v>
      </c>
      <c r="I86" s="37">
        <v>18214616.874249998</v>
      </c>
      <c r="J86" s="38">
        <v>222769102.7051</v>
      </c>
      <c r="K86" s="36">
        <v>60808336.960000001</v>
      </c>
      <c r="L86" s="37">
        <v>212327538.01684999</v>
      </c>
      <c r="M86" s="37">
        <v>41213482.313624993</v>
      </c>
      <c r="N86" s="38">
        <v>314349357.29047495</v>
      </c>
      <c r="O86" s="39">
        <v>537118459.99557495</v>
      </c>
    </row>
    <row r="87" spans="1:15">
      <c r="A87" s="31">
        <v>6111</v>
      </c>
      <c r="B87" s="32" t="s">
        <v>1928</v>
      </c>
      <c r="C87" s="31" t="s">
        <v>2780</v>
      </c>
      <c r="D87" s="34" t="s">
        <v>1924</v>
      </c>
      <c r="E87" s="1" t="s">
        <v>2864</v>
      </c>
      <c r="F87" s="35">
        <v>8.4000000000000057</v>
      </c>
      <c r="G87" s="36">
        <v>23243375.475000001</v>
      </c>
      <c r="H87" s="37">
        <v>8914340.1048000008</v>
      </c>
      <c r="I87" s="37">
        <v>1543675.4722500001</v>
      </c>
      <c r="J87" s="38">
        <v>33701391.052050002</v>
      </c>
      <c r="K87" s="36">
        <v>4952551.8059999999</v>
      </c>
      <c r="L87" s="37">
        <v>38336422.480049998</v>
      </c>
      <c r="M87" s="37">
        <v>6946638.2857499998</v>
      </c>
      <c r="N87" s="38">
        <v>50235612.571800001</v>
      </c>
      <c r="O87" s="39">
        <v>83937003.623850003</v>
      </c>
    </row>
    <row r="88" spans="1:15">
      <c r="A88" s="31">
        <v>6222</v>
      </c>
      <c r="B88" s="32" t="s">
        <v>2002</v>
      </c>
      <c r="C88" s="31" t="s">
        <v>2780</v>
      </c>
      <c r="D88" s="34" t="s">
        <v>2865</v>
      </c>
      <c r="E88" s="1" t="s">
        <v>2866</v>
      </c>
      <c r="F88" s="35">
        <v>23.9</v>
      </c>
      <c r="G88" s="36">
        <v>330336269.98800004</v>
      </c>
      <c r="H88" s="37">
        <v>120311265.8407</v>
      </c>
      <c r="I88" s="37">
        <v>21342076.010750003</v>
      </c>
      <c r="J88" s="38">
        <v>471989611.83945006</v>
      </c>
      <c r="K88" s="36">
        <v>49080201.504999995</v>
      </c>
      <c r="L88" s="37">
        <v>117292309.54005</v>
      </c>
      <c r="M88" s="37">
        <v>20030871.673500001</v>
      </c>
      <c r="N88" s="38">
        <v>186403382.71855</v>
      </c>
      <c r="O88" s="39">
        <v>658392994.55800009</v>
      </c>
    </row>
    <row r="89" spans="1:15">
      <c r="A89" s="31">
        <v>6222</v>
      </c>
      <c r="B89" s="32" t="s">
        <v>2002</v>
      </c>
      <c r="C89" s="31" t="s">
        <v>2780</v>
      </c>
      <c r="D89" s="34" t="s">
        <v>2865</v>
      </c>
      <c r="E89" s="1" t="s">
        <v>2867</v>
      </c>
      <c r="F89" s="35">
        <v>19.7</v>
      </c>
      <c r="G89" s="36">
        <v>276750744.352</v>
      </c>
      <c r="H89" s="37">
        <v>100794918.24025001</v>
      </c>
      <c r="I89" s="37">
        <v>17590217.258875001</v>
      </c>
      <c r="J89" s="38">
        <v>395135879.851125</v>
      </c>
      <c r="K89" s="36">
        <v>40927632.714000002</v>
      </c>
      <c r="L89" s="37">
        <v>98321859.804949999</v>
      </c>
      <c r="M89" s="37">
        <v>16677637.225375</v>
      </c>
      <c r="N89" s="38">
        <v>155927129.74432498</v>
      </c>
      <c r="O89" s="39">
        <v>551063009.59544992</v>
      </c>
    </row>
    <row r="90" spans="1:15">
      <c r="A90" s="31">
        <v>6222</v>
      </c>
      <c r="B90" s="32" t="s">
        <v>2868</v>
      </c>
      <c r="C90" s="31" t="s">
        <v>2780</v>
      </c>
      <c r="D90" s="34" t="s">
        <v>2865</v>
      </c>
      <c r="E90" s="1" t="s">
        <v>2869</v>
      </c>
      <c r="F90" s="35">
        <v>49.599999999999994</v>
      </c>
      <c r="G90" s="36">
        <v>696811200.29599965</v>
      </c>
      <c r="H90" s="37">
        <v>249885377.61640009</v>
      </c>
      <c r="I90" s="37">
        <v>42147060.734500006</v>
      </c>
      <c r="J90" s="38">
        <v>988843638.64689982</v>
      </c>
      <c r="K90" s="36">
        <v>94488816.072000012</v>
      </c>
      <c r="L90" s="37">
        <v>243320597.17584997</v>
      </c>
      <c r="M90" s="37">
        <v>40901686.651875004</v>
      </c>
      <c r="N90" s="38">
        <v>378711099.89972502</v>
      </c>
      <c r="O90" s="39">
        <v>1367554738.5466249</v>
      </c>
    </row>
    <row r="91" spans="1:15">
      <c r="A91" s="31">
        <v>4034</v>
      </c>
      <c r="B91" s="32" t="s">
        <v>1870</v>
      </c>
      <c r="C91" s="31" t="s">
        <v>2780</v>
      </c>
      <c r="D91" s="34" t="s">
        <v>2870</v>
      </c>
      <c r="E91" s="1" t="s">
        <v>2871</v>
      </c>
      <c r="F91" s="35">
        <v>18.5</v>
      </c>
      <c r="G91" s="36">
        <v>20621.328000000001</v>
      </c>
      <c r="H91" s="37">
        <v>489721.60460000002</v>
      </c>
      <c r="I91" s="37">
        <v>360316.16200000001</v>
      </c>
      <c r="J91" s="38">
        <v>870659.09459999995</v>
      </c>
      <c r="K91" s="36">
        <v>1449233.696</v>
      </c>
      <c r="L91" s="37">
        <v>484533.22560000001</v>
      </c>
      <c r="M91" s="37">
        <v>347069.03599999996</v>
      </c>
      <c r="N91" s="38">
        <v>2280835.9575999998</v>
      </c>
      <c r="O91" s="39">
        <v>3151495.0521999998</v>
      </c>
    </row>
    <row r="92" spans="1:15">
      <c r="A92" s="31">
        <v>6311</v>
      </c>
      <c r="B92" s="32" t="s">
        <v>1831</v>
      </c>
      <c r="C92" s="31" t="s">
        <v>2780</v>
      </c>
      <c r="D92" s="34" t="s">
        <v>2872</v>
      </c>
      <c r="E92" s="1" t="s">
        <v>2873</v>
      </c>
      <c r="F92" s="35">
        <v>64</v>
      </c>
      <c r="G92" s="36">
        <v>162086049.34299999</v>
      </c>
      <c r="H92" s="37">
        <v>262425825.99885002</v>
      </c>
      <c r="I92" s="37">
        <v>25261989.578952499</v>
      </c>
      <c r="J92" s="38">
        <v>449773864.92080253</v>
      </c>
      <c r="K92" s="36">
        <v>596487638.46600008</v>
      </c>
      <c r="L92" s="37">
        <v>264152553.00390002</v>
      </c>
      <c r="M92" s="37">
        <v>24458220.374080498</v>
      </c>
      <c r="N92" s="38">
        <v>885098411.84398067</v>
      </c>
      <c r="O92" s="39">
        <v>1334872276.7647831</v>
      </c>
    </row>
    <row r="93" spans="1:15">
      <c r="A93" s="31">
        <v>6329</v>
      </c>
      <c r="B93" s="32" t="s">
        <v>1831</v>
      </c>
      <c r="C93" s="31" t="s">
        <v>2780</v>
      </c>
      <c r="D93" s="34" t="s">
        <v>2874</v>
      </c>
      <c r="E93" s="1" t="s">
        <v>2875</v>
      </c>
      <c r="F93" s="35">
        <v>15.9</v>
      </c>
      <c r="G93" s="36">
        <v>187458.42</v>
      </c>
      <c r="H93" s="37">
        <v>8613269.3269500006</v>
      </c>
      <c r="I93" s="37">
        <v>1239657.469</v>
      </c>
      <c r="J93" s="38">
        <v>10040385.215950001</v>
      </c>
      <c r="K93" s="36">
        <v>40354120.961999997</v>
      </c>
      <c r="L93" s="37">
        <v>11616658.751350001</v>
      </c>
      <c r="M93" s="37">
        <v>1787933.3344999999</v>
      </c>
      <c r="N93" s="38">
        <v>53758713.047849998</v>
      </c>
      <c r="O93" s="39">
        <v>63799098.263799995</v>
      </c>
    </row>
    <row r="94" spans="1:15">
      <c r="A94" s="31">
        <v>6329</v>
      </c>
      <c r="B94" s="32" t="s">
        <v>1831</v>
      </c>
      <c r="C94" s="31" t="s">
        <v>2780</v>
      </c>
      <c r="D94" s="34" t="s">
        <v>2874</v>
      </c>
      <c r="E94" s="1" t="s">
        <v>2876</v>
      </c>
      <c r="F94" s="35">
        <v>5.7000000000000011</v>
      </c>
      <c r="G94" s="36">
        <v>75091.934999999998</v>
      </c>
      <c r="H94" s="37">
        <v>2379806.67515</v>
      </c>
      <c r="I94" s="37">
        <v>371127.8</v>
      </c>
      <c r="J94" s="38">
        <v>2826026.4101499999</v>
      </c>
      <c r="K94" s="36">
        <v>11977307.373</v>
      </c>
      <c r="L94" s="37">
        <v>3459839.2689500004</v>
      </c>
      <c r="M94" s="37">
        <v>547488.97600000002</v>
      </c>
      <c r="N94" s="38">
        <v>15984635.61795</v>
      </c>
      <c r="O94" s="39">
        <v>18810662.028099999</v>
      </c>
    </row>
    <row r="95" spans="1:15">
      <c r="A95" s="31">
        <v>6329</v>
      </c>
      <c r="B95" s="32" t="s">
        <v>1831</v>
      </c>
      <c r="C95" s="31" t="s">
        <v>2780</v>
      </c>
      <c r="D95" s="34" t="s">
        <v>2874</v>
      </c>
      <c r="E95" s="1" t="s">
        <v>2877</v>
      </c>
      <c r="F95" s="35">
        <v>28.799999999999997</v>
      </c>
      <c r="G95" s="36">
        <v>383677.29</v>
      </c>
      <c r="H95" s="37">
        <v>12199752.375700001</v>
      </c>
      <c r="I95" s="37">
        <v>1895604.17</v>
      </c>
      <c r="J95" s="38">
        <v>14479033.8357</v>
      </c>
      <c r="K95" s="36">
        <v>61409533.541999996</v>
      </c>
      <c r="L95" s="37">
        <v>17739133.355099998</v>
      </c>
      <c r="M95" s="37">
        <v>2803057.014</v>
      </c>
      <c r="N95" s="38">
        <v>81951723.9111</v>
      </c>
      <c r="O95" s="39">
        <v>96430757.746800005</v>
      </c>
    </row>
    <row r="96" spans="1:15">
      <c r="A96" s="31">
        <v>6329</v>
      </c>
      <c r="B96" s="32" t="s">
        <v>2806</v>
      </c>
      <c r="C96" s="31" t="s">
        <v>2780</v>
      </c>
      <c r="D96" s="34" t="s">
        <v>2874</v>
      </c>
      <c r="E96" s="10" t="s">
        <v>2878</v>
      </c>
      <c r="F96" s="35">
        <v>97.199999999999989</v>
      </c>
      <c r="G96" s="36">
        <v>1469756.9010000001</v>
      </c>
      <c r="H96" s="37">
        <v>10661673.114349999</v>
      </c>
      <c r="I96" s="37">
        <v>2162205.378</v>
      </c>
      <c r="J96" s="38">
        <v>14293635.39335</v>
      </c>
      <c r="K96" s="36">
        <v>75606148.870000005</v>
      </c>
      <c r="L96" s="37">
        <v>27937461.803200003</v>
      </c>
      <c r="M96" s="37">
        <v>4316799.3865</v>
      </c>
      <c r="N96" s="38">
        <v>107860410.05970001</v>
      </c>
      <c r="O96" s="39">
        <v>122154045.45305002</v>
      </c>
    </row>
    <row r="97" spans="1:15">
      <c r="A97" s="31">
        <v>6329</v>
      </c>
      <c r="B97" s="32" t="s">
        <v>1853</v>
      </c>
      <c r="C97" s="31" t="s">
        <v>2780</v>
      </c>
      <c r="D97" s="34" t="s">
        <v>2874</v>
      </c>
      <c r="E97" s="1" t="s">
        <v>2879</v>
      </c>
      <c r="F97" s="35">
        <v>8.5</v>
      </c>
      <c r="G97" s="36">
        <v>299104.902</v>
      </c>
      <c r="H97" s="37">
        <v>589690.26230000006</v>
      </c>
      <c r="I97" s="37">
        <v>146210.85749999998</v>
      </c>
      <c r="J97" s="38">
        <v>1035006.0218</v>
      </c>
      <c r="K97" s="36">
        <v>4583277.6580000008</v>
      </c>
      <c r="L97" s="37">
        <v>2060183.0329500001</v>
      </c>
      <c r="M97" s="37">
        <v>361206.58049999998</v>
      </c>
      <c r="N97" s="38">
        <v>7004667.2714500008</v>
      </c>
      <c r="O97" s="39">
        <v>8039673.293250001</v>
      </c>
    </row>
    <row r="98" spans="1:15">
      <c r="A98" s="31">
        <v>6340</v>
      </c>
      <c r="B98" s="32" t="s">
        <v>1853</v>
      </c>
      <c r="C98" s="31" t="s">
        <v>2780</v>
      </c>
      <c r="D98" s="34" t="s">
        <v>2880</v>
      </c>
      <c r="E98" s="1" t="s">
        <v>2881</v>
      </c>
      <c r="F98" s="35">
        <v>7.8</v>
      </c>
      <c r="G98" s="36">
        <v>5066355.3660000004</v>
      </c>
      <c r="H98" s="37">
        <v>1808885.1299000001</v>
      </c>
      <c r="I98" s="37">
        <v>471586.62100000004</v>
      </c>
      <c r="J98" s="38">
        <v>7346827.1169000007</v>
      </c>
      <c r="K98" s="36">
        <v>682037.17599999998</v>
      </c>
      <c r="L98" s="37">
        <v>2007671.7271</v>
      </c>
      <c r="M98" s="37">
        <v>459735.71325000003</v>
      </c>
      <c r="N98" s="38">
        <v>3149444.6163499998</v>
      </c>
      <c r="O98" s="39">
        <v>10496271.73325</v>
      </c>
    </row>
    <row r="99" spans="1:15">
      <c r="A99" s="31">
        <v>6340</v>
      </c>
      <c r="B99" s="32" t="s">
        <v>1853</v>
      </c>
      <c r="C99" s="31" t="s">
        <v>2780</v>
      </c>
      <c r="D99" s="34" t="s">
        <v>2880</v>
      </c>
      <c r="E99" s="1" t="s">
        <v>2882</v>
      </c>
      <c r="F99" s="35">
        <v>33.700000000000003</v>
      </c>
      <c r="G99" s="36">
        <v>23661206.307</v>
      </c>
      <c r="H99" s="37">
        <v>8443526.7140999995</v>
      </c>
      <c r="I99" s="37">
        <v>2198387.3684999999</v>
      </c>
      <c r="J99" s="38">
        <v>34303120.389600001</v>
      </c>
      <c r="K99" s="36">
        <v>3202314.8280000002</v>
      </c>
      <c r="L99" s="37">
        <v>9371454.6800999995</v>
      </c>
      <c r="M99" s="37">
        <v>2142918.9664999996</v>
      </c>
      <c r="N99" s="38">
        <v>14716688.474599998</v>
      </c>
      <c r="O99" s="39">
        <v>49019808.864199996</v>
      </c>
    </row>
    <row r="100" spans="1:15">
      <c r="A100" s="31">
        <v>6340</v>
      </c>
      <c r="B100" s="32" t="s">
        <v>1853</v>
      </c>
      <c r="C100" s="31" t="s">
        <v>2780</v>
      </c>
      <c r="D100" s="34" t="s">
        <v>2880</v>
      </c>
      <c r="E100" s="1" t="s">
        <v>2883</v>
      </c>
      <c r="F100" s="35">
        <v>14.5</v>
      </c>
      <c r="G100" s="36">
        <v>7545178.6679999996</v>
      </c>
      <c r="H100" s="37">
        <v>2692829.1945000002</v>
      </c>
      <c r="I100" s="37">
        <v>697115.20799999998</v>
      </c>
      <c r="J100" s="38">
        <v>10935123.070500001</v>
      </c>
      <c r="K100" s="36">
        <v>1016985.78</v>
      </c>
      <c r="L100" s="37">
        <v>2991400.8363000001</v>
      </c>
      <c r="M100" s="37">
        <v>678405.61025000003</v>
      </c>
      <c r="N100" s="38">
        <v>4686792.2265499998</v>
      </c>
      <c r="O100" s="39">
        <v>15621915.297050001</v>
      </c>
    </row>
    <row r="101" spans="1:15">
      <c r="A101" s="31">
        <v>6340</v>
      </c>
      <c r="B101" s="32" t="s">
        <v>1853</v>
      </c>
      <c r="C101" s="31" t="s">
        <v>2780</v>
      </c>
      <c r="D101" s="34" t="s">
        <v>2880</v>
      </c>
      <c r="E101" s="1" t="s">
        <v>2884</v>
      </c>
      <c r="F101" s="35">
        <v>7</v>
      </c>
      <c r="G101" s="36">
        <v>4856873.5539999995</v>
      </c>
      <c r="H101" s="37">
        <v>1778511.2267</v>
      </c>
      <c r="I101" s="37">
        <v>484229.49899999995</v>
      </c>
      <c r="J101" s="38">
        <v>7119614.2796999998</v>
      </c>
      <c r="K101" s="36">
        <v>754642.92799999996</v>
      </c>
      <c r="L101" s="37">
        <v>1997754.8920500001</v>
      </c>
      <c r="M101" s="37">
        <v>494925.42424999998</v>
      </c>
      <c r="N101" s="38">
        <v>3247323.2443000004</v>
      </c>
      <c r="O101" s="39">
        <v>10366937.524</v>
      </c>
    </row>
    <row r="102" spans="1:15">
      <c r="A102" s="31">
        <v>6112</v>
      </c>
      <c r="B102" s="32" t="s">
        <v>1928</v>
      </c>
      <c r="C102" s="31" t="s">
        <v>2780</v>
      </c>
      <c r="D102" s="34" t="s">
        <v>2241</v>
      </c>
      <c r="E102" s="1" t="s">
        <v>2885</v>
      </c>
      <c r="F102" s="35">
        <v>0.8</v>
      </c>
      <c r="G102" s="36">
        <v>1077624.74</v>
      </c>
      <c r="H102" s="37">
        <v>7349145.0569000002</v>
      </c>
      <c r="I102" s="37">
        <v>1382086.0775000001</v>
      </c>
      <c r="J102" s="38">
        <v>9808855.874400001</v>
      </c>
      <c r="K102" s="36">
        <v>22082068.548999999</v>
      </c>
      <c r="L102" s="37">
        <v>4115279.165</v>
      </c>
      <c r="M102" s="37">
        <v>906682.64149999991</v>
      </c>
      <c r="N102" s="38">
        <v>27104030.355499998</v>
      </c>
      <c r="O102" s="39">
        <v>36912886.229900002</v>
      </c>
    </row>
    <row r="103" spans="1:15">
      <c r="A103" s="31">
        <v>6112</v>
      </c>
      <c r="B103" s="32" t="s">
        <v>1928</v>
      </c>
      <c r="C103" s="31" t="s">
        <v>2780</v>
      </c>
      <c r="D103" s="34" t="s">
        <v>2241</v>
      </c>
      <c r="E103" s="1" t="s">
        <v>2886</v>
      </c>
      <c r="F103" s="35">
        <v>9</v>
      </c>
      <c r="G103" s="36">
        <v>1108517.952</v>
      </c>
      <c r="H103" s="37">
        <v>31279965.723999999</v>
      </c>
      <c r="I103" s="37">
        <v>6226353.6170000006</v>
      </c>
      <c r="J103" s="38">
        <v>38614837.292999998</v>
      </c>
      <c r="K103" s="36">
        <v>166786287.31900001</v>
      </c>
      <c r="L103" s="37">
        <v>31242222.323149998</v>
      </c>
      <c r="M103" s="37">
        <v>6626881.0545000006</v>
      </c>
      <c r="N103" s="38">
        <v>204655390.69665003</v>
      </c>
      <c r="O103" s="39">
        <v>243270227.98965001</v>
      </c>
    </row>
    <row r="104" spans="1:15">
      <c r="A104" s="31">
        <v>6112</v>
      </c>
      <c r="B104" s="32" t="s">
        <v>1928</v>
      </c>
      <c r="C104" s="31" t="s">
        <v>2780</v>
      </c>
      <c r="D104" s="34" t="s">
        <v>2241</v>
      </c>
      <c r="E104" s="1" t="s">
        <v>2887</v>
      </c>
      <c r="F104" s="35">
        <v>11.599999999999998</v>
      </c>
      <c r="G104" s="36">
        <v>1442948.7509999999</v>
      </c>
      <c r="H104" s="37">
        <v>33649944.217350006</v>
      </c>
      <c r="I104" s="37">
        <v>6662796.4335000003</v>
      </c>
      <c r="J104" s="38">
        <v>41755689.401850007</v>
      </c>
      <c r="K104" s="36">
        <v>179063121.00299999</v>
      </c>
      <c r="L104" s="37">
        <v>33665353.463750005</v>
      </c>
      <c r="M104" s="37">
        <v>7102883.8534999993</v>
      </c>
      <c r="N104" s="38">
        <v>219831358.32025</v>
      </c>
      <c r="O104" s="39">
        <v>261587047.72210002</v>
      </c>
    </row>
    <row r="105" spans="1:15">
      <c r="A105" s="31">
        <v>6112</v>
      </c>
      <c r="B105" s="32" t="s">
        <v>1928</v>
      </c>
      <c r="C105" s="31" t="s">
        <v>2780</v>
      </c>
      <c r="D105" s="34" t="s">
        <v>2241</v>
      </c>
      <c r="E105" s="1" t="s">
        <v>2888</v>
      </c>
      <c r="F105" s="35">
        <v>11.100000000000001</v>
      </c>
      <c r="G105" s="36">
        <v>1056225.5160000001</v>
      </c>
      <c r="H105" s="37">
        <v>20016204.664000001</v>
      </c>
      <c r="I105" s="37">
        <v>3986597.6639999999</v>
      </c>
      <c r="J105" s="38">
        <v>25059027.844000001</v>
      </c>
      <c r="K105" s="36">
        <v>106273328.90200001</v>
      </c>
      <c r="L105" s="37">
        <v>19997156.467599999</v>
      </c>
      <c r="M105" s="37">
        <v>4220953.6909999996</v>
      </c>
      <c r="N105" s="38">
        <v>130491439.06060001</v>
      </c>
      <c r="O105" s="39">
        <v>155550466.90460002</v>
      </c>
    </row>
    <row r="106" spans="1:15">
      <c r="A106" s="31">
        <v>6507</v>
      </c>
      <c r="B106" s="32" t="s">
        <v>1870</v>
      </c>
      <c r="C106" s="31" t="s">
        <v>2780</v>
      </c>
      <c r="D106" s="34" t="s">
        <v>2015</v>
      </c>
      <c r="E106" s="1" t="s">
        <v>2889</v>
      </c>
      <c r="F106" s="35">
        <v>3.0000000000000004</v>
      </c>
      <c r="G106" s="36">
        <v>3196039.8229999999</v>
      </c>
      <c r="H106" s="37">
        <v>2983325.34</v>
      </c>
      <c r="I106" s="37">
        <v>559299.47932500008</v>
      </c>
      <c r="J106" s="38">
        <v>6738664.6423249999</v>
      </c>
      <c r="K106" s="36">
        <v>4030157.2379999999</v>
      </c>
      <c r="L106" s="37">
        <v>2866651.4157000002</v>
      </c>
      <c r="M106" s="37">
        <v>488456.62940000003</v>
      </c>
      <c r="N106" s="38">
        <v>7385265.2830999997</v>
      </c>
      <c r="O106" s="39">
        <v>14123929.925425</v>
      </c>
    </row>
    <row r="107" spans="1:15">
      <c r="A107" s="31">
        <v>6507</v>
      </c>
      <c r="B107" s="32" t="s">
        <v>1870</v>
      </c>
      <c r="C107" s="31" t="s">
        <v>2780</v>
      </c>
      <c r="D107" s="34" t="s">
        <v>2015</v>
      </c>
      <c r="E107" s="1" t="s">
        <v>2890</v>
      </c>
      <c r="F107" s="35">
        <v>4.6999999999999993</v>
      </c>
      <c r="G107" s="36">
        <v>24383437.680000007</v>
      </c>
      <c r="H107" s="37">
        <v>28532435.168749996</v>
      </c>
      <c r="I107" s="37">
        <v>3973950.5543499999</v>
      </c>
      <c r="J107" s="38">
        <v>56889823.403099999</v>
      </c>
      <c r="K107" s="36">
        <v>12289585.380999999</v>
      </c>
      <c r="L107" s="37">
        <v>13025176.153700002</v>
      </c>
      <c r="M107" s="37">
        <v>1979198.3983</v>
      </c>
      <c r="N107" s="38">
        <v>27293959.932999998</v>
      </c>
      <c r="O107" s="39">
        <v>84183783.336099997</v>
      </c>
    </row>
    <row r="108" spans="1:15">
      <c r="A108" s="31">
        <v>6507</v>
      </c>
      <c r="B108" s="32" t="s">
        <v>1870</v>
      </c>
      <c r="C108" s="31" t="s">
        <v>2780</v>
      </c>
      <c r="D108" s="41" t="s">
        <v>2015</v>
      </c>
      <c r="E108" s="10" t="s">
        <v>2891</v>
      </c>
      <c r="F108" s="35">
        <v>5</v>
      </c>
      <c r="G108" s="36">
        <v>7479057.9199999999</v>
      </c>
      <c r="H108" s="37">
        <v>8912901.5738000013</v>
      </c>
      <c r="I108" s="37">
        <v>1139012.6332749999</v>
      </c>
      <c r="J108" s="38">
        <v>17530972.127075002</v>
      </c>
      <c r="K108" s="36">
        <v>6979316.8820000002</v>
      </c>
      <c r="L108" s="37">
        <v>7340879.66505</v>
      </c>
      <c r="M108" s="37">
        <v>1027985.8193999999</v>
      </c>
      <c r="N108" s="38">
        <v>15348182.366449999</v>
      </c>
      <c r="O108" s="39">
        <v>32879154.493524998</v>
      </c>
    </row>
    <row r="109" spans="1:15">
      <c r="A109" s="31">
        <v>6507</v>
      </c>
      <c r="B109" s="32" t="s">
        <v>1870</v>
      </c>
      <c r="C109" s="31" t="s">
        <v>2780</v>
      </c>
      <c r="D109" s="34" t="s">
        <v>2015</v>
      </c>
      <c r="E109" s="1" t="s">
        <v>2892</v>
      </c>
      <c r="F109" s="35">
        <v>6.6</v>
      </c>
      <c r="G109" s="36">
        <v>27047462.715000004</v>
      </c>
      <c r="H109" s="37">
        <v>32989007.616249997</v>
      </c>
      <c r="I109" s="37">
        <v>4218961.0900500007</v>
      </c>
      <c r="J109" s="38">
        <v>64255431.421299994</v>
      </c>
      <c r="K109" s="36">
        <v>25607427.505999997</v>
      </c>
      <c r="L109" s="37">
        <v>27227166.258800004</v>
      </c>
      <c r="M109" s="37">
        <v>3863133.1414999999</v>
      </c>
      <c r="N109" s="38">
        <v>56697726.906299993</v>
      </c>
      <c r="O109" s="39">
        <v>120953158.32759999</v>
      </c>
    </row>
    <row r="110" spans="1:15" s="10" customFormat="1">
      <c r="A110" s="31">
        <v>6507</v>
      </c>
      <c r="B110" s="32" t="s">
        <v>1870</v>
      </c>
      <c r="C110" s="31" t="s">
        <v>2780</v>
      </c>
      <c r="D110" s="34" t="s">
        <v>2015</v>
      </c>
      <c r="E110" s="1" t="s">
        <v>2893</v>
      </c>
      <c r="F110" s="35">
        <v>18.000000000000004</v>
      </c>
      <c r="G110" s="36">
        <v>27729975.620999999</v>
      </c>
      <c r="H110" s="37">
        <v>33560143.122549996</v>
      </c>
      <c r="I110" s="37">
        <v>4203170.0965750003</v>
      </c>
      <c r="J110" s="38">
        <v>65493288.840124995</v>
      </c>
      <c r="K110" s="36">
        <v>20912428.166999999</v>
      </c>
      <c r="L110" s="37">
        <v>21679446.991700001</v>
      </c>
      <c r="M110" s="37">
        <v>2933985.9415500006</v>
      </c>
      <c r="N110" s="38">
        <v>45525861.100250006</v>
      </c>
      <c r="O110" s="39">
        <v>111019149.940375</v>
      </c>
    </row>
    <row r="111" spans="1:15">
      <c r="A111" s="31">
        <v>6507</v>
      </c>
      <c r="B111" s="32" t="s">
        <v>1870</v>
      </c>
      <c r="C111" s="31" t="s">
        <v>2780</v>
      </c>
      <c r="D111" s="34" t="s">
        <v>2015</v>
      </c>
      <c r="E111" s="1" t="s">
        <v>2894</v>
      </c>
      <c r="F111" s="35">
        <v>18</v>
      </c>
      <c r="G111" s="36">
        <v>56599188.786000006</v>
      </c>
      <c r="H111" s="37">
        <v>81320308.652649984</v>
      </c>
      <c r="I111" s="37">
        <v>10263864.9988</v>
      </c>
      <c r="J111" s="38">
        <v>148183362.43744999</v>
      </c>
      <c r="K111" s="36">
        <v>72781389.524999991</v>
      </c>
      <c r="L111" s="37">
        <v>70664879.42400001</v>
      </c>
      <c r="M111" s="37">
        <v>9429339.3926999997</v>
      </c>
      <c r="N111" s="38">
        <v>152875608.34169999</v>
      </c>
      <c r="O111" s="39">
        <v>301058970.77915001</v>
      </c>
    </row>
    <row r="112" spans="1:15">
      <c r="A112" s="31">
        <v>6507</v>
      </c>
      <c r="B112" s="32" t="s">
        <v>1870</v>
      </c>
      <c r="C112" s="31" t="s">
        <v>2780</v>
      </c>
      <c r="D112" s="34" t="s">
        <v>2015</v>
      </c>
      <c r="E112" s="1" t="s">
        <v>2895</v>
      </c>
      <c r="F112" s="35">
        <v>30.599999999999994</v>
      </c>
      <c r="G112" s="36">
        <v>8014778.5480000004</v>
      </c>
      <c r="H112" s="37">
        <v>12508890.6413</v>
      </c>
      <c r="I112" s="37">
        <v>1807503.8248749999</v>
      </c>
      <c r="J112" s="38">
        <v>22331173.014175002</v>
      </c>
      <c r="K112" s="36">
        <v>15831526.066</v>
      </c>
      <c r="L112" s="37">
        <v>18626648.784299999</v>
      </c>
      <c r="M112" s="37">
        <v>2488141.4438999998</v>
      </c>
      <c r="N112" s="38">
        <v>36946316.294199996</v>
      </c>
      <c r="O112" s="39">
        <v>59277489.308375001</v>
      </c>
    </row>
    <row r="113" spans="1:15">
      <c r="A113" s="31">
        <v>6507</v>
      </c>
      <c r="B113" s="32" t="s">
        <v>1870</v>
      </c>
      <c r="C113" s="31" t="s">
        <v>2780</v>
      </c>
      <c r="D113" s="34" t="s">
        <v>2015</v>
      </c>
      <c r="E113" s="1" t="s">
        <v>2896</v>
      </c>
      <c r="F113" s="35">
        <v>6.5</v>
      </c>
      <c r="G113" s="36">
        <v>27359295.725000001</v>
      </c>
      <c r="H113" s="37">
        <v>37065373.550049998</v>
      </c>
      <c r="I113" s="37">
        <v>5041646.1352000004</v>
      </c>
      <c r="J113" s="38">
        <v>69466315.410249993</v>
      </c>
      <c r="K113" s="36">
        <v>30672797.619000003</v>
      </c>
      <c r="L113" s="37">
        <v>33253128.779499996</v>
      </c>
      <c r="M113" s="37">
        <v>4676518.4478000002</v>
      </c>
      <c r="N113" s="38">
        <v>68602444.846299991</v>
      </c>
      <c r="O113" s="39">
        <v>138068760.25654998</v>
      </c>
    </row>
    <row r="114" spans="1:15">
      <c r="A114" s="31">
        <v>6507</v>
      </c>
      <c r="B114" s="32" t="s">
        <v>1870</v>
      </c>
      <c r="C114" s="31" t="s">
        <v>2780</v>
      </c>
      <c r="D114" s="34" t="s">
        <v>2015</v>
      </c>
      <c r="E114" s="1" t="s">
        <v>2897</v>
      </c>
      <c r="F114" s="35">
        <v>20.299999999999997</v>
      </c>
      <c r="G114" s="36">
        <v>87952437.495000005</v>
      </c>
      <c r="H114" s="37">
        <v>118329976.961</v>
      </c>
      <c r="I114" s="37">
        <v>15772943.186375</v>
      </c>
      <c r="J114" s="38">
        <v>222055357.64237499</v>
      </c>
      <c r="K114" s="36">
        <v>95192431.631999984</v>
      </c>
      <c r="L114" s="37">
        <v>107203221.7114</v>
      </c>
      <c r="M114" s="37">
        <v>14603839.643750001</v>
      </c>
      <c r="N114" s="38">
        <v>216999492.98715001</v>
      </c>
      <c r="O114" s="39">
        <v>439054850.62952501</v>
      </c>
    </row>
    <row r="115" spans="1:15">
      <c r="A115" s="31">
        <v>6330</v>
      </c>
      <c r="B115" s="32" t="s">
        <v>1831</v>
      </c>
      <c r="C115" s="31" t="s">
        <v>2780</v>
      </c>
      <c r="D115" s="34" t="s">
        <v>2898</v>
      </c>
      <c r="E115" s="1" t="s">
        <v>2899</v>
      </c>
      <c r="F115" s="35">
        <v>41.7</v>
      </c>
      <c r="G115" s="36">
        <v>176989.06699999998</v>
      </c>
      <c r="H115" s="37">
        <v>5233647.7031999994</v>
      </c>
      <c r="I115" s="37">
        <v>469648.34600000002</v>
      </c>
      <c r="J115" s="38">
        <v>5880285.1161999991</v>
      </c>
      <c r="K115" s="36">
        <v>19030504.151000001</v>
      </c>
      <c r="L115" s="37">
        <v>5390665.6249500001</v>
      </c>
      <c r="M115" s="37">
        <v>726109.1708000002</v>
      </c>
      <c r="N115" s="38">
        <v>25147278.94675</v>
      </c>
      <c r="O115" s="39">
        <v>31027564.06295</v>
      </c>
    </row>
    <row r="116" spans="1:15">
      <c r="A116" s="31">
        <v>6330</v>
      </c>
      <c r="B116" s="32" t="s">
        <v>1831</v>
      </c>
      <c r="C116" s="31" t="s">
        <v>2780</v>
      </c>
      <c r="D116" s="34" t="s">
        <v>2898</v>
      </c>
      <c r="E116" s="1" t="s">
        <v>2900</v>
      </c>
      <c r="F116" s="35">
        <v>40.200000000000003</v>
      </c>
      <c r="G116" s="36">
        <v>52254.154999999999</v>
      </c>
      <c r="H116" s="37">
        <v>1508432.3403</v>
      </c>
      <c r="I116" s="37">
        <v>122934.62245</v>
      </c>
      <c r="J116" s="38">
        <v>1683621.11775</v>
      </c>
      <c r="K116" s="36">
        <v>5789377.402999999</v>
      </c>
      <c r="L116" s="37">
        <v>1600484.8144999999</v>
      </c>
      <c r="M116" s="37">
        <v>219507.00050000002</v>
      </c>
      <c r="N116" s="38">
        <v>7609369.2179999994</v>
      </c>
      <c r="O116" s="39">
        <v>9292990.3357499987</v>
      </c>
    </row>
    <row r="117" spans="1:15">
      <c r="A117" s="31">
        <v>6330</v>
      </c>
      <c r="B117" s="32" t="s">
        <v>1831</v>
      </c>
      <c r="C117" s="31" t="s">
        <v>2780</v>
      </c>
      <c r="D117" s="34" t="s">
        <v>2898</v>
      </c>
      <c r="E117" s="1" t="s">
        <v>2901</v>
      </c>
      <c r="F117" s="35">
        <v>19</v>
      </c>
      <c r="G117" s="36">
        <v>0</v>
      </c>
      <c r="H117" s="37">
        <v>0</v>
      </c>
      <c r="I117" s="37">
        <v>0</v>
      </c>
      <c r="J117" s="38">
        <v>0</v>
      </c>
      <c r="K117" s="36">
        <v>0</v>
      </c>
      <c r="L117" s="37">
        <v>0</v>
      </c>
      <c r="M117" s="37">
        <v>0</v>
      </c>
      <c r="N117" s="38">
        <v>0</v>
      </c>
      <c r="O117" s="39">
        <v>0</v>
      </c>
    </row>
    <row r="118" spans="1:15">
      <c r="A118" s="31">
        <v>6330</v>
      </c>
      <c r="B118" s="32" t="s">
        <v>1831</v>
      </c>
      <c r="C118" s="31" t="s">
        <v>2780</v>
      </c>
      <c r="D118" s="34" t="s">
        <v>2898</v>
      </c>
      <c r="E118" s="1" t="s">
        <v>2902</v>
      </c>
      <c r="F118" s="35">
        <v>27.199999999999989</v>
      </c>
      <c r="G118" s="36">
        <v>60062.625</v>
      </c>
      <c r="H118" s="37">
        <v>23643.66375</v>
      </c>
      <c r="I118" s="37">
        <v>15986.25</v>
      </c>
      <c r="J118" s="38">
        <v>99692.538750000007</v>
      </c>
      <c r="K118" s="36">
        <v>60062.625</v>
      </c>
      <c r="L118" s="37">
        <v>25436.407500000001</v>
      </c>
      <c r="M118" s="37">
        <v>51408.42</v>
      </c>
      <c r="N118" s="38">
        <v>136907.45250000001</v>
      </c>
      <c r="O118" s="39">
        <v>236599.99125000002</v>
      </c>
    </row>
    <row r="119" spans="1:15">
      <c r="A119" s="31">
        <v>6330</v>
      </c>
      <c r="B119" s="32" t="s">
        <v>1831</v>
      </c>
      <c r="C119" s="31" t="s">
        <v>2780</v>
      </c>
      <c r="D119" s="34" t="s">
        <v>2898</v>
      </c>
      <c r="E119" s="1" t="s">
        <v>2903</v>
      </c>
      <c r="F119" s="35">
        <v>18.700000000000017</v>
      </c>
      <c r="G119" s="36">
        <v>3144752.3629999999</v>
      </c>
      <c r="H119" s="37">
        <v>871099.2561</v>
      </c>
      <c r="I119" s="37">
        <v>132136.58749999999</v>
      </c>
      <c r="J119" s="38">
        <v>4147988.2065999997</v>
      </c>
      <c r="K119" s="36">
        <v>23972.659</v>
      </c>
      <c r="L119" s="37">
        <v>860732.96065000014</v>
      </c>
      <c r="M119" s="37">
        <v>117706.50049999999</v>
      </c>
      <c r="N119" s="38">
        <v>1002412.1201500001</v>
      </c>
      <c r="O119" s="39">
        <v>5150400.32675</v>
      </c>
    </row>
    <row r="120" spans="1:15">
      <c r="A120" s="31">
        <v>6325</v>
      </c>
      <c r="B120" s="32" t="s">
        <v>1831</v>
      </c>
      <c r="C120" s="31" t="s">
        <v>2780</v>
      </c>
      <c r="D120" s="34" t="s">
        <v>2904</v>
      </c>
      <c r="E120" s="1" t="s">
        <v>2905</v>
      </c>
      <c r="F120" s="35">
        <v>4.9000000000000004</v>
      </c>
      <c r="G120" s="36">
        <v>5030547.12</v>
      </c>
      <c r="H120" s="37">
        <v>1761933.2435999999</v>
      </c>
      <c r="I120" s="37">
        <v>245054.052</v>
      </c>
      <c r="J120" s="38">
        <v>7037534.4155999999</v>
      </c>
      <c r="K120" s="36">
        <v>35560.944000000003</v>
      </c>
      <c r="L120" s="37">
        <v>1730287.0836</v>
      </c>
      <c r="M120" s="37">
        <v>259602.84</v>
      </c>
      <c r="N120" s="38">
        <v>2025450.8676</v>
      </c>
      <c r="O120" s="39">
        <v>9062985.2831999995</v>
      </c>
    </row>
    <row r="121" spans="1:15">
      <c r="A121" s="31">
        <v>6518</v>
      </c>
      <c r="B121" s="32" t="s">
        <v>1870</v>
      </c>
      <c r="C121" s="31" t="s">
        <v>2780</v>
      </c>
      <c r="D121" s="34" t="s">
        <v>2028</v>
      </c>
      <c r="E121" s="1" t="s">
        <v>2906</v>
      </c>
      <c r="F121" s="35">
        <v>8.1999999999999993</v>
      </c>
      <c r="G121" s="36">
        <v>1915486.5860000001</v>
      </c>
      <c r="H121" s="37">
        <v>2059455.90185</v>
      </c>
      <c r="I121" s="37">
        <v>600468.505</v>
      </c>
      <c r="J121" s="38">
        <v>4575410.99285</v>
      </c>
      <c r="K121" s="36">
        <v>7060884.6880000001</v>
      </c>
      <c r="L121" s="37">
        <v>5700271.2705999995</v>
      </c>
      <c r="M121" s="37">
        <v>1138843.398</v>
      </c>
      <c r="N121" s="38">
        <v>13899999.3566</v>
      </c>
      <c r="O121" s="39">
        <v>18475410.34945</v>
      </c>
    </row>
    <row r="122" spans="1:15">
      <c r="A122" s="31">
        <v>6518</v>
      </c>
      <c r="B122" s="32" t="s">
        <v>1870</v>
      </c>
      <c r="C122" s="31" t="s">
        <v>2780</v>
      </c>
      <c r="D122" s="34" t="s">
        <v>2028</v>
      </c>
      <c r="E122" s="1" t="s">
        <v>2907</v>
      </c>
      <c r="F122" s="35">
        <v>16.899999999999999</v>
      </c>
      <c r="G122" s="36">
        <v>14544579.613</v>
      </c>
      <c r="H122" s="37">
        <v>15463663.710099999</v>
      </c>
      <c r="I122" s="37">
        <v>4689464.3489999995</v>
      </c>
      <c r="J122" s="38">
        <v>34697707.6721</v>
      </c>
      <c r="K122" s="36">
        <v>26423027.597999997</v>
      </c>
      <c r="L122" s="37">
        <v>20934820.68355</v>
      </c>
      <c r="M122" s="37">
        <v>4352320.7829999998</v>
      </c>
      <c r="N122" s="38">
        <v>51710169.064549997</v>
      </c>
      <c r="O122" s="39">
        <v>86407876.73664999</v>
      </c>
    </row>
    <row r="123" spans="1:15">
      <c r="A123" s="31">
        <v>6518</v>
      </c>
      <c r="B123" s="32" t="s">
        <v>1870</v>
      </c>
      <c r="C123" s="31" t="s">
        <v>2780</v>
      </c>
      <c r="D123" s="34" t="s">
        <v>2028</v>
      </c>
      <c r="E123" s="1" t="s">
        <v>2908</v>
      </c>
      <c r="F123" s="35">
        <v>20.200000000000003</v>
      </c>
      <c r="G123" s="36">
        <v>18497623.229999997</v>
      </c>
      <c r="H123" s="37">
        <v>20520036.7038</v>
      </c>
      <c r="I123" s="37">
        <v>5963490.46875</v>
      </c>
      <c r="J123" s="38">
        <v>44981150.402549997</v>
      </c>
      <c r="K123" s="36">
        <v>37735482.167999998</v>
      </c>
      <c r="L123" s="37">
        <v>29012489.30125</v>
      </c>
      <c r="M123" s="37">
        <v>5816344.0262500001</v>
      </c>
      <c r="N123" s="38">
        <v>72564315.495499998</v>
      </c>
      <c r="O123" s="39">
        <v>117545465.89805</v>
      </c>
    </row>
    <row r="124" spans="1:15">
      <c r="A124" s="31">
        <v>6518</v>
      </c>
      <c r="B124" s="32" t="s">
        <v>1870</v>
      </c>
      <c r="C124" s="31" t="s">
        <v>2780</v>
      </c>
      <c r="D124" s="34" t="s">
        <v>2028</v>
      </c>
      <c r="E124" s="1" t="s">
        <v>2909</v>
      </c>
      <c r="F124" s="35">
        <v>2.6000000000000014</v>
      </c>
      <c r="G124" s="36">
        <v>2687092.7170000002</v>
      </c>
      <c r="H124" s="37">
        <v>3246364.9401000002</v>
      </c>
      <c r="I124" s="37">
        <v>690414.54275000002</v>
      </c>
      <c r="J124" s="38">
        <v>6623872.1998500004</v>
      </c>
      <c r="K124" s="36">
        <v>6225600.6649999991</v>
      </c>
      <c r="L124" s="37">
        <v>4340920.7852000007</v>
      </c>
      <c r="M124" s="37">
        <v>730096.81150000007</v>
      </c>
      <c r="N124" s="38">
        <v>11296618.261699999</v>
      </c>
      <c r="O124" s="39">
        <v>17920490.461549997</v>
      </c>
    </row>
    <row r="125" spans="1:15">
      <c r="A125" s="31">
        <v>6518</v>
      </c>
      <c r="B125" s="32" t="s">
        <v>1870</v>
      </c>
      <c r="C125" s="31" t="s">
        <v>2780</v>
      </c>
      <c r="D125" s="34" t="s">
        <v>2028</v>
      </c>
      <c r="E125" s="1" t="s">
        <v>2910</v>
      </c>
      <c r="F125" s="35">
        <v>16.899999999999999</v>
      </c>
      <c r="G125" s="36">
        <v>6437518.9680000003</v>
      </c>
      <c r="H125" s="37">
        <v>8189732.5140000004</v>
      </c>
      <c r="I125" s="37">
        <v>1677499.3139999998</v>
      </c>
      <c r="J125" s="38">
        <v>16304750.796</v>
      </c>
      <c r="K125" s="36">
        <v>15458368.476000002</v>
      </c>
      <c r="L125" s="37">
        <v>11271475.933800001</v>
      </c>
      <c r="M125" s="37">
        <v>1694946.888</v>
      </c>
      <c r="N125" s="38">
        <v>28424791.297800001</v>
      </c>
      <c r="O125" s="39">
        <v>44729542.093800001</v>
      </c>
    </row>
    <row r="126" spans="1:15">
      <c r="A126" s="31">
        <v>6362</v>
      </c>
      <c r="B126" s="32" t="s">
        <v>1853</v>
      </c>
      <c r="C126" s="31" t="s">
        <v>2780</v>
      </c>
      <c r="D126" s="34" t="s">
        <v>2911</v>
      </c>
      <c r="E126" s="1" t="s">
        <v>2912</v>
      </c>
      <c r="F126" s="35">
        <v>62.2</v>
      </c>
      <c r="G126" s="36">
        <v>519938478.20599997</v>
      </c>
      <c r="H126" s="37">
        <v>245558561.00320002</v>
      </c>
      <c r="I126" s="37">
        <v>30912158.588949997</v>
      </c>
      <c r="J126" s="38">
        <v>796409197.79815006</v>
      </c>
      <c r="K126" s="36">
        <v>209772598.741</v>
      </c>
      <c r="L126" s="37">
        <v>183757700.83090001</v>
      </c>
      <c r="M126" s="37">
        <v>23065011.638950001</v>
      </c>
      <c r="N126" s="38">
        <v>416595311.21085</v>
      </c>
      <c r="O126" s="39">
        <v>1213004509.0090001</v>
      </c>
    </row>
    <row r="127" spans="1:15">
      <c r="A127" s="31">
        <v>6362</v>
      </c>
      <c r="B127" s="32" t="s">
        <v>1853</v>
      </c>
      <c r="C127" s="31" t="s">
        <v>2780</v>
      </c>
      <c r="D127" s="34" t="s">
        <v>2911</v>
      </c>
      <c r="E127" s="1" t="s">
        <v>2913</v>
      </c>
      <c r="F127" s="35">
        <v>2.7999999999999972</v>
      </c>
      <c r="G127" s="36">
        <v>24850305.379999999</v>
      </c>
      <c r="H127" s="37">
        <v>11560342.226599999</v>
      </c>
      <c r="I127" s="37">
        <v>1414740.614875</v>
      </c>
      <c r="J127" s="38">
        <v>37825388.221475005</v>
      </c>
      <c r="K127" s="36">
        <v>9628168.8669999987</v>
      </c>
      <c r="L127" s="37">
        <v>8674135.4232999999</v>
      </c>
      <c r="M127" s="37">
        <v>1043926.82825</v>
      </c>
      <c r="N127" s="38">
        <v>19346231.118549995</v>
      </c>
      <c r="O127" s="39">
        <v>57171619.340025</v>
      </c>
    </row>
    <row r="128" spans="1:15">
      <c r="A128" s="31">
        <v>6362</v>
      </c>
      <c r="B128" s="32" t="s">
        <v>2002</v>
      </c>
      <c r="C128" s="31" t="s">
        <v>2780</v>
      </c>
      <c r="D128" s="34" t="s">
        <v>2911</v>
      </c>
      <c r="E128" s="1" t="s">
        <v>2914</v>
      </c>
      <c r="F128" s="35">
        <v>31</v>
      </c>
      <c r="G128" s="36">
        <v>276488619.704</v>
      </c>
      <c r="H128" s="37">
        <v>127053465.93134999</v>
      </c>
      <c r="I128" s="37">
        <v>15436929.565400001</v>
      </c>
      <c r="J128" s="38">
        <v>418979015.20074999</v>
      </c>
      <c r="K128" s="36">
        <v>103875903.646</v>
      </c>
      <c r="L128" s="37">
        <v>95760339.016449988</v>
      </c>
      <c r="M128" s="37">
        <v>11428680.151774999</v>
      </c>
      <c r="N128" s="38">
        <v>211064922.81422499</v>
      </c>
      <c r="O128" s="39">
        <v>630043938.01497495</v>
      </c>
    </row>
    <row r="129" spans="1:15">
      <c r="A129" s="31">
        <v>6362</v>
      </c>
      <c r="B129" s="32" t="s">
        <v>2002</v>
      </c>
      <c r="C129" s="31" t="s">
        <v>2780</v>
      </c>
      <c r="D129" s="34" t="s">
        <v>2911</v>
      </c>
      <c r="E129" s="1" t="s">
        <v>2915</v>
      </c>
      <c r="F129" s="35">
        <v>35.400000000000006</v>
      </c>
      <c r="G129" s="36">
        <v>320962325.398</v>
      </c>
      <c r="H129" s="37">
        <v>138835930.31529999</v>
      </c>
      <c r="I129" s="37">
        <v>17189290.685725</v>
      </c>
      <c r="J129" s="38">
        <v>476987546.39902496</v>
      </c>
      <c r="K129" s="36">
        <v>102131405.755</v>
      </c>
      <c r="L129" s="37">
        <v>102957337.17819999</v>
      </c>
      <c r="M129" s="37">
        <v>12561443.172350002</v>
      </c>
      <c r="N129" s="38">
        <v>217650186.10554999</v>
      </c>
      <c r="O129" s="39">
        <v>694637732.50457501</v>
      </c>
    </row>
    <row r="130" spans="1:15">
      <c r="A130" s="31">
        <v>6210</v>
      </c>
      <c r="B130" s="32" t="s">
        <v>1853</v>
      </c>
      <c r="C130" s="31" t="s">
        <v>2780</v>
      </c>
      <c r="D130" s="34" t="s">
        <v>2916</v>
      </c>
      <c r="E130" s="1" t="s">
        <v>2917</v>
      </c>
      <c r="F130" s="35">
        <v>16.5</v>
      </c>
      <c r="G130" s="36">
        <v>0</v>
      </c>
      <c r="H130" s="37">
        <v>0</v>
      </c>
      <c r="I130" s="37">
        <v>0</v>
      </c>
      <c r="J130" s="38">
        <v>0</v>
      </c>
      <c r="K130" s="36">
        <v>0</v>
      </c>
      <c r="L130" s="37">
        <v>0</v>
      </c>
      <c r="M130" s="37">
        <v>0</v>
      </c>
      <c r="N130" s="38">
        <v>0</v>
      </c>
      <c r="O130" s="39">
        <v>0</v>
      </c>
    </row>
    <row r="131" spans="1:15">
      <c r="A131" s="31">
        <v>6503</v>
      </c>
      <c r="B131" s="32" t="s">
        <v>1870</v>
      </c>
      <c r="C131" s="31" t="s">
        <v>2780</v>
      </c>
      <c r="D131" s="34" t="s">
        <v>2918</v>
      </c>
      <c r="E131" s="1" t="s">
        <v>2919</v>
      </c>
      <c r="F131" s="35">
        <v>24.299999999999997</v>
      </c>
      <c r="G131" s="36">
        <v>2903209.088</v>
      </c>
      <c r="H131" s="37">
        <v>2634196.8790000002</v>
      </c>
      <c r="I131" s="37">
        <v>1550754.172</v>
      </c>
      <c r="J131" s="38">
        <v>7088160.1390000004</v>
      </c>
      <c r="K131" s="36">
        <v>7169636.7859999994</v>
      </c>
      <c r="L131" s="37">
        <v>2678386.5128000001</v>
      </c>
      <c r="M131" s="37">
        <v>1564506.7419999999</v>
      </c>
      <c r="N131" s="38">
        <v>11412530.0408</v>
      </c>
      <c r="O131" s="39">
        <v>18500690.1798</v>
      </c>
    </row>
    <row r="132" spans="1:15">
      <c r="A132" s="31">
        <v>6503</v>
      </c>
      <c r="B132" s="32" t="s">
        <v>1870</v>
      </c>
      <c r="C132" s="31" t="s">
        <v>2780</v>
      </c>
      <c r="D132" s="34" t="s">
        <v>2918</v>
      </c>
      <c r="E132" s="1" t="s">
        <v>2920</v>
      </c>
      <c r="F132" s="35">
        <v>60</v>
      </c>
      <c r="G132" s="36">
        <v>25983178.916000001</v>
      </c>
      <c r="H132" s="37">
        <v>9416533.8866500016</v>
      </c>
      <c r="I132" s="37">
        <v>5489732.6935000001</v>
      </c>
      <c r="J132" s="38">
        <v>40889445.496150002</v>
      </c>
      <c r="K132" s="36">
        <v>9672442.688000001</v>
      </c>
      <c r="L132" s="37">
        <v>6819778.6536999997</v>
      </c>
      <c r="M132" s="37">
        <v>3973798.8259999999</v>
      </c>
      <c r="N132" s="38">
        <v>20466020.1677</v>
      </c>
      <c r="O132" s="39">
        <v>61355465.663850002</v>
      </c>
    </row>
    <row r="133" spans="1:15">
      <c r="A133" s="31">
        <v>6415</v>
      </c>
      <c r="B133" s="32" t="s">
        <v>1870</v>
      </c>
      <c r="C133" s="31" t="s">
        <v>2780</v>
      </c>
      <c r="D133" s="34" t="s">
        <v>1867</v>
      </c>
      <c r="E133" s="1" t="s">
        <v>2921</v>
      </c>
      <c r="F133" s="35">
        <v>33.5</v>
      </c>
      <c r="G133" s="36">
        <v>141550634.45000002</v>
      </c>
      <c r="H133" s="37">
        <v>118907797.88485001</v>
      </c>
      <c r="I133" s="37">
        <v>19878220.421705</v>
      </c>
      <c r="J133" s="38">
        <v>280336652.75655502</v>
      </c>
      <c r="K133" s="36">
        <v>220993133.817</v>
      </c>
      <c r="L133" s="37">
        <v>139580605.59619999</v>
      </c>
      <c r="M133" s="37">
        <v>20908314.062094502</v>
      </c>
      <c r="N133" s="38">
        <v>381482053.47529453</v>
      </c>
      <c r="O133" s="39">
        <v>661818706.23184955</v>
      </c>
    </row>
    <row r="134" spans="1:15">
      <c r="A134" s="31">
        <v>6415</v>
      </c>
      <c r="B134" s="32" t="s">
        <v>1870</v>
      </c>
      <c r="C134" s="31" t="s">
        <v>2780</v>
      </c>
      <c r="D134" s="34" t="s">
        <v>1867</v>
      </c>
      <c r="E134" s="1" t="s">
        <v>2922</v>
      </c>
      <c r="F134" s="35">
        <v>84.8</v>
      </c>
      <c r="G134" s="36">
        <v>746207837.10300004</v>
      </c>
      <c r="H134" s="37">
        <v>583618562.08764994</v>
      </c>
      <c r="I134" s="37">
        <v>95270012.511214003</v>
      </c>
      <c r="J134" s="38">
        <v>1425096411.701864</v>
      </c>
      <c r="K134" s="36">
        <v>974141974.63800001</v>
      </c>
      <c r="L134" s="37">
        <v>643026983.37895012</v>
      </c>
      <c r="M134" s="37">
        <v>98272210.252050996</v>
      </c>
      <c r="N134" s="38">
        <v>1715441168.269001</v>
      </c>
      <c r="O134" s="39">
        <v>3140537579.9708652</v>
      </c>
    </row>
    <row r="135" spans="1:15">
      <c r="A135" s="31">
        <v>6227</v>
      </c>
      <c r="B135" s="32" t="s">
        <v>2002</v>
      </c>
      <c r="C135" s="31" t="s">
        <v>2780</v>
      </c>
      <c r="D135" s="34" t="s">
        <v>2923</v>
      </c>
      <c r="E135" s="1" t="s">
        <v>2924</v>
      </c>
      <c r="F135" s="35">
        <v>34.6</v>
      </c>
      <c r="G135" s="36">
        <v>808835.82000000007</v>
      </c>
      <c r="H135" s="37">
        <v>6041310.1434499994</v>
      </c>
      <c r="I135" s="37">
        <v>1933621.7884999998</v>
      </c>
      <c r="J135" s="38">
        <v>8783767.7519499995</v>
      </c>
      <c r="K135" s="36">
        <v>7633157.9520000005</v>
      </c>
      <c r="L135" s="37">
        <v>6185156.4719500002</v>
      </c>
      <c r="M135" s="37">
        <v>2127930.9675000003</v>
      </c>
      <c r="N135" s="38">
        <v>15946245.391450003</v>
      </c>
      <c r="O135" s="39">
        <v>24730013.143400002</v>
      </c>
    </row>
    <row r="136" spans="1:15">
      <c r="A136" s="31">
        <v>6227</v>
      </c>
      <c r="B136" s="32" t="s">
        <v>2002</v>
      </c>
      <c r="C136" s="31" t="s">
        <v>2780</v>
      </c>
      <c r="D136" s="34" t="s">
        <v>2923</v>
      </c>
      <c r="E136" s="1" t="s">
        <v>2925</v>
      </c>
      <c r="F136" s="35">
        <v>8</v>
      </c>
      <c r="G136" s="36">
        <v>0</v>
      </c>
      <c r="H136" s="37">
        <v>1302321.4222499998</v>
      </c>
      <c r="I136" s="37">
        <v>429096.28500000003</v>
      </c>
      <c r="J136" s="38">
        <v>1731417.70725</v>
      </c>
      <c r="K136" s="36">
        <v>1724418.72</v>
      </c>
      <c r="L136" s="37">
        <v>1323015.2009999999</v>
      </c>
      <c r="M136" s="37">
        <v>451273.27500000002</v>
      </c>
      <c r="N136" s="38">
        <v>3498707.196</v>
      </c>
      <c r="O136" s="39">
        <v>5230124.9032499995</v>
      </c>
    </row>
    <row r="137" spans="1:15">
      <c r="A137" s="31">
        <v>6315</v>
      </c>
      <c r="B137" s="32" t="s">
        <v>1870</v>
      </c>
      <c r="C137" s="31" t="s">
        <v>2780</v>
      </c>
      <c r="D137" s="34" t="s">
        <v>2926</v>
      </c>
      <c r="E137" s="1" t="s">
        <v>2927</v>
      </c>
      <c r="F137" s="35">
        <v>146.19999999999999</v>
      </c>
      <c r="G137" s="36">
        <v>1049035552.9740001</v>
      </c>
      <c r="H137" s="37">
        <v>1157420480.9309001</v>
      </c>
      <c r="I137" s="37">
        <v>169052235.85885003</v>
      </c>
      <c r="J137" s="38">
        <v>2375508269.7637501</v>
      </c>
      <c r="K137" s="36">
        <v>2654883896.4219999</v>
      </c>
      <c r="L137" s="37">
        <v>1310271331.69835</v>
      </c>
      <c r="M137" s="37">
        <v>177367745.20392996</v>
      </c>
      <c r="N137" s="38">
        <v>4142522973.3242798</v>
      </c>
      <c r="O137" s="39">
        <v>6518031243.0880299</v>
      </c>
    </row>
    <row r="138" spans="1:15">
      <c r="A138" s="31">
        <v>4014</v>
      </c>
      <c r="B138" s="32" t="s">
        <v>1853</v>
      </c>
      <c r="C138" s="31" t="s">
        <v>2780</v>
      </c>
      <c r="D138" s="34" t="s">
        <v>2928</v>
      </c>
      <c r="E138" s="1" t="s">
        <v>2929</v>
      </c>
      <c r="F138" s="35">
        <v>3.8</v>
      </c>
      <c r="G138" s="36">
        <v>123846.82800000001</v>
      </c>
      <c r="H138" s="37">
        <v>1569956.9818000002</v>
      </c>
      <c r="I138" s="37">
        <v>885628.39250000007</v>
      </c>
      <c r="J138" s="38">
        <v>2579432.2023</v>
      </c>
      <c r="K138" s="36">
        <v>12767810.267999999</v>
      </c>
      <c r="L138" s="37">
        <v>3540650.7662000004</v>
      </c>
      <c r="M138" s="37">
        <v>916374.35499999998</v>
      </c>
      <c r="N138" s="38">
        <v>17224835.389199998</v>
      </c>
      <c r="O138" s="39">
        <v>19804267.591499999</v>
      </c>
    </row>
    <row r="139" spans="1:15">
      <c r="A139" s="31">
        <v>4014</v>
      </c>
      <c r="B139" s="32" t="s">
        <v>1853</v>
      </c>
      <c r="C139" s="31" t="s">
        <v>2780</v>
      </c>
      <c r="D139" s="34" t="s">
        <v>2928</v>
      </c>
      <c r="E139" s="1" t="s">
        <v>2930</v>
      </c>
      <c r="F139" s="35">
        <v>2.7</v>
      </c>
      <c r="G139" s="36">
        <v>7575.9500000000007</v>
      </c>
      <c r="H139" s="37">
        <v>139071.05775000001</v>
      </c>
      <c r="I139" s="37">
        <v>26028.311249999999</v>
      </c>
      <c r="J139" s="38">
        <v>172675.31900000002</v>
      </c>
      <c r="K139" s="36">
        <v>336845.33499999996</v>
      </c>
      <c r="L139" s="37">
        <v>135814.76675000001</v>
      </c>
      <c r="M139" s="37">
        <v>36980.618750000001</v>
      </c>
      <c r="N139" s="38">
        <v>509640.7205</v>
      </c>
      <c r="O139" s="39">
        <v>682316.03949999996</v>
      </c>
    </row>
    <row r="140" spans="1:15">
      <c r="A140" s="31">
        <v>6333</v>
      </c>
      <c r="B140" s="32" t="s">
        <v>1853</v>
      </c>
      <c r="C140" s="31" t="s">
        <v>2780</v>
      </c>
      <c r="D140" s="34" t="s">
        <v>2190</v>
      </c>
      <c r="E140" s="1" t="s">
        <v>2931</v>
      </c>
      <c r="F140" s="35">
        <v>88.7</v>
      </c>
      <c r="G140" s="36">
        <v>864648111.32499993</v>
      </c>
      <c r="H140" s="37">
        <v>604886250.28044987</v>
      </c>
      <c r="I140" s="37">
        <v>97147592.851735011</v>
      </c>
      <c r="J140" s="38">
        <v>1566681954.4571848</v>
      </c>
      <c r="K140" s="36">
        <v>1165801927.1029999</v>
      </c>
      <c r="L140" s="37">
        <v>691001345.41969991</v>
      </c>
      <c r="M140" s="37">
        <v>102473907.22305</v>
      </c>
      <c r="N140" s="38">
        <v>1959277179.74575</v>
      </c>
      <c r="O140" s="39">
        <v>3525959134.2029347</v>
      </c>
    </row>
    <row r="141" spans="1:15">
      <c r="A141" s="31">
        <v>6333</v>
      </c>
      <c r="B141" s="32" t="s">
        <v>1853</v>
      </c>
      <c r="C141" s="31" t="s">
        <v>2780</v>
      </c>
      <c r="D141" s="34" t="s">
        <v>2190</v>
      </c>
      <c r="E141" s="1" t="s">
        <v>2932</v>
      </c>
      <c r="F141" s="35">
        <v>4.7999999999999972</v>
      </c>
      <c r="G141" s="36">
        <v>49121518.722999997</v>
      </c>
      <c r="H141" s="37">
        <v>33568873.661150001</v>
      </c>
      <c r="I141" s="37">
        <v>5329853.38588</v>
      </c>
      <c r="J141" s="38">
        <v>88020245.770029992</v>
      </c>
      <c r="K141" s="36">
        <v>63097353.787</v>
      </c>
      <c r="L141" s="37">
        <v>38283593.308799997</v>
      </c>
      <c r="M141" s="37">
        <v>5650547.0385999996</v>
      </c>
      <c r="N141" s="38">
        <v>107031494.1344</v>
      </c>
      <c r="O141" s="39">
        <v>195051739.90442997</v>
      </c>
    </row>
    <row r="142" spans="1:15">
      <c r="A142" s="31">
        <v>6333</v>
      </c>
      <c r="B142" s="32" t="s">
        <v>1853</v>
      </c>
      <c r="C142" s="31" t="s">
        <v>2780</v>
      </c>
      <c r="D142" s="34" t="s">
        <v>2190</v>
      </c>
      <c r="E142" s="1" t="s">
        <v>2933</v>
      </c>
      <c r="F142" s="35">
        <v>24.299999999999997</v>
      </c>
      <c r="G142" s="36">
        <v>415140817.27100003</v>
      </c>
      <c r="H142" s="37">
        <v>220133201.81474999</v>
      </c>
      <c r="I142" s="37">
        <v>34906941.752255</v>
      </c>
      <c r="J142" s="38">
        <v>670180960.83800495</v>
      </c>
      <c r="K142" s="36">
        <v>311543884.22399998</v>
      </c>
      <c r="L142" s="37">
        <v>266236285.70075002</v>
      </c>
      <c r="M142" s="37">
        <v>38803720.691650003</v>
      </c>
      <c r="N142" s="38">
        <v>616583890.6164</v>
      </c>
      <c r="O142" s="39">
        <v>1286764851.4544048</v>
      </c>
    </row>
    <row r="143" spans="1:15">
      <c r="A143" s="31">
        <v>6333</v>
      </c>
      <c r="B143" s="32" t="s">
        <v>1853</v>
      </c>
      <c r="C143" s="31" t="s">
        <v>2780</v>
      </c>
      <c r="D143" s="34" t="s">
        <v>2190</v>
      </c>
      <c r="E143" s="1" t="s">
        <v>2934</v>
      </c>
      <c r="F143" s="35">
        <v>11.299999999999997</v>
      </c>
      <c r="G143" s="36">
        <v>187283278.05599999</v>
      </c>
      <c r="H143" s="37">
        <v>90118785.930450007</v>
      </c>
      <c r="I143" s="37">
        <v>15255887.724640001</v>
      </c>
      <c r="J143" s="38">
        <v>292657951.71109003</v>
      </c>
      <c r="K143" s="36">
        <v>112267479.418</v>
      </c>
      <c r="L143" s="37">
        <v>111936802.22775</v>
      </c>
      <c r="M143" s="37">
        <v>16859807.884575002</v>
      </c>
      <c r="N143" s="38">
        <v>241064089.530325</v>
      </c>
      <c r="O143" s="39">
        <v>533722041.24141502</v>
      </c>
    </row>
    <row r="144" spans="1:15">
      <c r="A144" s="31">
        <v>6333</v>
      </c>
      <c r="B144" s="32" t="s">
        <v>1853</v>
      </c>
      <c r="C144" s="31" t="s">
        <v>2780</v>
      </c>
      <c r="D144" s="34" t="s">
        <v>2190</v>
      </c>
      <c r="E144" s="1" t="s">
        <v>2935</v>
      </c>
      <c r="F144" s="35">
        <v>6</v>
      </c>
      <c r="G144" s="36">
        <v>262734275.97400001</v>
      </c>
      <c r="H144" s="37">
        <v>141423443.10714999</v>
      </c>
      <c r="I144" s="37">
        <v>19558919.722415999</v>
      </c>
      <c r="J144" s="38">
        <v>423716638.80356598</v>
      </c>
      <c r="K144" s="36">
        <v>168062737.52399999</v>
      </c>
      <c r="L144" s="37">
        <v>151867004.55609998</v>
      </c>
      <c r="M144" s="37">
        <v>20718094.205786005</v>
      </c>
      <c r="N144" s="38">
        <v>340647836.28588593</v>
      </c>
      <c r="O144" s="39">
        <v>764364475.08945191</v>
      </c>
    </row>
    <row r="145" spans="1:15">
      <c r="A145" s="31">
        <v>6314</v>
      </c>
      <c r="B145" s="32" t="s">
        <v>1870</v>
      </c>
      <c r="C145" s="31" t="s">
        <v>2780</v>
      </c>
      <c r="D145" s="34" t="s">
        <v>2022</v>
      </c>
      <c r="E145" s="1" t="s">
        <v>2936</v>
      </c>
      <c r="F145" s="35">
        <v>147.19999999999999</v>
      </c>
      <c r="G145" s="36">
        <v>1035057717.7379999</v>
      </c>
      <c r="H145" s="37">
        <v>1158668236.5654001</v>
      </c>
      <c r="I145" s="37">
        <v>168950538.95357007</v>
      </c>
      <c r="J145" s="38">
        <v>2362676493.2569699</v>
      </c>
      <c r="K145" s="36">
        <v>2688132184.145</v>
      </c>
      <c r="L145" s="37">
        <v>1314181081.7599003</v>
      </c>
      <c r="M145" s="37">
        <v>176998831.82647505</v>
      </c>
      <c r="N145" s="38">
        <v>4179312097.7313757</v>
      </c>
      <c r="O145" s="39">
        <v>6541988590.9883461</v>
      </c>
    </row>
    <row r="146" spans="1:15">
      <c r="A146" s="31">
        <v>6316</v>
      </c>
      <c r="B146" s="32" t="s">
        <v>2937</v>
      </c>
      <c r="C146" s="31" t="s">
        <v>2780</v>
      </c>
      <c r="D146" s="34" t="s">
        <v>2938</v>
      </c>
      <c r="E146" s="1" t="s">
        <v>2939</v>
      </c>
      <c r="F146" s="35">
        <v>90.1</v>
      </c>
      <c r="G146" s="36">
        <v>643530348.12700009</v>
      </c>
      <c r="H146" s="37">
        <v>697652553.93300009</v>
      </c>
      <c r="I146" s="37">
        <v>101003723.60555997</v>
      </c>
      <c r="J146" s="38">
        <v>1442186625.6655602</v>
      </c>
      <c r="K146" s="36">
        <v>1587838051.6699998</v>
      </c>
      <c r="L146" s="37">
        <v>788774047.52489996</v>
      </c>
      <c r="M146" s="37">
        <v>105861507.35880002</v>
      </c>
      <c r="N146" s="38">
        <v>2482473606.5536995</v>
      </c>
      <c r="O146" s="39">
        <v>3924660232.2192597</v>
      </c>
    </row>
    <row r="147" spans="1:15">
      <c r="A147" s="31">
        <v>6316</v>
      </c>
      <c r="B147" s="32" t="s">
        <v>1831</v>
      </c>
      <c r="C147" s="31" t="s">
        <v>2780</v>
      </c>
      <c r="D147" s="34" t="s">
        <v>2938</v>
      </c>
      <c r="E147" s="1" t="s">
        <v>2940</v>
      </c>
      <c r="F147" s="35">
        <v>29.100000000000009</v>
      </c>
      <c r="G147" s="36">
        <v>229979530.34300002</v>
      </c>
      <c r="H147" s="37">
        <v>248974608.77744997</v>
      </c>
      <c r="I147" s="37">
        <v>36090659.045019999</v>
      </c>
      <c r="J147" s="38">
        <v>515044798.16547</v>
      </c>
      <c r="K147" s="36">
        <v>566622063.13300014</v>
      </c>
      <c r="L147" s="37">
        <v>281566913.10764998</v>
      </c>
      <c r="M147" s="37">
        <v>37827911.944100007</v>
      </c>
      <c r="N147" s="38">
        <v>886016888.1847502</v>
      </c>
      <c r="O147" s="39">
        <v>1401061686.3502202</v>
      </c>
    </row>
    <row r="148" spans="1:15">
      <c r="A148" s="31">
        <v>6316</v>
      </c>
      <c r="B148" s="32" t="s">
        <v>1831</v>
      </c>
      <c r="C148" s="31" t="s">
        <v>2780</v>
      </c>
      <c r="D148" s="34" t="s">
        <v>2938</v>
      </c>
      <c r="E148" s="1" t="s">
        <v>2941</v>
      </c>
      <c r="F148" s="35">
        <v>5.2999999999999972</v>
      </c>
      <c r="G148" s="36">
        <v>38463407.261</v>
      </c>
      <c r="H148" s="37">
        <v>41636116.4388</v>
      </c>
      <c r="I148" s="37">
        <v>6035226.2432800001</v>
      </c>
      <c r="J148" s="38">
        <v>86134749.943079993</v>
      </c>
      <c r="K148" s="36">
        <v>89344507.766000003</v>
      </c>
      <c r="L148" s="37">
        <v>43985844.787799999</v>
      </c>
      <c r="M148" s="37">
        <v>5790192.8191499999</v>
      </c>
      <c r="N148" s="38">
        <v>139120545.37294999</v>
      </c>
      <c r="O148" s="39">
        <v>225255295.31602997</v>
      </c>
    </row>
    <row r="149" spans="1:15">
      <c r="A149" s="31">
        <v>6316</v>
      </c>
      <c r="B149" s="32" t="s">
        <v>1831</v>
      </c>
      <c r="C149" s="31" t="s">
        <v>2780</v>
      </c>
      <c r="D149" s="34" t="s">
        <v>2938</v>
      </c>
      <c r="E149" s="1" t="s">
        <v>2942</v>
      </c>
      <c r="F149" s="35">
        <v>1.2000000000000028</v>
      </c>
      <c r="G149" s="36">
        <v>10889454.232000001</v>
      </c>
      <c r="H149" s="37">
        <v>14142007.944949999</v>
      </c>
      <c r="I149" s="37">
        <v>1818828.7965380002</v>
      </c>
      <c r="J149" s="38">
        <v>26850290.973487999</v>
      </c>
      <c r="K149" s="36">
        <v>31677209.960999999</v>
      </c>
      <c r="L149" s="37">
        <v>15325946.04865</v>
      </c>
      <c r="M149" s="37">
        <v>1887475.7846395001</v>
      </c>
      <c r="N149" s="38">
        <v>48890631.7942895</v>
      </c>
      <c r="O149" s="39">
        <v>75740922.767777503</v>
      </c>
    </row>
    <row r="150" spans="1:15">
      <c r="A150" s="31">
        <v>4016</v>
      </c>
      <c r="B150" s="32" t="s">
        <v>1831</v>
      </c>
      <c r="C150" s="31" t="s">
        <v>2780</v>
      </c>
      <c r="D150" s="34" t="s">
        <v>2943</v>
      </c>
      <c r="E150" s="1" t="s">
        <v>2944</v>
      </c>
      <c r="F150" s="35">
        <v>3.4</v>
      </c>
      <c r="G150" s="36">
        <v>713025.179</v>
      </c>
      <c r="H150" s="37">
        <v>725916.38529999997</v>
      </c>
      <c r="I150" s="37">
        <v>157829.7317</v>
      </c>
      <c r="J150" s="38">
        <v>1596771.2960000001</v>
      </c>
      <c r="K150" s="36">
        <v>695920.52</v>
      </c>
      <c r="L150" s="37">
        <v>1221167.1642</v>
      </c>
      <c r="M150" s="37">
        <v>276905.85366000002</v>
      </c>
      <c r="N150" s="38">
        <v>2193993.53786</v>
      </c>
      <c r="O150" s="39">
        <v>3790764.8338600001</v>
      </c>
    </row>
    <row r="151" spans="1:15">
      <c r="A151" s="31">
        <v>6367</v>
      </c>
      <c r="B151" s="32" t="s">
        <v>1853</v>
      </c>
      <c r="C151" s="31" t="s">
        <v>2780</v>
      </c>
      <c r="D151" s="34" t="s">
        <v>2945</v>
      </c>
      <c r="E151" s="1" t="s">
        <v>2946</v>
      </c>
      <c r="F151" s="35">
        <v>29.299999999999997</v>
      </c>
      <c r="G151" s="36">
        <v>1902613.0500000003</v>
      </c>
      <c r="H151" s="37">
        <v>590391.65249999997</v>
      </c>
      <c r="I151" s="37">
        <v>93050.1</v>
      </c>
      <c r="J151" s="38">
        <v>2586054.8025000002</v>
      </c>
      <c r="K151" s="36">
        <v>100693.125</v>
      </c>
      <c r="L151" s="37">
        <v>556591.66874999995</v>
      </c>
      <c r="M151" s="37">
        <v>47342.221874999996</v>
      </c>
      <c r="N151" s="38">
        <v>704627.015625</v>
      </c>
      <c r="O151" s="39">
        <v>3290681.8181250002</v>
      </c>
    </row>
    <row r="152" spans="1:15">
      <c r="A152" s="31">
        <v>6367</v>
      </c>
      <c r="B152" s="32" t="s">
        <v>1853</v>
      </c>
      <c r="C152" s="31" t="s">
        <v>2780</v>
      </c>
      <c r="D152" s="34" t="s">
        <v>2945</v>
      </c>
      <c r="E152" s="1" t="s">
        <v>2947</v>
      </c>
      <c r="F152" s="35">
        <v>11.5</v>
      </c>
      <c r="G152" s="36">
        <v>2487381.9840000002</v>
      </c>
      <c r="H152" s="37">
        <v>771848.77919999999</v>
      </c>
      <c r="I152" s="37">
        <v>121649.08799999999</v>
      </c>
      <c r="J152" s="38">
        <v>3380879.8511999999</v>
      </c>
      <c r="K152" s="36">
        <v>131641.20000000001</v>
      </c>
      <c r="L152" s="37">
        <v>727660.35600000003</v>
      </c>
      <c r="M152" s="37">
        <v>61892.873999999996</v>
      </c>
      <c r="N152" s="38">
        <v>921194.43</v>
      </c>
      <c r="O152" s="39">
        <v>4302074.2812000001</v>
      </c>
    </row>
    <row r="153" spans="1:15">
      <c r="A153" s="31">
        <v>6324</v>
      </c>
      <c r="B153" s="32" t="s">
        <v>1831</v>
      </c>
      <c r="C153" s="31" t="s">
        <v>2780</v>
      </c>
      <c r="D153" s="34" t="s">
        <v>2948</v>
      </c>
      <c r="E153" s="1" t="s">
        <v>2949</v>
      </c>
      <c r="F153" s="35">
        <v>54.2</v>
      </c>
      <c r="G153" s="36">
        <v>2773769.429</v>
      </c>
      <c r="H153" s="37">
        <v>28200230.914349999</v>
      </c>
      <c r="I153" s="37">
        <v>4058258.1962525002</v>
      </c>
      <c r="J153" s="38">
        <v>35032258.539602503</v>
      </c>
      <c r="K153" s="36">
        <v>81845087.24000001</v>
      </c>
      <c r="L153" s="37">
        <v>28016970.913749997</v>
      </c>
      <c r="M153" s="37">
        <v>4352682.5685555004</v>
      </c>
      <c r="N153" s="38">
        <v>114214740.72230551</v>
      </c>
      <c r="O153" s="39">
        <v>149246999.26190799</v>
      </c>
    </row>
    <row r="154" spans="1:15">
      <c r="A154" s="31">
        <v>6324</v>
      </c>
      <c r="B154" s="32" t="s">
        <v>1831</v>
      </c>
      <c r="C154" s="31" t="s">
        <v>2780</v>
      </c>
      <c r="D154" s="34" t="s">
        <v>2948</v>
      </c>
      <c r="E154" s="1" t="s">
        <v>2950</v>
      </c>
      <c r="F154" s="35">
        <v>23.799999999999997</v>
      </c>
      <c r="G154" s="36">
        <v>3305.0920000000006</v>
      </c>
      <c r="H154" s="37">
        <v>1939772.6019000001</v>
      </c>
      <c r="I154" s="37">
        <v>180237.34785000002</v>
      </c>
      <c r="J154" s="38">
        <v>2123315.0417499999</v>
      </c>
      <c r="K154" s="36">
        <v>6381326.5319999997</v>
      </c>
      <c r="L154" s="37">
        <v>1815501.7504999998</v>
      </c>
      <c r="M154" s="37">
        <v>220614.83062499997</v>
      </c>
      <c r="N154" s="38">
        <v>8417443.1131250001</v>
      </c>
      <c r="O154" s="39">
        <v>10540758.154874999</v>
      </c>
    </row>
    <row r="155" spans="1:15">
      <c r="A155" s="31">
        <v>6619</v>
      </c>
      <c r="B155" s="32" t="s">
        <v>2779</v>
      </c>
      <c r="C155" s="31" t="s">
        <v>2780</v>
      </c>
      <c r="D155" s="34" t="s">
        <v>2951</v>
      </c>
      <c r="E155" s="1" t="s">
        <v>2952</v>
      </c>
      <c r="F155" s="35">
        <v>27.1</v>
      </c>
      <c r="G155" s="36">
        <v>7623156.6029999992</v>
      </c>
      <c r="H155" s="37">
        <v>31820764.012250002</v>
      </c>
      <c r="I155" s="37">
        <v>3979255.8275000006</v>
      </c>
      <c r="J155" s="38">
        <v>43423176.442749999</v>
      </c>
      <c r="K155" s="36">
        <v>68187061.797999993</v>
      </c>
      <c r="L155" s="37">
        <v>31362558.7762</v>
      </c>
      <c r="M155" s="37">
        <v>3715783.71973</v>
      </c>
      <c r="N155" s="38">
        <v>103265404.29392999</v>
      </c>
      <c r="O155" s="39">
        <v>146688580.73668</v>
      </c>
    </row>
    <row r="156" spans="1:15">
      <c r="A156" s="31">
        <v>6225</v>
      </c>
      <c r="B156" s="32" t="s">
        <v>2002</v>
      </c>
      <c r="C156" s="31" t="s">
        <v>2780</v>
      </c>
      <c r="D156" s="34" t="s">
        <v>2953</v>
      </c>
      <c r="E156" s="1" t="s">
        <v>2954</v>
      </c>
      <c r="F156" s="35">
        <v>43.7</v>
      </c>
      <c r="G156" s="36">
        <v>21277547.791000001</v>
      </c>
      <c r="H156" s="37">
        <v>8603762.353050001</v>
      </c>
      <c r="I156" s="37">
        <v>1268508.9878749999</v>
      </c>
      <c r="J156" s="38">
        <v>31149819.131925002</v>
      </c>
      <c r="K156" s="36">
        <v>3114365.7609999999</v>
      </c>
      <c r="L156" s="37">
        <v>8472738.4909999985</v>
      </c>
      <c r="M156" s="37">
        <v>1942416.281375</v>
      </c>
      <c r="N156" s="38">
        <v>13529520.533374999</v>
      </c>
      <c r="O156" s="39">
        <v>44679339.665299997</v>
      </c>
    </row>
    <row r="157" spans="1:15">
      <c r="A157" s="31">
        <v>6201</v>
      </c>
      <c r="B157" s="32" t="s">
        <v>2002</v>
      </c>
      <c r="C157" s="31" t="s">
        <v>2780</v>
      </c>
      <c r="D157" s="34" t="s">
        <v>1998</v>
      </c>
      <c r="E157" s="1" t="s">
        <v>2955</v>
      </c>
      <c r="F157" s="35">
        <v>9.6</v>
      </c>
      <c r="G157" s="36">
        <v>331547029.77900004</v>
      </c>
      <c r="H157" s="37">
        <v>143759233.88415</v>
      </c>
      <c r="I157" s="37">
        <v>23673367.012874998</v>
      </c>
      <c r="J157" s="38">
        <v>498979630.67602509</v>
      </c>
      <c r="K157" s="36">
        <v>98890793.00999999</v>
      </c>
      <c r="L157" s="37">
        <v>143176227.26560003</v>
      </c>
      <c r="M157" s="37">
        <v>24400741.123350002</v>
      </c>
      <c r="N157" s="38">
        <v>266467761.39895001</v>
      </c>
      <c r="O157" s="39">
        <v>765447392.07497513</v>
      </c>
    </row>
    <row r="158" spans="1:15">
      <c r="A158" s="31">
        <v>6201</v>
      </c>
      <c r="B158" s="32" t="s">
        <v>2002</v>
      </c>
      <c r="C158" s="31" t="s">
        <v>2780</v>
      </c>
      <c r="D158" s="34" t="s">
        <v>1998</v>
      </c>
      <c r="E158" s="1" t="s">
        <v>2956</v>
      </c>
      <c r="F158" s="35">
        <v>17.600000000000001</v>
      </c>
      <c r="G158" s="36">
        <v>605653315.85399997</v>
      </c>
      <c r="H158" s="37">
        <v>262887989.11190003</v>
      </c>
      <c r="I158" s="37">
        <v>43128724.800625004</v>
      </c>
      <c r="J158" s="38">
        <v>911670029.76652491</v>
      </c>
      <c r="K158" s="36">
        <v>181576610.22700003</v>
      </c>
      <c r="L158" s="37">
        <v>262504800.07964998</v>
      </c>
      <c r="M158" s="37">
        <v>44382165.299500003</v>
      </c>
      <c r="N158" s="38">
        <v>488463575.60615003</v>
      </c>
      <c r="O158" s="39">
        <v>1400133605.3726749</v>
      </c>
    </row>
    <row r="159" spans="1:15">
      <c r="A159" s="31">
        <v>6201</v>
      </c>
      <c r="B159" s="32" t="s">
        <v>2002</v>
      </c>
      <c r="C159" s="31" t="s">
        <v>2780</v>
      </c>
      <c r="D159" s="34" t="s">
        <v>1998</v>
      </c>
      <c r="E159" s="1" t="s">
        <v>2957</v>
      </c>
      <c r="F159" s="35">
        <v>9.0000000000000036</v>
      </c>
      <c r="G159" s="36">
        <v>21609841.578000002</v>
      </c>
      <c r="H159" s="37">
        <v>9377062.9824000001</v>
      </c>
      <c r="I159" s="37">
        <v>1540272.73875</v>
      </c>
      <c r="J159" s="38">
        <v>32527177.299150001</v>
      </c>
      <c r="K159" s="36">
        <v>6471159.966</v>
      </c>
      <c r="L159" s="37">
        <v>9372747.0678000003</v>
      </c>
      <c r="M159" s="37">
        <v>1595734.1565</v>
      </c>
      <c r="N159" s="38">
        <v>17439641.190299999</v>
      </c>
      <c r="O159" s="39">
        <v>49966818.48945</v>
      </c>
    </row>
    <row r="160" spans="1:15">
      <c r="A160" s="31">
        <v>6201</v>
      </c>
      <c r="B160" s="32" t="s">
        <v>2002</v>
      </c>
      <c r="C160" s="31" t="s">
        <v>2780</v>
      </c>
      <c r="D160" s="34" t="s">
        <v>1998</v>
      </c>
      <c r="E160" s="1" t="s">
        <v>2958</v>
      </c>
      <c r="F160" s="35">
        <v>19.899999999999999</v>
      </c>
      <c r="G160" s="36">
        <v>969512738.06999993</v>
      </c>
      <c r="H160" s="37">
        <v>420799477.91775</v>
      </c>
      <c r="I160" s="37">
        <v>69121026.221375003</v>
      </c>
      <c r="J160" s="38">
        <v>1459433242.209125</v>
      </c>
      <c r="K160" s="36">
        <v>290332068.98400003</v>
      </c>
      <c r="L160" s="37">
        <v>420387107.20995003</v>
      </c>
      <c r="M160" s="37">
        <v>71527290.625799999</v>
      </c>
      <c r="N160" s="38">
        <v>782246466.81975007</v>
      </c>
      <c r="O160" s="39">
        <v>2241679709.0288754</v>
      </c>
    </row>
    <row r="161" spans="1:15">
      <c r="A161" s="31">
        <v>6201</v>
      </c>
      <c r="B161" s="32" t="s">
        <v>2002</v>
      </c>
      <c r="C161" s="31" t="s">
        <v>2780</v>
      </c>
      <c r="D161" s="34" t="s">
        <v>1998</v>
      </c>
      <c r="E161" s="1" t="s">
        <v>2959</v>
      </c>
      <c r="F161" s="35">
        <v>80.5</v>
      </c>
      <c r="G161" s="36">
        <v>2723940868.3130002</v>
      </c>
      <c r="H161" s="37">
        <v>1159930585.9134002</v>
      </c>
      <c r="I161" s="37">
        <v>189318857.53184998</v>
      </c>
      <c r="J161" s="38">
        <v>4073190311.7582502</v>
      </c>
      <c r="K161" s="36">
        <v>738523548.90599978</v>
      </c>
      <c r="L161" s="37">
        <v>1158484482.8737001</v>
      </c>
      <c r="M161" s="37">
        <v>196173629.45984995</v>
      </c>
      <c r="N161" s="38">
        <v>2093181661.2395496</v>
      </c>
      <c r="O161" s="39">
        <v>6166371972.9977999</v>
      </c>
    </row>
    <row r="162" spans="1:15">
      <c r="A162" s="31">
        <v>4030</v>
      </c>
      <c r="B162" s="32" t="s">
        <v>2002</v>
      </c>
      <c r="C162" s="31" t="s">
        <v>2780</v>
      </c>
      <c r="D162" s="34" t="s">
        <v>2960</v>
      </c>
      <c r="E162" s="1" t="s">
        <v>2961</v>
      </c>
      <c r="F162" s="35">
        <v>8.4</v>
      </c>
      <c r="G162" s="36">
        <v>245835.356</v>
      </c>
      <c r="H162" s="37">
        <v>103701.7228</v>
      </c>
      <c r="I162" s="37">
        <v>73761.895999999993</v>
      </c>
      <c r="J162" s="38">
        <v>423298.97480000003</v>
      </c>
      <c r="K162" s="36">
        <v>26034.632000000001</v>
      </c>
      <c r="L162" s="37">
        <v>184930.55619999999</v>
      </c>
      <c r="M162" s="37">
        <v>189041.99599999998</v>
      </c>
      <c r="N162" s="38">
        <v>400007.18420000002</v>
      </c>
      <c r="O162" s="39">
        <v>823306.15899999999</v>
      </c>
    </row>
    <row r="163" spans="1:15">
      <c r="A163" s="31">
        <v>6353</v>
      </c>
      <c r="B163" s="32" t="s">
        <v>1853</v>
      </c>
      <c r="C163" s="31" t="s">
        <v>2780</v>
      </c>
      <c r="D163" s="34" t="s">
        <v>2962</v>
      </c>
      <c r="E163" s="1" t="s">
        <v>2963</v>
      </c>
      <c r="F163" s="35">
        <v>42.4</v>
      </c>
      <c r="G163" s="36">
        <v>9287220.2040000018</v>
      </c>
      <c r="H163" s="37">
        <v>115605465.47309999</v>
      </c>
      <c r="I163" s="37">
        <v>14207550.009874998</v>
      </c>
      <c r="J163" s="38">
        <v>139100235.68697497</v>
      </c>
      <c r="K163" s="36">
        <v>272390578.78200006</v>
      </c>
      <c r="L163" s="37">
        <v>74852292.355250001</v>
      </c>
      <c r="M163" s="37">
        <v>10954857.567625003</v>
      </c>
      <c r="N163" s="38">
        <v>358197728.70487505</v>
      </c>
      <c r="O163" s="39">
        <v>497297964.39184999</v>
      </c>
    </row>
    <row r="164" spans="1:15">
      <c r="A164" s="31">
        <v>6353</v>
      </c>
      <c r="B164" s="32" t="s">
        <v>1853</v>
      </c>
      <c r="C164" s="31" t="s">
        <v>2780</v>
      </c>
      <c r="D164" s="34" t="s">
        <v>2962</v>
      </c>
      <c r="E164" s="1" t="s">
        <v>2964</v>
      </c>
      <c r="F164" s="35">
        <v>62.000000000000007</v>
      </c>
      <c r="G164" s="36">
        <v>13705000.120000003</v>
      </c>
      <c r="H164" s="37">
        <v>157187431.53125</v>
      </c>
      <c r="I164" s="37">
        <v>18429450.468874998</v>
      </c>
      <c r="J164" s="38">
        <v>189321882.120125</v>
      </c>
      <c r="K164" s="36">
        <v>361405219.99499995</v>
      </c>
      <c r="L164" s="37">
        <v>98248135.528300017</v>
      </c>
      <c r="M164" s="37">
        <v>13437380.852499999</v>
      </c>
      <c r="N164" s="38">
        <v>473090736.37579995</v>
      </c>
      <c r="O164" s="39">
        <v>662412618.49592495</v>
      </c>
    </row>
    <row r="165" spans="1:15">
      <c r="A165" s="31">
        <v>6224</v>
      </c>
      <c r="B165" s="32" t="s">
        <v>2002</v>
      </c>
      <c r="C165" s="31" t="s">
        <v>2780</v>
      </c>
      <c r="D165" s="34" t="s">
        <v>2054</v>
      </c>
      <c r="E165" s="1" t="s">
        <v>2965</v>
      </c>
      <c r="F165" s="35">
        <v>7.6000000000000005</v>
      </c>
      <c r="G165" s="36">
        <v>35261944.840999998</v>
      </c>
      <c r="H165" s="37">
        <v>78617309.557999998</v>
      </c>
      <c r="I165" s="37">
        <v>12393849.900954999</v>
      </c>
      <c r="J165" s="38">
        <v>126273104.29995498</v>
      </c>
      <c r="K165" s="36">
        <v>200693056.65199998</v>
      </c>
      <c r="L165" s="37">
        <v>87743138.200299993</v>
      </c>
      <c r="M165" s="37">
        <v>13766956.062585</v>
      </c>
      <c r="N165" s="38">
        <v>302203150.91488498</v>
      </c>
      <c r="O165" s="39">
        <v>428476255.21483994</v>
      </c>
    </row>
    <row r="166" spans="1:15">
      <c r="A166" s="31">
        <v>6224</v>
      </c>
      <c r="B166" s="32" t="s">
        <v>2002</v>
      </c>
      <c r="C166" s="31" t="s">
        <v>2780</v>
      </c>
      <c r="D166" s="34" t="s">
        <v>2054</v>
      </c>
      <c r="E166" s="1" t="s">
        <v>2966</v>
      </c>
      <c r="F166" s="35">
        <v>5.7000000000000011</v>
      </c>
      <c r="G166" s="36">
        <v>17467798.309999999</v>
      </c>
      <c r="H166" s="37">
        <v>38137470.532300003</v>
      </c>
      <c r="I166" s="37">
        <v>6117517.5277200006</v>
      </c>
      <c r="J166" s="38">
        <v>61722786.370020002</v>
      </c>
      <c r="K166" s="36">
        <v>97130809.349999994</v>
      </c>
      <c r="L166" s="37">
        <v>42619553.890200004</v>
      </c>
      <c r="M166" s="37">
        <v>6714994.0642499998</v>
      </c>
      <c r="N166" s="38">
        <v>146465357.30444998</v>
      </c>
      <c r="O166" s="39">
        <v>208188143.67446998</v>
      </c>
    </row>
    <row r="167" spans="1:15">
      <c r="A167" s="31">
        <v>6224</v>
      </c>
      <c r="B167" s="32" t="s">
        <v>2002</v>
      </c>
      <c r="C167" s="31" t="s">
        <v>2780</v>
      </c>
      <c r="D167" s="34" t="s">
        <v>2054</v>
      </c>
      <c r="E167" s="1" t="s">
        <v>2967</v>
      </c>
      <c r="F167" s="35">
        <v>1.8999999999999986</v>
      </c>
      <c r="G167" s="36">
        <v>7489905.8560000006</v>
      </c>
      <c r="H167" s="37">
        <v>16089296.067599999</v>
      </c>
      <c r="I167" s="37">
        <v>2520930.6430000002</v>
      </c>
      <c r="J167" s="38">
        <v>26100132.566599999</v>
      </c>
      <c r="K167" s="36">
        <v>41466849.240000002</v>
      </c>
      <c r="L167" s="37">
        <v>18017835.75</v>
      </c>
      <c r="M167" s="37">
        <v>2768895.1439999999</v>
      </c>
      <c r="N167" s="38">
        <v>62253580.134000003</v>
      </c>
      <c r="O167" s="39">
        <v>88353712.700599998</v>
      </c>
    </row>
    <row r="168" spans="1:15">
      <c r="A168" s="31">
        <v>6224</v>
      </c>
      <c r="B168" s="32" t="s">
        <v>2002</v>
      </c>
      <c r="C168" s="31" t="s">
        <v>2780</v>
      </c>
      <c r="D168" s="34" t="s">
        <v>2054</v>
      </c>
      <c r="E168" s="1" t="s">
        <v>2968</v>
      </c>
      <c r="F168" s="35">
        <v>39.4</v>
      </c>
      <c r="G168" s="36">
        <v>148792336.24899998</v>
      </c>
      <c r="H168" s="37">
        <v>304435405.46305001</v>
      </c>
      <c r="I168" s="37">
        <v>45862172.077624992</v>
      </c>
      <c r="J168" s="38">
        <v>499089913.78967494</v>
      </c>
      <c r="K168" s="36">
        <v>798342610.57900012</v>
      </c>
      <c r="L168" s="37">
        <v>343998580.81120002</v>
      </c>
      <c r="M168" s="37">
        <v>51037785.877374992</v>
      </c>
      <c r="N168" s="38">
        <v>1193378977.267575</v>
      </c>
      <c r="O168" s="39">
        <v>1692468891.05725</v>
      </c>
    </row>
    <row r="169" spans="1:15">
      <c r="A169" s="31">
        <v>6224</v>
      </c>
      <c r="B169" s="32" t="s">
        <v>2002</v>
      </c>
      <c r="C169" s="31" t="s">
        <v>2780</v>
      </c>
      <c r="D169" s="34" t="s">
        <v>2054</v>
      </c>
      <c r="E169" s="1" t="s">
        <v>2969</v>
      </c>
      <c r="F169" s="35">
        <v>21.699999999999996</v>
      </c>
      <c r="G169" s="36">
        <v>73053834.560000002</v>
      </c>
      <c r="H169" s="37">
        <v>119709202.75995001</v>
      </c>
      <c r="I169" s="37">
        <v>17203992.145</v>
      </c>
      <c r="J169" s="38">
        <v>209967029.46495003</v>
      </c>
      <c r="K169" s="36">
        <v>207779430.02000001</v>
      </c>
      <c r="L169" s="37">
        <v>119739646.01020002</v>
      </c>
      <c r="M169" s="37">
        <v>17362524.992000002</v>
      </c>
      <c r="N169" s="38">
        <v>344881601.02219999</v>
      </c>
      <c r="O169" s="39">
        <v>554848630.48714995</v>
      </c>
    </row>
    <row r="170" spans="1:15">
      <c r="A170" s="31">
        <v>6224</v>
      </c>
      <c r="B170" s="32" t="s">
        <v>2002</v>
      </c>
      <c r="C170" s="31" t="s">
        <v>2780</v>
      </c>
      <c r="D170" s="34" t="s">
        <v>2054</v>
      </c>
      <c r="E170" s="1" t="s">
        <v>2970</v>
      </c>
      <c r="F170" s="35">
        <v>15.900000000000006</v>
      </c>
      <c r="G170" s="36">
        <v>48558827.589000002</v>
      </c>
      <c r="H170" s="37">
        <v>84238563.02579999</v>
      </c>
      <c r="I170" s="37">
        <v>12605898.15975</v>
      </c>
      <c r="J170" s="38">
        <v>145403288.77454999</v>
      </c>
      <c r="K170" s="36">
        <v>149737358.99899995</v>
      </c>
      <c r="L170" s="37">
        <v>84723762.456349999</v>
      </c>
      <c r="M170" s="37">
        <v>12909769.090625003</v>
      </c>
      <c r="N170" s="38">
        <v>247370890.54597497</v>
      </c>
      <c r="O170" s="39">
        <v>392774179.32052493</v>
      </c>
    </row>
    <row r="171" spans="1:15">
      <c r="A171" s="31">
        <v>6224</v>
      </c>
      <c r="B171" s="32" t="s">
        <v>2002</v>
      </c>
      <c r="C171" s="31" t="s">
        <v>2780</v>
      </c>
      <c r="D171" s="34" t="s">
        <v>2054</v>
      </c>
      <c r="E171" s="1" t="s">
        <v>2971</v>
      </c>
      <c r="F171" s="35">
        <v>1.9000000000000057</v>
      </c>
      <c r="G171" s="36">
        <v>5.43</v>
      </c>
      <c r="H171" s="37">
        <v>4.3810000000000002</v>
      </c>
      <c r="I171" s="37">
        <v>12.25</v>
      </c>
      <c r="J171" s="38">
        <v>22.061</v>
      </c>
      <c r="K171" s="36">
        <v>16.670000000000002</v>
      </c>
      <c r="L171" s="37">
        <v>12.141500000000001</v>
      </c>
      <c r="M171" s="37">
        <v>17.5</v>
      </c>
      <c r="N171" s="38">
        <v>46.311500000000002</v>
      </c>
      <c r="O171" s="39">
        <v>68.372500000000002</v>
      </c>
    </row>
    <row r="172" spans="1:15">
      <c r="A172" s="31">
        <v>6363</v>
      </c>
      <c r="B172" s="32" t="s">
        <v>1853</v>
      </c>
      <c r="C172" s="31" t="s">
        <v>2780</v>
      </c>
      <c r="D172" s="34" t="s">
        <v>2972</v>
      </c>
      <c r="E172" s="1" t="s">
        <v>2973</v>
      </c>
      <c r="F172" s="35">
        <v>65.099999999999994</v>
      </c>
      <c r="G172" s="36">
        <v>1200255.9639999999</v>
      </c>
      <c r="H172" s="37">
        <v>28060459.418599997</v>
      </c>
      <c r="I172" s="37">
        <v>8016261.542750001</v>
      </c>
      <c r="J172" s="38">
        <v>37276976.925349995</v>
      </c>
      <c r="K172" s="36">
        <v>68112338.365999997</v>
      </c>
      <c r="L172" s="37">
        <v>27522832.044700004</v>
      </c>
      <c r="M172" s="37">
        <v>8245221.8100000005</v>
      </c>
      <c r="N172" s="38">
        <v>103880392.2207</v>
      </c>
      <c r="O172" s="39">
        <v>141157369.14604998</v>
      </c>
    </row>
    <row r="173" spans="1:15">
      <c r="A173" s="31">
        <v>6363</v>
      </c>
      <c r="B173" s="32" t="s">
        <v>1853</v>
      </c>
      <c r="C173" s="31" t="s">
        <v>2780</v>
      </c>
      <c r="D173" s="34" t="s">
        <v>2972</v>
      </c>
      <c r="E173" s="1" t="s">
        <v>2974</v>
      </c>
      <c r="F173" s="35">
        <v>37.900000000000006</v>
      </c>
      <c r="G173" s="36">
        <v>602271.94500000007</v>
      </c>
      <c r="H173" s="37">
        <v>16002384.82</v>
      </c>
      <c r="I173" s="37">
        <v>4541236.126375</v>
      </c>
      <c r="J173" s="38">
        <v>21145892.891375002</v>
      </c>
      <c r="K173" s="36">
        <v>38800540.086000003</v>
      </c>
      <c r="L173" s="37">
        <v>15703443.704550002</v>
      </c>
      <c r="M173" s="37">
        <v>4672296.0839999998</v>
      </c>
      <c r="N173" s="38">
        <v>59176279.874550007</v>
      </c>
      <c r="O173" s="39">
        <v>80322172.765925005</v>
      </c>
    </row>
    <row r="174" spans="1:15">
      <c r="A174" s="31">
        <v>6617</v>
      </c>
      <c r="B174" s="32" t="s">
        <v>2779</v>
      </c>
      <c r="C174" s="31" t="s">
        <v>2780</v>
      </c>
      <c r="D174" s="34" t="s">
        <v>2975</v>
      </c>
      <c r="E174" s="1" t="s">
        <v>2976</v>
      </c>
      <c r="F174" s="35">
        <v>16.5</v>
      </c>
      <c r="G174" s="36">
        <v>0</v>
      </c>
      <c r="H174" s="37">
        <v>0</v>
      </c>
      <c r="I174" s="37">
        <v>0</v>
      </c>
      <c r="J174" s="38">
        <v>0</v>
      </c>
      <c r="K174" s="36">
        <v>0</v>
      </c>
      <c r="L174" s="37">
        <v>0</v>
      </c>
      <c r="M174" s="37">
        <v>0</v>
      </c>
      <c r="N174" s="38">
        <v>0</v>
      </c>
      <c r="O174" s="39">
        <v>0</v>
      </c>
    </row>
    <row r="175" spans="1:15">
      <c r="A175" s="31">
        <v>6365</v>
      </c>
      <c r="B175" s="32" t="s">
        <v>1853</v>
      </c>
      <c r="C175" s="31" t="s">
        <v>2780</v>
      </c>
      <c r="D175" s="34" t="s">
        <v>2977</v>
      </c>
      <c r="E175" s="1" t="s">
        <v>2978</v>
      </c>
      <c r="F175" s="35">
        <v>1</v>
      </c>
      <c r="G175" s="36">
        <v>252965.50200000001</v>
      </c>
      <c r="H175" s="37">
        <v>79482.666100000002</v>
      </c>
      <c r="I175" s="37">
        <v>23666.344250000002</v>
      </c>
      <c r="J175" s="38">
        <v>356114.51235000003</v>
      </c>
      <c r="K175" s="36">
        <v>46279.493999999999</v>
      </c>
      <c r="L175" s="37">
        <v>71795.460800000001</v>
      </c>
      <c r="M175" s="37">
        <v>18038.385249999999</v>
      </c>
      <c r="N175" s="38">
        <v>136113.34005</v>
      </c>
      <c r="O175" s="39">
        <v>492227.85240000003</v>
      </c>
    </row>
    <row r="176" spans="1:15">
      <c r="A176" s="31">
        <v>6365</v>
      </c>
      <c r="B176" s="32" t="s">
        <v>1853</v>
      </c>
      <c r="C176" s="31" t="s">
        <v>2780</v>
      </c>
      <c r="D176" s="34" t="s">
        <v>2977</v>
      </c>
      <c r="E176" s="1" t="s">
        <v>2979</v>
      </c>
      <c r="F176" s="35">
        <v>0.5</v>
      </c>
      <c r="G176" s="36">
        <v>131037.16800000001</v>
      </c>
      <c r="H176" s="37">
        <v>41595.619599999998</v>
      </c>
      <c r="I176" s="37">
        <v>9771.5660000000007</v>
      </c>
      <c r="J176" s="38">
        <v>182404.3536</v>
      </c>
      <c r="K176" s="36">
        <v>24985.235999999997</v>
      </c>
      <c r="L176" s="37">
        <v>38801.806800000006</v>
      </c>
      <c r="M176" s="37">
        <v>4786.8029999999999</v>
      </c>
      <c r="N176" s="38">
        <v>68573.84580000001</v>
      </c>
      <c r="O176" s="39">
        <v>250978.19940000001</v>
      </c>
    </row>
    <row r="177" spans="1:15">
      <c r="A177" s="31">
        <v>6365</v>
      </c>
      <c r="B177" s="32" t="s">
        <v>1853</v>
      </c>
      <c r="C177" s="31" t="s">
        <v>2780</v>
      </c>
      <c r="D177" s="34" t="s">
        <v>2977</v>
      </c>
      <c r="E177" s="1" t="s">
        <v>2980</v>
      </c>
      <c r="F177" s="35">
        <v>44.9</v>
      </c>
      <c r="G177" s="36">
        <v>12679977.277000001</v>
      </c>
      <c r="H177" s="37">
        <v>3902179.4036000003</v>
      </c>
      <c r="I177" s="37">
        <v>824187.39999999991</v>
      </c>
      <c r="J177" s="38">
        <v>17406344.080600001</v>
      </c>
      <c r="K177" s="36">
        <v>713171.26700000011</v>
      </c>
      <c r="L177" s="37">
        <v>3369162.2342499997</v>
      </c>
      <c r="M177" s="37">
        <v>498507.63374999992</v>
      </c>
      <c r="N177" s="38">
        <v>4580841.1349999998</v>
      </c>
      <c r="O177" s="39">
        <v>21987185.215599999</v>
      </c>
    </row>
    <row r="178" spans="1:15">
      <c r="A178" s="31">
        <v>6501</v>
      </c>
      <c r="B178" s="32" t="s">
        <v>1870</v>
      </c>
      <c r="C178" s="31" t="s">
        <v>2780</v>
      </c>
      <c r="D178" s="34" t="s">
        <v>1991</v>
      </c>
      <c r="E178" s="1" t="s">
        <v>2981</v>
      </c>
      <c r="F178" s="35">
        <v>14.8</v>
      </c>
      <c r="G178" s="36">
        <v>45781807.982000008</v>
      </c>
      <c r="H178" s="37">
        <v>55908420.680749997</v>
      </c>
      <c r="I178" s="37">
        <v>12159090.19513</v>
      </c>
      <c r="J178" s="38">
        <v>113849318.85788001</v>
      </c>
      <c r="K178" s="36">
        <v>124606583.389</v>
      </c>
      <c r="L178" s="37">
        <v>89010984.074149996</v>
      </c>
      <c r="M178" s="37">
        <v>15762550.1790275</v>
      </c>
      <c r="N178" s="38">
        <v>229380117.64217749</v>
      </c>
      <c r="O178" s="39">
        <v>343229436.50005752</v>
      </c>
    </row>
    <row r="179" spans="1:15">
      <c r="A179" s="31">
        <v>6501</v>
      </c>
      <c r="B179" s="32" t="s">
        <v>1870</v>
      </c>
      <c r="C179" s="31" t="s">
        <v>2780</v>
      </c>
      <c r="D179" s="34" t="s">
        <v>1991</v>
      </c>
      <c r="E179" s="1" t="s">
        <v>2982</v>
      </c>
      <c r="F179" s="35">
        <v>29.900000000000002</v>
      </c>
      <c r="G179" s="36">
        <v>247831592.88399997</v>
      </c>
      <c r="H179" s="37">
        <v>220831391.77365002</v>
      </c>
      <c r="I179" s="37">
        <v>34135778.508986503</v>
      </c>
      <c r="J179" s="38">
        <v>502798763.16663647</v>
      </c>
      <c r="K179" s="36">
        <v>319771483.02200001</v>
      </c>
      <c r="L179" s="37">
        <v>231676282.70565</v>
      </c>
      <c r="M179" s="37">
        <v>34120425.217451505</v>
      </c>
      <c r="N179" s="38">
        <v>585568190.9451015</v>
      </c>
      <c r="O179" s="39">
        <v>1088366954.111738</v>
      </c>
    </row>
    <row r="180" spans="1:15">
      <c r="A180" s="31">
        <v>6501</v>
      </c>
      <c r="B180" s="32" t="s">
        <v>1870</v>
      </c>
      <c r="C180" s="31" t="s">
        <v>2780</v>
      </c>
      <c r="D180" s="34" t="s">
        <v>1991</v>
      </c>
      <c r="E180" s="1" t="s">
        <v>2983</v>
      </c>
      <c r="F180" s="35">
        <v>45.7</v>
      </c>
      <c r="G180" s="36">
        <v>324177025.81400001</v>
      </c>
      <c r="H180" s="37">
        <v>276922633.15805</v>
      </c>
      <c r="I180" s="37">
        <v>45511993.120129995</v>
      </c>
      <c r="J180" s="38">
        <v>646611652.09217989</v>
      </c>
      <c r="K180" s="36">
        <v>523706747.86000001</v>
      </c>
      <c r="L180" s="37">
        <v>322760091.66184998</v>
      </c>
      <c r="M180" s="37">
        <v>47668633.613977</v>
      </c>
      <c r="N180" s="38">
        <v>894135473.13582695</v>
      </c>
      <c r="O180" s="39">
        <v>1540747125.2280068</v>
      </c>
    </row>
    <row r="181" spans="1:15">
      <c r="A181" s="31">
        <v>6501</v>
      </c>
      <c r="B181" s="32" t="s">
        <v>1870</v>
      </c>
      <c r="C181" s="31" t="s">
        <v>2780</v>
      </c>
      <c r="D181" s="34" t="s">
        <v>1991</v>
      </c>
      <c r="E181" s="1" t="s">
        <v>2984</v>
      </c>
      <c r="F181" s="35">
        <v>37.900000000000006</v>
      </c>
      <c r="G181" s="36">
        <v>259772062.02899998</v>
      </c>
      <c r="H181" s="37">
        <v>221771431.03289998</v>
      </c>
      <c r="I181" s="37">
        <v>36246202.131350003</v>
      </c>
      <c r="J181" s="38">
        <v>517789695.19324994</v>
      </c>
      <c r="K181" s="36">
        <v>419387998.90699995</v>
      </c>
      <c r="L181" s="37">
        <v>258254649.56905001</v>
      </c>
      <c r="M181" s="37">
        <v>37955869.947965004</v>
      </c>
      <c r="N181" s="38">
        <v>715598518.42401493</v>
      </c>
      <c r="O181" s="39">
        <v>1233388213.6172647</v>
      </c>
    </row>
    <row r="182" spans="1:15">
      <c r="A182" s="31">
        <v>6208</v>
      </c>
      <c r="B182" s="32" t="s">
        <v>1853</v>
      </c>
      <c r="C182" s="31" t="s">
        <v>2780</v>
      </c>
      <c r="D182" s="34" t="s">
        <v>2104</v>
      </c>
      <c r="E182" s="1" t="s">
        <v>2985</v>
      </c>
      <c r="F182" s="35">
        <v>6</v>
      </c>
      <c r="G182" s="36">
        <v>178669166.83399999</v>
      </c>
      <c r="H182" s="37">
        <v>95368774.488299996</v>
      </c>
      <c r="I182" s="37">
        <v>12248012.53004</v>
      </c>
      <c r="J182" s="38">
        <v>286285953.85233998</v>
      </c>
      <c r="K182" s="36">
        <v>99783080.759000003</v>
      </c>
      <c r="L182" s="37">
        <v>101165863.10769999</v>
      </c>
      <c r="M182" s="37">
        <v>12832011.752050001</v>
      </c>
      <c r="N182" s="38">
        <v>213780955.61875001</v>
      </c>
      <c r="O182" s="39">
        <v>500066909.47108996</v>
      </c>
    </row>
    <row r="183" spans="1:15">
      <c r="A183" s="31">
        <v>6208</v>
      </c>
      <c r="B183" s="32" t="s">
        <v>1853</v>
      </c>
      <c r="C183" s="31" t="s">
        <v>2780</v>
      </c>
      <c r="D183" s="34" t="s">
        <v>2104</v>
      </c>
      <c r="E183" s="1" t="s">
        <v>2986</v>
      </c>
      <c r="F183" s="35">
        <v>97.3</v>
      </c>
      <c r="G183" s="36">
        <v>3130176769.3549995</v>
      </c>
      <c r="H183" s="37">
        <v>1619355403.0792997</v>
      </c>
      <c r="I183" s="37">
        <v>205612170.68558002</v>
      </c>
      <c r="J183" s="38">
        <v>4955144343.1198797</v>
      </c>
      <c r="K183" s="36">
        <v>1662837267.7510002</v>
      </c>
      <c r="L183" s="37">
        <v>1716482344.8392999</v>
      </c>
      <c r="M183" s="37">
        <v>216498074.17219999</v>
      </c>
      <c r="N183" s="38">
        <v>3595817686.7625003</v>
      </c>
      <c r="O183" s="39">
        <v>8550962029.8823795</v>
      </c>
    </row>
    <row r="184" spans="1:15">
      <c r="A184" s="31">
        <v>6208</v>
      </c>
      <c r="B184" s="32" t="s">
        <v>2987</v>
      </c>
      <c r="C184" s="31" t="s">
        <v>2780</v>
      </c>
      <c r="D184" s="34" t="s">
        <v>2104</v>
      </c>
      <c r="E184" s="1" t="s">
        <v>2988</v>
      </c>
      <c r="F184" s="35">
        <v>35.500000000000014</v>
      </c>
      <c r="G184" s="36">
        <v>1187210769.3180001</v>
      </c>
      <c r="H184" s="37">
        <v>612453584.60660005</v>
      </c>
      <c r="I184" s="37">
        <v>77802100.820565</v>
      </c>
      <c r="J184" s="38">
        <v>1877466454.7451651</v>
      </c>
      <c r="K184" s="36">
        <v>625355259.61500001</v>
      </c>
      <c r="L184" s="37">
        <v>648773803.64385009</v>
      </c>
      <c r="M184" s="37">
        <v>81973186.120475009</v>
      </c>
      <c r="N184" s="38">
        <v>1356102249.3793252</v>
      </c>
      <c r="O184" s="39">
        <v>3233568704.1244903</v>
      </c>
    </row>
    <row r="185" spans="1:15">
      <c r="A185" s="31">
        <v>6208</v>
      </c>
      <c r="B185" s="32" t="s">
        <v>2002</v>
      </c>
      <c r="C185" s="31" t="s">
        <v>2780</v>
      </c>
      <c r="D185" s="34" t="s">
        <v>2104</v>
      </c>
      <c r="E185" s="1" t="s">
        <v>2989</v>
      </c>
      <c r="F185" s="35">
        <v>8.5999999999999943</v>
      </c>
      <c r="G185" s="36">
        <v>181194753.41499999</v>
      </c>
      <c r="H185" s="37">
        <v>104569109.57570001</v>
      </c>
      <c r="I185" s="37">
        <v>16171067.041350001</v>
      </c>
      <c r="J185" s="38">
        <v>301934930.03205001</v>
      </c>
      <c r="K185" s="36">
        <v>117764676.67499998</v>
      </c>
      <c r="L185" s="37">
        <v>109772024.6191</v>
      </c>
      <c r="M185" s="37">
        <v>17380585.040750001</v>
      </c>
      <c r="N185" s="38">
        <v>244917286.33484998</v>
      </c>
      <c r="O185" s="39">
        <v>546852216.36689997</v>
      </c>
    </row>
    <row r="186" spans="1:15">
      <c r="A186" s="31">
        <v>6010</v>
      </c>
      <c r="B186" s="32" t="s">
        <v>1928</v>
      </c>
      <c r="C186" s="31" t="s">
        <v>2780</v>
      </c>
      <c r="D186" s="34" t="s">
        <v>2990</v>
      </c>
      <c r="E186" s="1" t="s">
        <v>2991</v>
      </c>
      <c r="F186" s="35">
        <v>8.5</v>
      </c>
      <c r="G186" s="36">
        <v>1020.612</v>
      </c>
      <c r="H186" s="37">
        <v>398.94299999999998</v>
      </c>
      <c r="I186" s="37">
        <v>1711.972</v>
      </c>
      <c r="J186" s="38">
        <v>3131.527</v>
      </c>
      <c r="K186" s="36">
        <v>0</v>
      </c>
      <c r="L186" s="37">
        <v>440.17860000000002</v>
      </c>
      <c r="M186" s="37">
        <v>2886.0104999999999</v>
      </c>
      <c r="N186" s="38">
        <v>3326.1891000000001</v>
      </c>
      <c r="O186" s="39">
        <v>6457.7160999999996</v>
      </c>
    </row>
    <row r="187" spans="1:15">
      <c r="A187" s="31">
        <v>6356</v>
      </c>
      <c r="B187" s="32" t="s">
        <v>1853</v>
      </c>
      <c r="C187" s="31" t="s">
        <v>2780</v>
      </c>
      <c r="D187" s="34" t="s">
        <v>2992</v>
      </c>
      <c r="E187" s="1" t="s">
        <v>2993</v>
      </c>
      <c r="F187" s="35">
        <v>49.3</v>
      </c>
      <c r="G187" s="36">
        <v>115875.27999999998</v>
      </c>
      <c r="H187" s="37">
        <v>3015096.3153500003</v>
      </c>
      <c r="I187" s="37">
        <v>260002.01749999999</v>
      </c>
      <c r="J187" s="38">
        <v>3390973.6128500002</v>
      </c>
      <c r="K187" s="36">
        <v>534537.255</v>
      </c>
      <c r="L187" s="37">
        <v>179543.18664999999</v>
      </c>
      <c r="M187" s="37">
        <v>55530.612000000001</v>
      </c>
      <c r="N187" s="38">
        <v>769611.0536499999</v>
      </c>
      <c r="O187" s="39">
        <v>4160584.6665000003</v>
      </c>
    </row>
    <row r="188" spans="1:15">
      <c r="A188" s="31">
        <v>6322</v>
      </c>
      <c r="B188" s="32" t="s">
        <v>1831</v>
      </c>
      <c r="C188" s="31" t="s">
        <v>2780</v>
      </c>
      <c r="D188" s="34" t="s">
        <v>2994</v>
      </c>
      <c r="E188" s="1" t="s">
        <v>2995</v>
      </c>
      <c r="F188" s="35">
        <v>77.900000000000006</v>
      </c>
      <c r="G188" s="36">
        <v>56939962.766999997</v>
      </c>
      <c r="H188" s="37">
        <v>264277824.57599995</v>
      </c>
      <c r="I188" s="37">
        <v>39370611.506106995</v>
      </c>
      <c r="J188" s="38">
        <v>360588398.84910691</v>
      </c>
      <c r="K188" s="36">
        <v>619741262.79900002</v>
      </c>
      <c r="L188" s="37">
        <v>254952692.65150005</v>
      </c>
      <c r="M188" s="37">
        <v>36998819.629982002</v>
      </c>
      <c r="N188" s="38">
        <v>911692775.08048201</v>
      </c>
      <c r="O188" s="39">
        <v>1272281173.9295888</v>
      </c>
    </row>
    <row r="189" spans="1:15">
      <c r="A189" s="31">
        <v>6004</v>
      </c>
      <c r="B189" s="32" t="s">
        <v>1928</v>
      </c>
      <c r="C189" s="31" t="s">
        <v>2780</v>
      </c>
      <c r="D189" s="34" t="s">
        <v>2996</v>
      </c>
      <c r="E189" s="1" t="s">
        <v>2997</v>
      </c>
      <c r="F189" s="35">
        <v>1</v>
      </c>
      <c r="G189" s="36">
        <v>26634554.491</v>
      </c>
      <c r="H189" s="37">
        <v>13948676.58615</v>
      </c>
      <c r="I189" s="37">
        <v>2365707.7594999997</v>
      </c>
      <c r="J189" s="38">
        <v>42948938.836649999</v>
      </c>
      <c r="K189" s="36">
        <v>436464.90999999992</v>
      </c>
      <c r="L189" s="37">
        <v>263812.86365000001</v>
      </c>
      <c r="M189" s="37">
        <v>105710.6575</v>
      </c>
      <c r="N189" s="38">
        <v>805988.43114999984</v>
      </c>
      <c r="O189" s="39">
        <v>43754927.267799996</v>
      </c>
    </row>
    <row r="190" spans="1:15">
      <c r="A190" s="31">
        <v>6004</v>
      </c>
      <c r="B190" s="32" t="s">
        <v>1928</v>
      </c>
      <c r="C190" s="31" t="s">
        <v>2780</v>
      </c>
      <c r="D190" s="34" t="s">
        <v>2996</v>
      </c>
      <c r="E190" s="1" t="s">
        <v>2998</v>
      </c>
      <c r="F190" s="35">
        <v>0.39999999999999991</v>
      </c>
      <c r="G190" s="36">
        <v>9634207.1600000001</v>
      </c>
      <c r="H190" s="37">
        <v>4529415.1273999996</v>
      </c>
      <c r="I190" s="37">
        <v>726603.69449999998</v>
      </c>
      <c r="J190" s="38">
        <v>14890225.981899999</v>
      </c>
      <c r="K190" s="36">
        <v>173539.46</v>
      </c>
      <c r="L190" s="37">
        <v>104892.6136</v>
      </c>
      <c r="M190" s="37">
        <v>42030.735000000001</v>
      </c>
      <c r="N190" s="38">
        <v>320462.80859999999</v>
      </c>
      <c r="O190" s="39">
        <v>15210688.790499998</v>
      </c>
    </row>
    <row r="191" spans="1:15">
      <c r="A191" s="31">
        <v>6004</v>
      </c>
      <c r="B191" s="32" t="s">
        <v>1928</v>
      </c>
      <c r="C191" s="31" t="s">
        <v>2780</v>
      </c>
      <c r="D191" s="34" t="s">
        <v>2996</v>
      </c>
      <c r="E191" s="1" t="s">
        <v>2999</v>
      </c>
      <c r="F191" s="35">
        <v>8.6999999999999993</v>
      </c>
      <c r="G191" s="36">
        <v>814173.62300000002</v>
      </c>
      <c r="H191" s="37">
        <v>1308483.273</v>
      </c>
      <c r="I191" s="37">
        <v>737889.70950000011</v>
      </c>
      <c r="J191" s="38">
        <v>2860546.6055000005</v>
      </c>
      <c r="K191" s="36">
        <v>3219529.0449999999</v>
      </c>
      <c r="L191" s="37">
        <v>1424429.3587500001</v>
      </c>
      <c r="M191" s="37">
        <v>675544.68825000001</v>
      </c>
      <c r="N191" s="38">
        <v>5319503.0920000002</v>
      </c>
      <c r="O191" s="39">
        <v>8180049.6975000007</v>
      </c>
    </row>
    <row r="192" spans="1:15">
      <c r="A192" s="31">
        <v>6217</v>
      </c>
      <c r="B192" s="32" t="s">
        <v>2002</v>
      </c>
      <c r="C192" s="31" t="s">
        <v>2780</v>
      </c>
      <c r="D192" s="34" t="s">
        <v>2313</v>
      </c>
      <c r="E192" s="1" t="s">
        <v>3000</v>
      </c>
      <c r="F192" s="35">
        <v>47.2</v>
      </c>
      <c r="G192" s="36">
        <v>40629329.796999998</v>
      </c>
      <c r="H192" s="37">
        <v>62187503.116399996</v>
      </c>
      <c r="I192" s="37">
        <v>11526817.848749999</v>
      </c>
      <c r="J192" s="38">
        <v>114343650.76214999</v>
      </c>
      <c r="K192" s="36">
        <v>96496096.913000003</v>
      </c>
      <c r="L192" s="37">
        <v>45199732.661749996</v>
      </c>
      <c r="M192" s="37">
        <v>9350970.7616249993</v>
      </c>
      <c r="N192" s="38">
        <v>151046800.336375</v>
      </c>
      <c r="O192" s="39">
        <v>265390451.09852499</v>
      </c>
    </row>
    <row r="193" spans="1:15">
      <c r="A193" s="31">
        <v>6217</v>
      </c>
      <c r="B193" s="32" t="s">
        <v>2002</v>
      </c>
      <c r="C193" s="31" t="s">
        <v>2780</v>
      </c>
      <c r="D193" s="34" t="s">
        <v>2313</v>
      </c>
      <c r="E193" s="1" t="s">
        <v>3001</v>
      </c>
      <c r="F193" s="35">
        <v>17.599999999999994</v>
      </c>
      <c r="G193" s="36">
        <v>8119146.5930000003</v>
      </c>
      <c r="H193" s="37">
        <v>11600156.937999999</v>
      </c>
      <c r="I193" s="37">
        <v>2215437.1016250001</v>
      </c>
      <c r="J193" s="38">
        <v>21934740.632624999</v>
      </c>
      <c r="K193" s="36">
        <v>24747762.318</v>
      </c>
      <c r="L193" s="37">
        <v>11111631.757499998</v>
      </c>
      <c r="M193" s="37">
        <v>2309973.3509500003</v>
      </c>
      <c r="N193" s="38">
        <v>38169367.426449999</v>
      </c>
      <c r="O193" s="39">
        <v>60104108.059074998</v>
      </c>
    </row>
    <row r="194" spans="1:15">
      <c r="A194" s="31">
        <v>6524</v>
      </c>
      <c r="B194" s="32" t="s">
        <v>1870</v>
      </c>
      <c r="C194" s="31" t="s">
        <v>2780</v>
      </c>
      <c r="D194" s="34" t="s">
        <v>3002</v>
      </c>
      <c r="E194" s="1" t="s">
        <v>3003</v>
      </c>
      <c r="F194" s="35">
        <v>4</v>
      </c>
      <c r="G194" s="36">
        <v>24517.59</v>
      </c>
      <c r="H194" s="37">
        <v>15931.996799999999</v>
      </c>
      <c r="I194" s="37">
        <v>33082.35</v>
      </c>
      <c r="J194" s="38">
        <v>73531.936799999996</v>
      </c>
      <c r="K194" s="36">
        <v>31643.090000000004</v>
      </c>
      <c r="L194" s="37">
        <v>17581.820400000001</v>
      </c>
      <c r="M194" s="37">
        <v>46272.851999999999</v>
      </c>
      <c r="N194" s="38">
        <v>95497.762400000007</v>
      </c>
      <c r="O194" s="39">
        <v>169029.6992</v>
      </c>
    </row>
    <row r="195" spans="1:15">
      <c r="A195" s="31">
        <v>6524</v>
      </c>
      <c r="B195" s="32" t="s">
        <v>1870</v>
      </c>
      <c r="C195" s="31" t="s">
        <v>2780</v>
      </c>
      <c r="D195" s="34" t="s">
        <v>3002</v>
      </c>
      <c r="E195" s="1" t="s">
        <v>3004</v>
      </c>
      <c r="F195" s="35">
        <v>9.4</v>
      </c>
      <c r="G195" s="36">
        <v>4124018.7779999999</v>
      </c>
      <c r="H195" s="37">
        <v>3293203.4019499994</v>
      </c>
      <c r="I195" s="37">
        <v>878814.92150000017</v>
      </c>
      <c r="J195" s="38">
        <v>8296037.101449999</v>
      </c>
      <c r="K195" s="36">
        <v>420732.85499999998</v>
      </c>
      <c r="L195" s="37">
        <v>283532.59500000003</v>
      </c>
      <c r="M195" s="37">
        <v>289922.41250000003</v>
      </c>
      <c r="N195" s="38">
        <v>994187.86250000005</v>
      </c>
      <c r="O195" s="39">
        <v>9290224.9639499988</v>
      </c>
    </row>
    <row r="196" spans="1:15">
      <c r="A196" s="31">
        <v>6628</v>
      </c>
      <c r="B196" s="32" t="s">
        <v>2779</v>
      </c>
      <c r="C196" s="31" t="s">
        <v>2785</v>
      </c>
      <c r="D196" s="34" t="s">
        <v>3005</v>
      </c>
      <c r="E196" s="1" t="s">
        <v>3006</v>
      </c>
      <c r="F196" s="35">
        <v>15.299999999999997</v>
      </c>
      <c r="G196" s="36">
        <v>22208185.626000002</v>
      </c>
      <c r="H196" s="37">
        <v>15718893.922799999</v>
      </c>
      <c r="I196" s="37">
        <v>2953222.446</v>
      </c>
      <c r="J196" s="38">
        <v>40880301.994800001</v>
      </c>
      <c r="K196" s="36">
        <v>12250256.322000001</v>
      </c>
      <c r="L196" s="37">
        <v>15376601.926200001</v>
      </c>
      <c r="M196" s="37">
        <v>2735835.72</v>
      </c>
      <c r="N196" s="38">
        <v>30362693.968199998</v>
      </c>
      <c r="O196" s="39">
        <v>71242995.963</v>
      </c>
    </row>
    <row r="197" spans="1:15">
      <c r="A197" s="31">
        <v>6103</v>
      </c>
      <c r="B197" s="32" t="s">
        <v>1928</v>
      </c>
      <c r="C197" s="31" t="s">
        <v>2780</v>
      </c>
      <c r="D197" s="34" t="s">
        <v>1939</v>
      </c>
      <c r="E197" s="1" t="s">
        <v>3007</v>
      </c>
      <c r="F197" s="35">
        <v>36.700000000000003</v>
      </c>
      <c r="G197" s="36">
        <v>1259741271.3599999</v>
      </c>
      <c r="H197" s="37">
        <v>536093381.77579999</v>
      </c>
      <c r="I197" s="37">
        <v>88840175.171250001</v>
      </c>
      <c r="J197" s="38">
        <v>1884674828.30705</v>
      </c>
      <c r="K197" s="36">
        <v>339533408.29999995</v>
      </c>
      <c r="L197" s="37">
        <v>535224489.34195</v>
      </c>
      <c r="M197" s="37">
        <v>92202259.758549988</v>
      </c>
      <c r="N197" s="38">
        <v>966960157.40049982</v>
      </c>
      <c r="O197" s="39">
        <v>2851634985.70755</v>
      </c>
    </row>
    <row r="198" spans="1:15">
      <c r="A198" s="31">
        <v>6103</v>
      </c>
      <c r="B198" s="32" t="s">
        <v>1928</v>
      </c>
      <c r="C198" s="31" t="s">
        <v>2780</v>
      </c>
      <c r="D198" s="34" t="s">
        <v>1939</v>
      </c>
      <c r="E198" s="1" t="s">
        <v>3008</v>
      </c>
      <c r="F198" s="35">
        <v>89</v>
      </c>
      <c r="G198" s="36">
        <v>5403007771.3649988</v>
      </c>
      <c r="H198" s="37">
        <v>1733988822.8743505</v>
      </c>
      <c r="I198" s="37">
        <v>330651214.83562493</v>
      </c>
      <c r="J198" s="38">
        <v>7467647809.0749741</v>
      </c>
      <c r="K198" s="36">
        <v>827189062.60300004</v>
      </c>
      <c r="L198" s="37">
        <v>1731987211.4060001</v>
      </c>
      <c r="M198" s="37">
        <v>334925368.27740002</v>
      </c>
      <c r="N198" s="38">
        <v>2894101642.2864003</v>
      </c>
      <c r="O198" s="39">
        <v>10361749451.361374</v>
      </c>
    </row>
    <row r="199" spans="1:15">
      <c r="A199" s="31">
        <v>6327</v>
      </c>
      <c r="B199" s="32" t="s">
        <v>1831</v>
      </c>
      <c r="C199" s="31" t="s">
        <v>2780</v>
      </c>
      <c r="D199" s="34" t="s">
        <v>3009</v>
      </c>
      <c r="E199" s="1" t="s">
        <v>3010</v>
      </c>
      <c r="F199" s="35">
        <v>36.900000000000006</v>
      </c>
      <c r="G199" s="36">
        <v>20761564.028999999</v>
      </c>
      <c r="H199" s="37">
        <v>6047218.8474000003</v>
      </c>
      <c r="I199" s="37">
        <v>1109087.2424999999</v>
      </c>
      <c r="J199" s="38">
        <v>27917870.118900001</v>
      </c>
      <c r="K199" s="36">
        <v>323504.81400000001</v>
      </c>
      <c r="L199" s="37">
        <v>5958448.4381499998</v>
      </c>
      <c r="M199" s="37">
        <v>926182.1449999999</v>
      </c>
      <c r="N199" s="38">
        <v>7208135.3971499996</v>
      </c>
      <c r="O199" s="39">
        <v>35126005.516050003</v>
      </c>
    </row>
    <row r="200" spans="1:15">
      <c r="A200" s="31">
        <v>6327</v>
      </c>
      <c r="B200" s="32" t="s">
        <v>1831</v>
      </c>
      <c r="C200" s="31" t="s">
        <v>2780</v>
      </c>
      <c r="D200" s="34" t="s">
        <v>3009</v>
      </c>
      <c r="E200" s="1" t="s">
        <v>3011</v>
      </c>
      <c r="F200" s="35">
        <v>18.599999999999994</v>
      </c>
      <c r="G200" s="36">
        <v>12849440.169999998</v>
      </c>
      <c r="H200" s="37">
        <v>3728827.1601</v>
      </c>
      <c r="I200" s="37">
        <v>661493.25199999998</v>
      </c>
      <c r="J200" s="38">
        <v>17239760.582099997</v>
      </c>
      <c r="K200" s="36">
        <v>167086.432</v>
      </c>
      <c r="L200" s="37">
        <v>3708748.3741000006</v>
      </c>
      <c r="M200" s="37">
        <v>544918.26600000006</v>
      </c>
      <c r="N200" s="38">
        <v>4420753.0721000005</v>
      </c>
      <c r="O200" s="39">
        <v>21660513.654199995</v>
      </c>
    </row>
    <row r="201" spans="1:15">
      <c r="A201" s="31">
        <v>6108</v>
      </c>
      <c r="B201" s="32" t="s">
        <v>1928</v>
      </c>
      <c r="C201" s="31" t="s">
        <v>2780</v>
      </c>
      <c r="D201" s="34" t="s">
        <v>3012</v>
      </c>
      <c r="E201" s="1" t="s">
        <v>3013</v>
      </c>
      <c r="F201" s="35">
        <v>95.200000000000017</v>
      </c>
      <c r="G201" s="36">
        <v>38914313.798</v>
      </c>
      <c r="H201" s="37">
        <v>41855261.780450001</v>
      </c>
      <c r="I201" s="37">
        <v>13745546.768499997</v>
      </c>
      <c r="J201" s="38">
        <v>94515122.346949995</v>
      </c>
      <c r="K201" s="36">
        <v>74453033.093999982</v>
      </c>
      <c r="L201" s="37">
        <v>41389734.995099999</v>
      </c>
      <c r="M201" s="37">
        <v>15252142.048500001</v>
      </c>
      <c r="N201" s="38">
        <v>131094910.13759997</v>
      </c>
      <c r="O201" s="39">
        <v>225610032.48454997</v>
      </c>
    </row>
    <row r="202" spans="1:15">
      <c r="A202" s="31">
        <v>6412</v>
      </c>
      <c r="B202" s="32" t="s">
        <v>1870</v>
      </c>
      <c r="C202" s="31" t="s">
        <v>2780</v>
      </c>
      <c r="D202" s="34" t="s">
        <v>1932</v>
      </c>
      <c r="E202" s="1" t="s">
        <v>3014</v>
      </c>
      <c r="F202" s="35">
        <v>70.7</v>
      </c>
      <c r="G202" s="36">
        <v>486171866.45300001</v>
      </c>
      <c r="H202" s="37">
        <v>411364443.19630009</v>
      </c>
      <c r="I202" s="37">
        <v>67694726.447184995</v>
      </c>
      <c r="J202" s="38">
        <v>965231036.09648514</v>
      </c>
      <c r="K202" s="36">
        <v>764504485.27800012</v>
      </c>
      <c r="L202" s="37">
        <v>481332662.63334996</v>
      </c>
      <c r="M202" s="37">
        <v>71233955.2121865</v>
      </c>
      <c r="N202" s="38">
        <v>1317071103.1235366</v>
      </c>
      <c r="O202" s="39">
        <v>2282302139.2200217</v>
      </c>
    </row>
    <row r="203" spans="1:15">
      <c r="A203" s="31">
        <v>6412</v>
      </c>
      <c r="B203" s="32" t="s">
        <v>1870</v>
      </c>
      <c r="C203" s="31" t="s">
        <v>2780</v>
      </c>
      <c r="D203" s="34" t="s">
        <v>1932</v>
      </c>
      <c r="E203" s="1" t="s">
        <v>3015</v>
      </c>
      <c r="F203" s="35">
        <v>65.7</v>
      </c>
      <c r="G203" s="36">
        <v>453150145.50399995</v>
      </c>
      <c r="H203" s="37">
        <v>383410828.75069994</v>
      </c>
      <c r="I203" s="37">
        <v>63138802.772975005</v>
      </c>
      <c r="J203" s="38">
        <v>899699777.02767491</v>
      </c>
      <c r="K203" s="36">
        <v>712769133.37300003</v>
      </c>
      <c r="L203" s="37">
        <v>448727837.74914998</v>
      </c>
      <c r="M203" s="37">
        <v>66486995.211227499</v>
      </c>
      <c r="N203" s="38">
        <v>1227983966.3333774</v>
      </c>
      <c r="O203" s="39">
        <v>2127683743.3610523</v>
      </c>
    </row>
    <row r="204" spans="1:15">
      <c r="A204" s="31">
        <v>6506</v>
      </c>
      <c r="B204" s="32" t="s">
        <v>1870</v>
      </c>
      <c r="C204" s="31" t="s">
        <v>2780</v>
      </c>
      <c r="D204" s="34" t="s">
        <v>3016</v>
      </c>
      <c r="E204" s="1" t="s">
        <v>3017</v>
      </c>
      <c r="F204" s="35">
        <v>20</v>
      </c>
      <c r="G204" s="36">
        <v>309765.33</v>
      </c>
      <c r="H204" s="37">
        <v>968067.45810000016</v>
      </c>
      <c r="I204" s="37">
        <v>765781.20899999992</v>
      </c>
      <c r="J204" s="38">
        <v>2043613.9971000003</v>
      </c>
      <c r="K204" s="36">
        <v>3771211.1550000003</v>
      </c>
      <c r="L204" s="37">
        <v>984219.23200000008</v>
      </c>
      <c r="M204" s="37">
        <v>818707.5</v>
      </c>
      <c r="N204" s="38">
        <v>5574137.8870000001</v>
      </c>
      <c r="O204" s="39">
        <v>7617751.8841000004</v>
      </c>
    </row>
    <row r="205" spans="1:15">
      <c r="A205" s="31">
        <v>6608</v>
      </c>
      <c r="B205" s="32" t="s">
        <v>2779</v>
      </c>
      <c r="C205" s="31" t="s">
        <v>2785</v>
      </c>
      <c r="D205" s="34" t="s">
        <v>3018</v>
      </c>
      <c r="E205" s="1" t="s">
        <v>3019</v>
      </c>
      <c r="F205" s="35">
        <v>26.3</v>
      </c>
      <c r="G205" s="36">
        <v>317198.74</v>
      </c>
      <c r="H205" s="37">
        <v>791730.17359999998</v>
      </c>
      <c r="I205" s="37">
        <v>510343.37599999999</v>
      </c>
      <c r="J205" s="38">
        <v>1619272.2896</v>
      </c>
      <c r="K205" s="36">
        <v>1583179.693</v>
      </c>
      <c r="L205" s="37">
        <v>798684.11065000005</v>
      </c>
      <c r="M205" s="37">
        <v>489030.39150000003</v>
      </c>
      <c r="N205" s="38">
        <v>2870894.19515</v>
      </c>
      <c r="O205" s="39">
        <v>4490166.4847499998</v>
      </c>
    </row>
    <row r="206" spans="1:15">
      <c r="A206" s="31">
        <v>6410</v>
      </c>
      <c r="B206" s="32" t="s">
        <v>1870</v>
      </c>
      <c r="C206" s="31" t="s">
        <v>2780</v>
      </c>
      <c r="D206" s="34" t="s">
        <v>1961</v>
      </c>
      <c r="E206" s="1" t="s">
        <v>3020</v>
      </c>
      <c r="F206" s="35">
        <v>68.3</v>
      </c>
      <c r="G206" s="36">
        <v>468367737.10500008</v>
      </c>
      <c r="H206" s="37">
        <v>393759605.5323</v>
      </c>
      <c r="I206" s="37">
        <v>66024161.823139995</v>
      </c>
      <c r="J206" s="38">
        <v>928151504.46044004</v>
      </c>
      <c r="K206" s="36">
        <v>732210783.49399996</v>
      </c>
      <c r="L206" s="37">
        <v>462733762.00550008</v>
      </c>
      <c r="M206" s="37">
        <v>69498255.991699994</v>
      </c>
      <c r="N206" s="38">
        <v>1264442801.4912</v>
      </c>
      <c r="O206" s="39">
        <v>2192594305.9516401</v>
      </c>
    </row>
    <row r="207" spans="1:15">
      <c r="A207" s="31">
        <v>6410</v>
      </c>
      <c r="B207" s="32" t="s">
        <v>1870</v>
      </c>
      <c r="C207" s="31" t="s">
        <v>2780</v>
      </c>
      <c r="D207" s="34" t="s">
        <v>1961</v>
      </c>
      <c r="E207" s="1" t="s">
        <v>3021</v>
      </c>
      <c r="F207" s="35">
        <v>58.3</v>
      </c>
      <c r="G207" s="36">
        <v>399955246.37</v>
      </c>
      <c r="H207" s="37">
        <v>336246881.30785</v>
      </c>
      <c r="I207" s="37">
        <v>56373913.636640005</v>
      </c>
      <c r="J207" s="38">
        <v>792576041.31448996</v>
      </c>
      <c r="K207" s="36">
        <v>625198012.24600005</v>
      </c>
      <c r="L207" s="37">
        <v>395120249.10720003</v>
      </c>
      <c r="M207" s="37">
        <v>59363684.559450008</v>
      </c>
      <c r="N207" s="38">
        <v>1079681945.9126501</v>
      </c>
      <c r="O207" s="39">
        <v>1872257987.2271399</v>
      </c>
    </row>
    <row r="208" spans="1:15">
      <c r="A208" s="31">
        <v>6410</v>
      </c>
      <c r="B208" s="32" t="s">
        <v>1870</v>
      </c>
      <c r="C208" s="31" t="s">
        <v>2780</v>
      </c>
      <c r="D208" s="34" t="s">
        <v>1961</v>
      </c>
      <c r="E208" s="1" t="s">
        <v>3022</v>
      </c>
      <c r="F208" s="35">
        <v>6.3000000000000114</v>
      </c>
      <c r="G208" s="36">
        <v>42237517.576000005</v>
      </c>
      <c r="H208" s="37">
        <v>35546924.268150002</v>
      </c>
      <c r="I208" s="37">
        <v>5922491.5791299995</v>
      </c>
      <c r="J208" s="38">
        <v>83706933.423280001</v>
      </c>
      <c r="K208" s="36">
        <v>65074914.609000005</v>
      </c>
      <c r="L208" s="37">
        <v>41229099.413949996</v>
      </c>
      <c r="M208" s="37">
        <v>6164113.2761500003</v>
      </c>
      <c r="N208" s="38">
        <v>112468127.2991</v>
      </c>
      <c r="O208" s="39">
        <v>196175060.72237998</v>
      </c>
    </row>
    <row r="209" spans="1:15">
      <c r="A209" s="31">
        <v>6531</v>
      </c>
      <c r="B209" s="32" t="s">
        <v>1870</v>
      </c>
      <c r="C209" s="31" t="s">
        <v>2780</v>
      </c>
      <c r="D209" s="34" t="s">
        <v>3023</v>
      </c>
      <c r="E209" s="1" t="s">
        <v>3024</v>
      </c>
      <c r="F209" s="35">
        <v>5.9</v>
      </c>
      <c r="G209" s="36">
        <v>57604014.627000004</v>
      </c>
      <c r="H209" s="37">
        <v>65520165.784799993</v>
      </c>
      <c r="I209" s="37">
        <v>11109579.577541001</v>
      </c>
      <c r="J209" s="38">
        <v>134233759.98934099</v>
      </c>
      <c r="K209" s="36">
        <v>76350733.003999993</v>
      </c>
      <c r="L209" s="37">
        <v>64090685.464400001</v>
      </c>
      <c r="M209" s="37">
        <v>10209506.840549998</v>
      </c>
      <c r="N209" s="38">
        <v>150650925.30895001</v>
      </c>
      <c r="O209" s="39">
        <v>284884685.29829097</v>
      </c>
    </row>
    <row r="210" spans="1:15">
      <c r="A210" s="31">
        <v>6339</v>
      </c>
      <c r="B210" s="32" t="s">
        <v>1853</v>
      </c>
      <c r="C210" s="31" t="s">
        <v>2780</v>
      </c>
      <c r="D210" s="34" t="s">
        <v>3025</v>
      </c>
      <c r="E210" s="1" t="s">
        <v>3026</v>
      </c>
      <c r="F210" s="35">
        <v>15.200000000000001</v>
      </c>
      <c r="G210" s="36">
        <v>394288.27500000002</v>
      </c>
      <c r="H210" s="37">
        <v>1572789.4950999999</v>
      </c>
      <c r="I210" s="37">
        <v>298927.76750000002</v>
      </c>
      <c r="J210" s="38">
        <v>2266005.5375999999</v>
      </c>
      <c r="K210" s="36">
        <v>4148390.9340000004</v>
      </c>
      <c r="L210" s="37">
        <v>1359458.49</v>
      </c>
      <c r="M210" s="37">
        <v>282782.33025</v>
      </c>
      <c r="N210" s="38">
        <v>5790631.7542500002</v>
      </c>
      <c r="O210" s="39">
        <v>8056637.2918500006</v>
      </c>
    </row>
    <row r="211" spans="1:15">
      <c r="A211" s="31">
        <v>6339</v>
      </c>
      <c r="B211" s="32" t="s">
        <v>1853</v>
      </c>
      <c r="C211" s="31" t="s">
        <v>2780</v>
      </c>
      <c r="D211" s="34" t="s">
        <v>3025</v>
      </c>
      <c r="E211" s="1" t="s">
        <v>3027</v>
      </c>
      <c r="F211" s="35">
        <v>29.3</v>
      </c>
      <c r="G211" s="36">
        <v>46433.371000000006</v>
      </c>
      <c r="H211" s="37">
        <v>2319719.4186</v>
      </c>
      <c r="I211" s="37">
        <v>403886.32750000001</v>
      </c>
      <c r="J211" s="38">
        <v>2770039.1170999999</v>
      </c>
      <c r="K211" s="36">
        <v>7696076.6110000005</v>
      </c>
      <c r="L211" s="37">
        <v>2308434.6652000002</v>
      </c>
      <c r="M211" s="37">
        <v>441438.01775</v>
      </c>
      <c r="N211" s="38">
        <v>10445949.293950001</v>
      </c>
      <c r="O211" s="39">
        <v>13215988.411050001</v>
      </c>
    </row>
    <row r="212" spans="1:15">
      <c r="A212" s="31">
        <v>6339</v>
      </c>
      <c r="B212" s="32" t="s">
        <v>1853</v>
      </c>
      <c r="C212" s="31" t="s">
        <v>2780</v>
      </c>
      <c r="D212" s="34" t="s">
        <v>3025</v>
      </c>
      <c r="E212" s="1" t="s">
        <v>3028</v>
      </c>
      <c r="F212" s="35">
        <v>40.999999999999993</v>
      </c>
      <c r="G212" s="36">
        <v>64895.29</v>
      </c>
      <c r="H212" s="37">
        <v>3083491.73905</v>
      </c>
      <c r="I212" s="37">
        <v>542546.24199999997</v>
      </c>
      <c r="J212" s="38">
        <v>3690933.2710500001</v>
      </c>
      <c r="K212" s="36">
        <v>10744925.129999999</v>
      </c>
      <c r="L212" s="37">
        <v>3080512.4396000002</v>
      </c>
      <c r="M212" s="37">
        <v>600451.79749999999</v>
      </c>
      <c r="N212" s="38">
        <v>14425889.367099999</v>
      </c>
      <c r="O212" s="39">
        <v>18116822.638149999</v>
      </c>
    </row>
    <row r="213" spans="1:15">
      <c r="A213" s="31">
        <v>6339</v>
      </c>
      <c r="B213" s="32" t="s">
        <v>1853</v>
      </c>
      <c r="C213" s="31" t="s">
        <v>2780</v>
      </c>
      <c r="D213" s="34" t="s">
        <v>3025</v>
      </c>
      <c r="E213" s="1" t="s">
        <v>3029</v>
      </c>
      <c r="F213" s="35">
        <v>5.7000000000000028</v>
      </c>
      <c r="G213" s="36">
        <v>5926.2719999999999</v>
      </c>
      <c r="H213" s="37">
        <v>316673.12640000001</v>
      </c>
      <c r="I213" s="37">
        <v>30103.871999999999</v>
      </c>
      <c r="J213" s="38">
        <v>352703.27039999998</v>
      </c>
      <c r="K213" s="36">
        <v>1117066.9440000001</v>
      </c>
      <c r="L213" s="37">
        <v>316535.56799999997</v>
      </c>
      <c r="M213" s="37">
        <v>31728.959999999999</v>
      </c>
      <c r="N213" s="38">
        <v>1465331.4720000001</v>
      </c>
      <c r="O213" s="39">
        <v>1818034.7424000001</v>
      </c>
    </row>
    <row r="214" spans="1:15">
      <c r="A214" s="31">
        <v>6623</v>
      </c>
      <c r="B214" s="32" t="s">
        <v>2779</v>
      </c>
      <c r="C214" s="31" t="s">
        <v>2780</v>
      </c>
      <c r="D214" s="34" t="s">
        <v>3030</v>
      </c>
      <c r="E214" s="1" t="s">
        <v>3031</v>
      </c>
      <c r="F214" s="35">
        <v>2.1</v>
      </c>
      <c r="G214" s="36">
        <v>1177573.5660000001</v>
      </c>
      <c r="H214" s="37">
        <v>723626.38009999995</v>
      </c>
      <c r="I214" s="37">
        <v>92954.81624</v>
      </c>
      <c r="J214" s="38">
        <v>1994154.7623400001</v>
      </c>
      <c r="K214" s="36">
        <v>1073200.206</v>
      </c>
      <c r="L214" s="37">
        <v>545571.74035000009</v>
      </c>
      <c r="M214" s="37">
        <v>30938.478999999999</v>
      </c>
      <c r="N214" s="38">
        <v>1649710.4253500002</v>
      </c>
      <c r="O214" s="39">
        <v>3643865.18769</v>
      </c>
    </row>
    <row r="215" spans="1:15">
      <c r="A215" s="31">
        <v>6623</v>
      </c>
      <c r="B215" s="32" t="s">
        <v>2779</v>
      </c>
      <c r="C215" s="31" t="s">
        <v>2780</v>
      </c>
      <c r="D215" s="34" t="s">
        <v>3030</v>
      </c>
      <c r="E215" s="1" t="s">
        <v>3032</v>
      </c>
      <c r="F215" s="35">
        <v>4.3000000000000007</v>
      </c>
      <c r="G215" s="36">
        <v>6830475.3450000007</v>
      </c>
      <c r="H215" s="37">
        <v>4069746.5997500001</v>
      </c>
      <c r="I215" s="37">
        <v>1499344.0302500001</v>
      </c>
      <c r="J215" s="38">
        <v>12399565.975</v>
      </c>
      <c r="K215" s="36">
        <v>6582162.0899999999</v>
      </c>
      <c r="L215" s="37">
        <v>3350217.23325</v>
      </c>
      <c r="M215" s="37">
        <v>1122711.390625</v>
      </c>
      <c r="N215" s="38">
        <v>11055090.713874999</v>
      </c>
      <c r="O215" s="39">
        <v>23454656.688874997</v>
      </c>
    </row>
    <row r="216" spans="1:15">
      <c r="A216" s="31">
        <v>6005</v>
      </c>
      <c r="B216" s="32" t="s">
        <v>1928</v>
      </c>
      <c r="C216" s="31" t="s">
        <v>2780</v>
      </c>
      <c r="D216" s="34" t="s">
        <v>3033</v>
      </c>
      <c r="E216" s="1" t="s">
        <v>3034</v>
      </c>
      <c r="F216" s="35">
        <v>2</v>
      </c>
      <c r="G216" s="36">
        <v>0</v>
      </c>
      <c r="H216" s="37">
        <v>0</v>
      </c>
      <c r="I216" s="37">
        <v>0</v>
      </c>
      <c r="J216" s="38">
        <v>0</v>
      </c>
      <c r="K216" s="36">
        <v>0</v>
      </c>
      <c r="L216" s="37">
        <v>0</v>
      </c>
      <c r="M216" s="37">
        <v>0</v>
      </c>
      <c r="N216" s="38">
        <v>0</v>
      </c>
      <c r="O216" s="39">
        <v>0</v>
      </c>
    </row>
    <row r="217" spans="1:15">
      <c r="A217" s="31">
        <v>6005</v>
      </c>
      <c r="B217" s="32" t="s">
        <v>1928</v>
      </c>
      <c r="C217" s="31" t="s">
        <v>2780</v>
      </c>
      <c r="D217" s="34" t="s">
        <v>3033</v>
      </c>
      <c r="E217" s="1" t="s">
        <v>3035</v>
      </c>
      <c r="F217" s="35">
        <v>42.2</v>
      </c>
      <c r="G217" s="36">
        <v>298351582.83400005</v>
      </c>
      <c r="H217" s="37">
        <v>106633027.46219999</v>
      </c>
      <c r="I217" s="37">
        <v>22443818.970500004</v>
      </c>
      <c r="J217" s="38">
        <v>427428429.26670003</v>
      </c>
      <c r="K217" s="36">
        <v>102565073.85300002</v>
      </c>
      <c r="L217" s="37">
        <v>108349785.68554997</v>
      </c>
      <c r="M217" s="37">
        <v>24184167.45225</v>
      </c>
      <c r="N217" s="38">
        <v>235099026.99079999</v>
      </c>
      <c r="O217" s="39">
        <v>662527456.25750005</v>
      </c>
    </row>
    <row r="218" spans="1:15">
      <c r="A218" s="31">
        <v>6611</v>
      </c>
      <c r="B218" s="32" t="s">
        <v>2779</v>
      </c>
      <c r="C218" s="31" t="s">
        <v>2780</v>
      </c>
      <c r="D218" s="34" t="s">
        <v>3036</v>
      </c>
      <c r="E218" s="1" t="s">
        <v>3037</v>
      </c>
      <c r="F218" s="35">
        <v>28.500000000000004</v>
      </c>
      <c r="G218" s="36">
        <v>0</v>
      </c>
      <c r="H218" s="37">
        <v>0</v>
      </c>
      <c r="I218" s="37">
        <v>0</v>
      </c>
      <c r="J218" s="38">
        <v>0</v>
      </c>
      <c r="K218" s="36">
        <v>0</v>
      </c>
      <c r="L218" s="37">
        <v>0</v>
      </c>
      <c r="M218" s="37">
        <v>0</v>
      </c>
      <c r="N218" s="38">
        <v>0</v>
      </c>
      <c r="O218" s="39">
        <v>0</v>
      </c>
    </row>
    <row r="219" spans="1:15">
      <c r="A219" s="31">
        <v>6408</v>
      </c>
      <c r="B219" s="32" t="s">
        <v>1870</v>
      </c>
      <c r="C219" s="31" t="s">
        <v>2780</v>
      </c>
      <c r="D219" s="34" t="s">
        <v>3038</v>
      </c>
      <c r="E219" s="1" t="s">
        <v>3039</v>
      </c>
      <c r="F219" s="35">
        <v>120.3</v>
      </c>
      <c r="G219" s="36">
        <v>852837313.74300003</v>
      </c>
      <c r="H219" s="37">
        <v>728135945.43275011</v>
      </c>
      <c r="I219" s="37">
        <v>118458916.80050501</v>
      </c>
      <c r="J219" s="38">
        <v>1699432175.9762552</v>
      </c>
      <c r="K219" s="36">
        <v>318020034.02300006</v>
      </c>
      <c r="L219" s="37">
        <v>195716994.88735002</v>
      </c>
      <c r="M219" s="37">
        <v>28778102.490177002</v>
      </c>
      <c r="N219" s="38">
        <v>542515131.40052712</v>
      </c>
      <c r="O219" s="39">
        <v>2241947307.3767824</v>
      </c>
    </row>
    <row r="220" spans="1:15">
      <c r="A220" s="31">
        <v>6219</v>
      </c>
      <c r="B220" s="32" t="s">
        <v>2002</v>
      </c>
      <c r="C220" s="31" t="s">
        <v>2780</v>
      </c>
      <c r="D220" s="34" t="s">
        <v>3040</v>
      </c>
      <c r="E220" s="1" t="s">
        <v>3041</v>
      </c>
      <c r="F220" s="35">
        <v>29.3</v>
      </c>
      <c r="G220" s="36">
        <v>9014160.7280000001</v>
      </c>
      <c r="H220" s="37">
        <v>2341860.6104000001</v>
      </c>
      <c r="I220" s="37">
        <v>662920.26</v>
      </c>
      <c r="J220" s="38">
        <v>12018941.5984</v>
      </c>
      <c r="K220" s="36">
        <v>62661.696000000004</v>
      </c>
      <c r="L220" s="37">
        <v>2347663.2711999998</v>
      </c>
      <c r="M220" s="37">
        <v>623918.04799999995</v>
      </c>
      <c r="N220" s="38">
        <v>3034243.0151999998</v>
      </c>
      <c r="O220" s="39">
        <v>15053184.613600001</v>
      </c>
    </row>
    <row r="221" spans="1:15">
      <c r="A221" s="31">
        <v>6350</v>
      </c>
      <c r="B221" s="32" t="s">
        <v>1853</v>
      </c>
      <c r="C221" s="31" t="s">
        <v>2780</v>
      </c>
      <c r="D221" s="34" t="s">
        <v>3042</v>
      </c>
      <c r="E221" s="1" t="s">
        <v>3043</v>
      </c>
      <c r="F221" s="35">
        <v>25.6</v>
      </c>
      <c r="G221" s="36">
        <v>0</v>
      </c>
      <c r="H221" s="37">
        <v>382250.43359999999</v>
      </c>
      <c r="I221" s="37">
        <v>23185.792000000001</v>
      </c>
      <c r="J221" s="38">
        <v>405436.22560000001</v>
      </c>
      <c r="K221" s="36">
        <v>0</v>
      </c>
      <c r="L221" s="37">
        <v>300135.77439999999</v>
      </c>
      <c r="M221" s="37">
        <v>16098.431999999999</v>
      </c>
      <c r="N221" s="38">
        <v>316234.20639999997</v>
      </c>
      <c r="O221" s="39">
        <v>721670.43200000003</v>
      </c>
    </row>
    <row r="222" spans="1:15">
      <c r="A222" s="31">
        <v>6223</v>
      </c>
      <c r="B222" s="32" t="s">
        <v>2002</v>
      </c>
      <c r="C222" s="31" t="s">
        <v>2780</v>
      </c>
      <c r="D222" s="34" t="s">
        <v>2047</v>
      </c>
      <c r="E222" s="1" t="s">
        <v>3044</v>
      </c>
      <c r="F222" s="35">
        <v>11.7</v>
      </c>
      <c r="G222" s="36">
        <v>49130083.724000007</v>
      </c>
      <c r="H222" s="37">
        <v>115480019.44750001</v>
      </c>
      <c r="I222" s="37">
        <v>15589842.816575</v>
      </c>
      <c r="J222" s="38">
        <v>180199945.98807502</v>
      </c>
      <c r="K222" s="36">
        <v>296853349.51499999</v>
      </c>
      <c r="L222" s="37">
        <v>127573257.6913</v>
      </c>
      <c r="M222" s="37">
        <v>17137281.161125001</v>
      </c>
      <c r="N222" s="38">
        <v>441563888.36742502</v>
      </c>
      <c r="O222" s="39">
        <v>621763834.35549998</v>
      </c>
    </row>
    <row r="223" spans="1:15">
      <c r="A223" s="31">
        <v>6223</v>
      </c>
      <c r="B223" s="32" t="s">
        <v>2002</v>
      </c>
      <c r="C223" s="31" t="s">
        <v>2780</v>
      </c>
      <c r="D223" s="34" t="s">
        <v>2047</v>
      </c>
      <c r="E223" s="1" t="s">
        <v>3045</v>
      </c>
      <c r="F223" s="35">
        <v>16.100000000000001</v>
      </c>
      <c r="G223" s="36">
        <v>66705849.620000005</v>
      </c>
      <c r="H223" s="37">
        <v>157774496.47555003</v>
      </c>
      <c r="I223" s="37">
        <v>21257262.053070001</v>
      </c>
      <c r="J223" s="38">
        <v>245737608.14862004</v>
      </c>
      <c r="K223" s="36">
        <v>405130327.45599997</v>
      </c>
      <c r="L223" s="37">
        <v>174388372.75120002</v>
      </c>
      <c r="M223" s="37">
        <v>23348827.637874998</v>
      </c>
      <c r="N223" s="38">
        <v>602867527.84507501</v>
      </c>
      <c r="O223" s="39">
        <v>848605135.99369502</v>
      </c>
    </row>
    <row r="224" spans="1:15">
      <c r="A224" s="31">
        <v>6223</v>
      </c>
      <c r="B224" s="32" t="s">
        <v>2002</v>
      </c>
      <c r="C224" s="31" t="s">
        <v>2780</v>
      </c>
      <c r="D224" s="34" t="s">
        <v>2047</v>
      </c>
      <c r="E224" s="1" t="s">
        <v>3046</v>
      </c>
      <c r="F224" s="35">
        <v>19.2</v>
      </c>
      <c r="G224" s="36">
        <v>76669167.240999997</v>
      </c>
      <c r="H224" s="37">
        <v>179689323.32945001</v>
      </c>
      <c r="I224" s="37">
        <v>24069023.618205003</v>
      </c>
      <c r="J224" s="38">
        <v>280427514.18865502</v>
      </c>
      <c r="K224" s="36">
        <v>464069444.704</v>
      </c>
      <c r="L224" s="37">
        <v>199755785.01694998</v>
      </c>
      <c r="M224" s="37">
        <v>26288653.135749999</v>
      </c>
      <c r="N224" s="38">
        <v>690113882.85670006</v>
      </c>
      <c r="O224" s="39">
        <v>970541397.04535508</v>
      </c>
    </row>
    <row r="225" spans="1:15">
      <c r="A225" s="31">
        <v>6223</v>
      </c>
      <c r="B225" s="32" t="s">
        <v>2002</v>
      </c>
      <c r="C225" s="31" t="s">
        <v>2780</v>
      </c>
      <c r="D225" s="34" t="s">
        <v>2047</v>
      </c>
      <c r="E225" s="1" t="s">
        <v>3047</v>
      </c>
      <c r="F225" s="35">
        <v>21.099999999999994</v>
      </c>
      <c r="G225" s="36">
        <v>88819622.061999992</v>
      </c>
      <c r="H225" s="37">
        <v>202203892.39039996</v>
      </c>
      <c r="I225" s="37">
        <v>26081612.542874999</v>
      </c>
      <c r="J225" s="38">
        <v>317105126.99527496</v>
      </c>
      <c r="K225" s="36">
        <v>522595354.44300002</v>
      </c>
      <c r="L225" s="37">
        <v>224901894.45335001</v>
      </c>
      <c r="M225" s="37">
        <v>28709892.257374998</v>
      </c>
      <c r="N225" s="38">
        <v>776207141.15372503</v>
      </c>
      <c r="O225" s="39">
        <v>1093312268.1489999</v>
      </c>
    </row>
    <row r="226" spans="1:15">
      <c r="A226" s="31">
        <v>6223</v>
      </c>
      <c r="B226" s="32" t="s">
        <v>2002</v>
      </c>
      <c r="C226" s="31" t="s">
        <v>2780</v>
      </c>
      <c r="D226" s="34" t="s">
        <v>2047</v>
      </c>
      <c r="E226" s="1" t="s">
        <v>3048</v>
      </c>
      <c r="F226" s="35">
        <v>27.5</v>
      </c>
      <c r="G226" s="36">
        <v>110913974.28299999</v>
      </c>
      <c r="H226" s="37">
        <v>249597529.1363</v>
      </c>
      <c r="I226" s="37">
        <v>32459055.082954999</v>
      </c>
      <c r="J226" s="38">
        <v>392970558.50225496</v>
      </c>
      <c r="K226" s="36">
        <v>644248843.08500004</v>
      </c>
      <c r="L226" s="37">
        <v>277770655.55930001</v>
      </c>
      <c r="M226" s="37">
        <v>35847846.07175</v>
      </c>
      <c r="N226" s="38">
        <v>957867344.71605003</v>
      </c>
      <c r="O226" s="39">
        <v>1350837903.2183051</v>
      </c>
    </row>
    <row r="227" spans="1:15">
      <c r="A227" s="31">
        <v>6364</v>
      </c>
      <c r="B227" s="32" t="s">
        <v>1853</v>
      </c>
      <c r="C227" s="31" t="s">
        <v>2780</v>
      </c>
      <c r="D227" s="34" t="s">
        <v>3049</v>
      </c>
      <c r="E227" s="1" t="s">
        <v>3050</v>
      </c>
      <c r="F227" s="35">
        <v>42.8</v>
      </c>
      <c r="G227" s="36">
        <v>1725183.834</v>
      </c>
      <c r="H227" s="37">
        <v>613530.79960000003</v>
      </c>
      <c r="I227" s="37">
        <v>340080.91224999999</v>
      </c>
      <c r="J227" s="38">
        <v>2678795.5458500003</v>
      </c>
      <c r="K227" s="36">
        <v>86274.67300000001</v>
      </c>
      <c r="L227" s="37">
        <v>525590.25095000002</v>
      </c>
      <c r="M227" s="37">
        <v>485509.70287500002</v>
      </c>
      <c r="N227" s="38">
        <v>1097374.6268249999</v>
      </c>
      <c r="O227" s="39">
        <v>3776170.1726750005</v>
      </c>
    </row>
    <row r="228" spans="1:15">
      <c r="A228" s="31">
        <v>6320</v>
      </c>
      <c r="B228" s="32" t="s">
        <v>1831</v>
      </c>
      <c r="C228" s="31" t="s">
        <v>2780</v>
      </c>
      <c r="D228" s="34" t="s">
        <v>3051</v>
      </c>
      <c r="E228" s="1" t="s">
        <v>3052</v>
      </c>
      <c r="F228" s="35">
        <v>41.5</v>
      </c>
      <c r="G228" s="36">
        <v>55169.904000000002</v>
      </c>
      <c r="H228" s="37">
        <v>2421036.0922000003</v>
      </c>
      <c r="I228" s="37">
        <v>1068184.4439999999</v>
      </c>
      <c r="J228" s="38">
        <v>3544390.4402000001</v>
      </c>
      <c r="K228" s="36">
        <v>15052275.888</v>
      </c>
      <c r="L228" s="37">
        <v>3993182.1815999998</v>
      </c>
      <c r="M228" s="37">
        <v>1045056.952</v>
      </c>
      <c r="N228" s="38">
        <v>20090515.021600001</v>
      </c>
      <c r="O228" s="39">
        <v>23634905.461800002</v>
      </c>
    </row>
    <row r="229" spans="1:15">
      <c r="A229" s="31">
        <v>6320</v>
      </c>
      <c r="B229" s="32" t="s">
        <v>1853</v>
      </c>
      <c r="C229" s="31" t="s">
        <v>2780</v>
      </c>
      <c r="D229" s="34" t="s">
        <v>3051</v>
      </c>
      <c r="E229" s="1" t="s">
        <v>3053</v>
      </c>
      <c r="F229" s="35">
        <v>9.2999999999999972</v>
      </c>
      <c r="G229" s="36">
        <v>161098.49599999998</v>
      </c>
      <c r="H229" s="37">
        <v>1058176.5464000001</v>
      </c>
      <c r="I229" s="37">
        <v>421989.72149999999</v>
      </c>
      <c r="J229" s="38">
        <v>1641264.7639000001</v>
      </c>
      <c r="K229" s="36">
        <v>7173906.7809999995</v>
      </c>
      <c r="L229" s="37">
        <v>1951264.7755</v>
      </c>
      <c r="M229" s="37">
        <v>438205.17000000004</v>
      </c>
      <c r="N229" s="38">
        <v>9563376.7264999989</v>
      </c>
      <c r="O229" s="39">
        <v>11204641.4904</v>
      </c>
    </row>
    <row r="230" spans="1:15">
      <c r="A230" s="31">
        <v>6231</v>
      </c>
      <c r="B230" s="32" t="s">
        <v>2002</v>
      </c>
      <c r="C230" s="31" t="s">
        <v>2780</v>
      </c>
      <c r="D230" s="34" t="s">
        <v>3054</v>
      </c>
      <c r="E230" s="1" t="s">
        <v>3055</v>
      </c>
      <c r="F230" s="35">
        <v>6</v>
      </c>
      <c r="G230" s="36">
        <v>25811020.194999997</v>
      </c>
      <c r="H230" s="37">
        <v>15439097.39335</v>
      </c>
      <c r="I230" s="37">
        <v>2646377.9617500002</v>
      </c>
      <c r="J230" s="38">
        <v>43896495.550099999</v>
      </c>
      <c r="K230" s="36">
        <v>6857278.7510000002</v>
      </c>
      <c r="L230" s="37">
        <v>15316598.5232</v>
      </c>
      <c r="M230" s="37">
        <v>2429630.5730000003</v>
      </c>
      <c r="N230" s="38">
        <v>24603507.847199999</v>
      </c>
      <c r="O230" s="39">
        <v>68500003.397300005</v>
      </c>
    </row>
    <row r="231" spans="1:15">
      <c r="A231" s="31">
        <v>6231</v>
      </c>
      <c r="B231" s="32" t="s">
        <v>2002</v>
      </c>
      <c r="C231" s="31" t="s">
        <v>2780</v>
      </c>
      <c r="D231" s="34" t="s">
        <v>3054</v>
      </c>
      <c r="E231" s="1" t="s">
        <v>3056</v>
      </c>
      <c r="F231" s="35">
        <v>29.5</v>
      </c>
      <c r="G231" s="36">
        <v>142900805.65500003</v>
      </c>
      <c r="H231" s="37">
        <v>79895855.403000012</v>
      </c>
      <c r="I231" s="37">
        <v>13510027.75725</v>
      </c>
      <c r="J231" s="38">
        <v>236306688.81525004</v>
      </c>
      <c r="K231" s="36">
        <v>39313318.019999996</v>
      </c>
      <c r="L231" s="37">
        <v>91293658.016800016</v>
      </c>
      <c r="M231" s="37">
        <v>14811325.636999998</v>
      </c>
      <c r="N231" s="38">
        <v>145418301.67380002</v>
      </c>
      <c r="O231" s="39">
        <v>381724990.48905003</v>
      </c>
    </row>
    <row r="232" spans="1:15">
      <c r="A232" s="31">
        <v>6232</v>
      </c>
      <c r="B232" s="32" t="s">
        <v>2002</v>
      </c>
      <c r="C232" s="31" t="s">
        <v>2780</v>
      </c>
      <c r="D232" s="34" t="s">
        <v>3057</v>
      </c>
      <c r="E232" s="1" t="s">
        <v>3058</v>
      </c>
      <c r="F232" s="35">
        <v>14.1</v>
      </c>
      <c r="G232" s="36">
        <v>484755.54599999997</v>
      </c>
      <c r="H232" s="37">
        <v>1120435.3023000001</v>
      </c>
      <c r="I232" s="37">
        <v>258472.99950000003</v>
      </c>
      <c r="J232" s="38">
        <v>1863663.8478000001</v>
      </c>
      <c r="K232" s="36">
        <v>5582416.2539999997</v>
      </c>
      <c r="L232" s="37">
        <v>998350.02870000002</v>
      </c>
      <c r="M232" s="37">
        <v>284130.99900000001</v>
      </c>
      <c r="N232" s="38">
        <v>6864897.2816999992</v>
      </c>
      <c r="O232" s="39">
        <v>8728561.1294999998</v>
      </c>
    </row>
    <row r="233" spans="1:15">
      <c r="A233" s="31">
        <v>6601</v>
      </c>
      <c r="B233" s="32" t="s">
        <v>2779</v>
      </c>
      <c r="C233" s="31" t="s">
        <v>2785</v>
      </c>
      <c r="D233" s="34" t="s">
        <v>3059</v>
      </c>
      <c r="E233" s="1" t="s">
        <v>3060</v>
      </c>
      <c r="F233" s="35">
        <v>129.9</v>
      </c>
      <c r="G233" s="36">
        <v>207792540.20499998</v>
      </c>
      <c r="H233" s="37">
        <v>143099702.03839999</v>
      </c>
      <c r="I233" s="37">
        <v>28319665.842449997</v>
      </c>
      <c r="J233" s="38">
        <v>379211908.08585</v>
      </c>
      <c r="K233" s="36">
        <v>107620486.73100004</v>
      </c>
      <c r="L233" s="37">
        <v>139823238.27945003</v>
      </c>
      <c r="M233" s="37">
        <v>26635395.247250009</v>
      </c>
      <c r="N233" s="38">
        <v>274079120.25770009</v>
      </c>
      <c r="O233" s="39">
        <v>653291028.34355009</v>
      </c>
    </row>
    <row r="234" spans="1:15">
      <c r="A234" s="31">
        <v>6101</v>
      </c>
      <c r="B234" s="32" t="s">
        <v>1928</v>
      </c>
      <c r="C234" s="31" t="s">
        <v>2780</v>
      </c>
      <c r="D234" s="34" t="s">
        <v>2288</v>
      </c>
      <c r="E234" s="1" t="s">
        <v>3061</v>
      </c>
      <c r="F234" s="35">
        <v>5</v>
      </c>
      <c r="G234" s="36">
        <v>302082795.43200004</v>
      </c>
      <c r="H234" s="37">
        <v>96979474.667900011</v>
      </c>
      <c r="I234" s="37">
        <v>18719577.252750002</v>
      </c>
      <c r="J234" s="38">
        <v>417781847.35265005</v>
      </c>
      <c r="K234" s="36">
        <v>46340557.031999998</v>
      </c>
      <c r="L234" s="37">
        <v>96170146.516400009</v>
      </c>
      <c r="M234" s="37">
        <v>18598174.78475</v>
      </c>
      <c r="N234" s="38">
        <v>161108878.33315003</v>
      </c>
      <c r="O234" s="39">
        <v>578890725.68580008</v>
      </c>
    </row>
    <row r="235" spans="1:15">
      <c r="A235" s="31">
        <v>6101</v>
      </c>
      <c r="B235" s="32" t="s">
        <v>1928</v>
      </c>
      <c r="C235" s="31" t="s">
        <v>2780</v>
      </c>
      <c r="D235" s="34" t="s">
        <v>2288</v>
      </c>
      <c r="E235" s="1" t="s">
        <v>3062</v>
      </c>
      <c r="F235" s="35">
        <v>1.5999999999999996</v>
      </c>
      <c r="G235" s="36">
        <v>97582747.652999997</v>
      </c>
      <c r="H235" s="37">
        <v>31324760.940949999</v>
      </c>
      <c r="I235" s="37">
        <v>6042881.6358749997</v>
      </c>
      <c r="J235" s="38">
        <v>134950390.22982499</v>
      </c>
      <c r="K235" s="36">
        <v>14964495.524999999</v>
      </c>
      <c r="L235" s="37">
        <v>31062384.675949998</v>
      </c>
      <c r="M235" s="37">
        <v>6003790.4342749994</v>
      </c>
      <c r="N235" s="38">
        <v>52030670.635224998</v>
      </c>
      <c r="O235" s="39">
        <v>186981060.86504999</v>
      </c>
    </row>
    <row r="236" spans="1:15">
      <c r="A236" s="31">
        <v>6101</v>
      </c>
      <c r="B236" s="32" t="s">
        <v>1928</v>
      </c>
      <c r="C236" s="31" t="s">
        <v>2780</v>
      </c>
      <c r="D236" s="34" t="s">
        <v>2288</v>
      </c>
      <c r="E236" s="1" t="s">
        <v>3063</v>
      </c>
      <c r="F236" s="35">
        <v>22.799999999999997</v>
      </c>
      <c r="G236" s="36">
        <v>1380101143.9800003</v>
      </c>
      <c r="H236" s="37">
        <v>443017975.27535003</v>
      </c>
      <c r="I236" s="37">
        <v>85454176.911874995</v>
      </c>
      <c r="J236" s="38">
        <v>1908573296.1672254</v>
      </c>
      <c r="K236" s="36">
        <v>211646022.80500004</v>
      </c>
      <c r="L236" s="37">
        <v>439321137.10389996</v>
      </c>
      <c r="M236" s="37">
        <v>84927438.043874994</v>
      </c>
      <c r="N236" s="38">
        <v>735894597.952775</v>
      </c>
      <c r="O236" s="39">
        <v>2644467894.1200004</v>
      </c>
    </row>
    <row r="237" spans="1:15">
      <c r="A237" s="31">
        <v>6101</v>
      </c>
      <c r="B237" s="32" t="s">
        <v>1928</v>
      </c>
      <c r="C237" s="31" t="s">
        <v>2780</v>
      </c>
      <c r="D237" s="34" t="s">
        <v>2288</v>
      </c>
      <c r="E237" s="1" t="s">
        <v>3064</v>
      </c>
      <c r="F237" s="35">
        <v>8.6000000000000014</v>
      </c>
      <c r="G237" s="36">
        <v>535842402.07999992</v>
      </c>
      <c r="H237" s="37">
        <v>172004195.45975</v>
      </c>
      <c r="I237" s="37">
        <v>33181359.608624998</v>
      </c>
      <c r="J237" s="38">
        <v>741027957.14837492</v>
      </c>
      <c r="K237" s="36">
        <v>82178735.955000013</v>
      </c>
      <c r="L237" s="37">
        <v>170580245.86635</v>
      </c>
      <c r="M237" s="37">
        <v>32976885.714724999</v>
      </c>
      <c r="N237" s="38">
        <v>285735867.536075</v>
      </c>
      <c r="O237" s="39">
        <v>1026763824.6844499</v>
      </c>
    </row>
    <row r="238" spans="1:15">
      <c r="A238" s="31">
        <v>6101</v>
      </c>
      <c r="B238" s="32" t="s">
        <v>1928</v>
      </c>
      <c r="C238" s="31" t="s">
        <v>2780</v>
      </c>
      <c r="D238" s="34" t="s">
        <v>2288</v>
      </c>
      <c r="E238" s="1" t="s">
        <v>3065</v>
      </c>
      <c r="F238" s="35">
        <v>7</v>
      </c>
      <c r="G238" s="36">
        <v>425271561.07999998</v>
      </c>
      <c r="H238" s="37">
        <v>136505005.60409999</v>
      </c>
      <c r="I238" s="37">
        <v>26308107.484124999</v>
      </c>
      <c r="J238" s="38">
        <v>588084674.16822493</v>
      </c>
      <c r="K238" s="36">
        <v>65199029.989999995</v>
      </c>
      <c r="L238" s="37">
        <v>135362508.55419999</v>
      </c>
      <c r="M238" s="37">
        <v>26170737.013525002</v>
      </c>
      <c r="N238" s="38">
        <v>226732275.55772501</v>
      </c>
      <c r="O238" s="39">
        <v>814816949.72595</v>
      </c>
    </row>
    <row r="239" spans="1:15">
      <c r="A239" s="31">
        <v>6101</v>
      </c>
      <c r="B239" s="32" t="s">
        <v>1928</v>
      </c>
      <c r="C239" s="31" t="s">
        <v>2780</v>
      </c>
      <c r="D239" s="34" t="s">
        <v>2288</v>
      </c>
      <c r="E239" s="1" t="s">
        <v>3066</v>
      </c>
      <c r="F239" s="35">
        <v>12</v>
      </c>
      <c r="G239" s="36">
        <v>682844853.50800002</v>
      </c>
      <c r="H239" s="37">
        <v>219127667.02739999</v>
      </c>
      <c r="I239" s="37">
        <v>42248123.790875003</v>
      </c>
      <c r="J239" s="38">
        <v>944220644.32627499</v>
      </c>
      <c r="K239" s="36">
        <v>104791720.07599999</v>
      </c>
      <c r="L239" s="37">
        <v>217469343.08974999</v>
      </c>
      <c r="M239" s="37">
        <v>42056965.365874998</v>
      </c>
      <c r="N239" s="38">
        <v>364318028.53162497</v>
      </c>
      <c r="O239" s="39">
        <v>1308538672.8578999</v>
      </c>
    </row>
    <row r="240" spans="1:15">
      <c r="A240" s="31">
        <v>6101</v>
      </c>
      <c r="B240" s="32" t="s">
        <v>1928</v>
      </c>
      <c r="C240" s="31" t="s">
        <v>2780</v>
      </c>
      <c r="D240" s="34" t="s">
        <v>2288</v>
      </c>
      <c r="E240" s="1" t="s">
        <v>3067</v>
      </c>
      <c r="F240" s="35">
        <v>71.5</v>
      </c>
      <c r="G240" s="36">
        <v>4002907918.5970001</v>
      </c>
      <c r="H240" s="37">
        <v>1359236740.8167</v>
      </c>
      <c r="I240" s="37">
        <v>252763954.77812502</v>
      </c>
      <c r="J240" s="38">
        <v>5614908614.1918249</v>
      </c>
      <c r="K240" s="36">
        <v>699083115.46199989</v>
      </c>
      <c r="L240" s="37">
        <v>1445767116.4831002</v>
      </c>
      <c r="M240" s="37">
        <v>274821290.674775</v>
      </c>
      <c r="N240" s="38">
        <v>2419671522.619875</v>
      </c>
      <c r="O240" s="39">
        <v>8034580136.8116999</v>
      </c>
    </row>
    <row r="241" spans="1:15">
      <c r="A241" s="31">
        <v>4000</v>
      </c>
      <c r="B241" s="32" t="s">
        <v>2779</v>
      </c>
      <c r="C241" s="31" t="s">
        <v>2780</v>
      </c>
      <c r="D241" s="34" t="s">
        <v>3068</v>
      </c>
      <c r="E241" s="1" t="s">
        <v>3069</v>
      </c>
      <c r="F241" s="35">
        <v>2.1</v>
      </c>
      <c r="G241" s="36">
        <v>2272503.3259999999</v>
      </c>
      <c r="H241" s="37">
        <v>1737122.8723500001</v>
      </c>
      <c r="I241" s="37">
        <v>474357.68330999999</v>
      </c>
      <c r="J241" s="38">
        <v>4483983.8816600004</v>
      </c>
      <c r="K241" s="36">
        <v>9436426.8310000002</v>
      </c>
      <c r="L241" s="37">
        <v>11296945.788550001</v>
      </c>
      <c r="M241" s="37">
        <v>1973844.4650599998</v>
      </c>
      <c r="N241" s="38">
        <v>22707217.08461</v>
      </c>
      <c r="O241" s="39">
        <v>27191200.96627</v>
      </c>
    </row>
    <row r="242" spans="1:15">
      <c r="A242" s="31">
        <v>6550</v>
      </c>
      <c r="B242" s="32" t="s">
        <v>1870</v>
      </c>
      <c r="C242" s="31" t="s">
        <v>2780</v>
      </c>
      <c r="D242" s="34" t="s">
        <v>3070</v>
      </c>
      <c r="E242" s="1" t="s">
        <v>3071</v>
      </c>
      <c r="F242" s="35">
        <v>17</v>
      </c>
      <c r="G242" s="36">
        <v>2397854.5020000003</v>
      </c>
      <c r="H242" s="37">
        <v>3803752.3632999999</v>
      </c>
      <c r="I242" s="37">
        <v>1094729.4294999999</v>
      </c>
      <c r="J242" s="38">
        <v>7296336.2947999993</v>
      </c>
      <c r="K242" s="36">
        <v>4734977.227</v>
      </c>
      <c r="L242" s="37">
        <v>4740561.1910999995</v>
      </c>
      <c r="M242" s="37">
        <v>762728.17575000005</v>
      </c>
      <c r="N242" s="38">
        <v>10238266.59385</v>
      </c>
      <c r="O242" s="39">
        <v>17534602.88865</v>
      </c>
    </row>
    <row r="243" spans="1:15">
      <c r="A243" s="31">
        <v>6520</v>
      </c>
      <c r="B243" s="32" t="s">
        <v>1870</v>
      </c>
      <c r="C243" s="31" t="s">
        <v>2780</v>
      </c>
      <c r="D243" s="34" t="s">
        <v>3072</v>
      </c>
      <c r="E243" s="1" t="s">
        <v>3073</v>
      </c>
      <c r="F243" s="35">
        <v>6.6</v>
      </c>
      <c r="G243" s="36">
        <v>8673765.7550000008</v>
      </c>
      <c r="H243" s="37">
        <v>10131699.362399999</v>
      </c>
      <c r="I243" s="37">
        <v>2552476.6724999999</v>
      </c>
      <c r="J243" s="38">
        <v>21357941.789899997</v>
      </c>
      <c r="K243" s="36">
        <v>18703979.673999999</v>
      </c>
      <c r="L243" s="37">
        <v>15078779.53465</v>
      </c>
      <c r="M243" s="37">
        <v>2526925.1172500001</v>
      </c>
      <c r="N243" s="38">
        <v>36309684.325900003</v>
      </c>
      <c r="O243" s="39">
        <v>57667626.115800001</v>
      </c>
    </row>
    <row r="244" spans="1:15">
      <c r="A244" s="31">
        <v>6351</v>
      </c>
      <c r="B244" s="32" t="s">
        <v>1853</v>
      </c>
      <c r="C244" s="31" t="s">
        <v>2780</v>
      </c>
      <c r="D244" s="34" t="s">
        <v>3074</v>
      </c>
      <c r="E244" s="1" t="s">
        <v>3075</v>
      </c>
      <c r="F244" s="35">
        <v>37.700000000000003</v>
      </c>
      <c r="G244" s="36">
        <v>198103936.63500002</v>
      </c>
      <c r="H244" s="37">
        <v>135115491.13705</v>
      </c>
      <c r="I244" s="37">
        <v>15220264.523724997</v>
      </c>
      <c r="J244" s="38">
        <v>348439692.295775</v>
      </c>
      <c r="K244" s="36">
        <v>170527134.34099999</v>
      </c>
      <c r="L244" s="37">
        <v>128671580.22145</v>
      </c>
      <c r="M244" s="37">
        <v>13540237.978850001</v>
      </c>
      <c r="N244" s="38">
        <v>312738952.5413</v>
      </c>
      <c r="O244" s="39">
        <v>661178644.837075</v>
      </c>
    </row>
    <row r="245" spans="1:15">
      <c r="A245" s="31">
        <v>6351</v>
      </c>
      <c r="B245" s="32" t="s">
        <v>1853</v>
      </c>
      <c r="C245" s="31" t="s">
        <v>2780</v>
      </c>
      <c r="D245" s="34" t="s">
        <v>3074</v>
      </c>
      <c r="E245" s="1" t="s">
        <v>3076</v>
      </c>
      <c r="F245" s="35">
        <v>6.6999999999999957</v>
      </c>
      <c r="G245" s="36">
        <v>22599485.359999999</v>
      </c>
      <c r="H245" s="37">
        <v>41942000.138099998</v>
      </c>
      <c r="I245" s="37">
        <v>5201821.9232000001</v>
      </c>
      <c r="J245" s="38">
        <v>69743307.421299994</v>
      </c>
      <c r="K245" s="36">
        <v>63974619.408000007</v>
      </c>
      <c r="L245" s="37">
        <v>33936301.939950004</v>
      </c>
      <c r="M245" s="37">
        <v>3940253.2870749999</v>
      </c>
      <c r="N245" s="38">
        <v>101851174.63502501</v>
      </c>
      <c r="O245" s="39">
        <v>171594482.05632502</v>
      </c>
    </row>
    <row r="246" spans="1:15">
      <c r="A246" s="31">
        <v>6351</v>
      </c>
      <c r="B246" s="32" t="s">
        <v>1853</v>
      </c>
      <c r="C246" s="31" t="s">
        <v>2780</v>
      </c>
      <c r="D246" s="34" t="s">
        <v>3074</v>
      </c>
      <c r="E246" s="1" t="s">
        <v>3077</v>
      </c>
      <c r="F246" s="35">
        <v>25.800000000000004</v>
      </c>
      <c r="G246" s="36">
        <v>73738833.541999996</v>
      </c>
      <c r="H246" s="37">
        <v>89797247.14289999</v>
      </c>
      <c r="I246" s="37">
        <v>11465148.232399998</v>
      </c>
      <c r="J246" s="38">
        <v>175001228.91729999</v>
      </c>
      <c r="K246" s="36">
        <v>125217260.34400001</v>
      </c>
      <c r="L246" s="37">
        <v>68243188.667199999</v>
      </c>
      <c r="M246" s="37">
        <v>8120004.1066499995</v>
      </c>
      <c r="N246" s="38">
        <v>201580453.11785001</v>
      </c>
      <c r="O246" s="39">
        <v>376581682.03514999</v>
      </c>
    </row>
    <row r="247" spans="1:15">
      <c r="A247" s="31">
        <v>6351</v>
      </c>
      <c r="B247" s="32" t="s">
        <v>1853</v>
      </c>
      <c r="C247" s="31" t="s">
        <v>2780</v>
      </c>
      <c r="D247" s="34" t="s">
        <v>3074</v>
      </c>
      <c r="E247" s="1" t="s">
        <v>3078</v>
      </c>
      <c r="F247" s="35">
        <v>13.200000000000003</v>
      </c>
      <c r="G247" s="36">
        <v>51188736.392000005</v>
      </c>
      <c r="H247" s="37">
        <v>50796391.446050003</v>
      </c>
      <c r="I247" s="37">
        <v>7206605.9718999993</v>
      </c>
      <c r="J247" s="38">
        <v>109191733.80995001</v>
      </c>
      <c r="K247" s="36">
        <v>68835001.53199999</v>
      </c>
      <c r="L247" s="37">
        <v>40011190.826799996</v>
      </c>
      <c r="M247" s="37">
        <v>5103866.0927750003</v>
      </c>
      <c r="N247" s="38">
        <v>113950058.451575</v>
      </c>
      <c r="O247" s="39">
        <v>223141792.26152501</v>
      </c>
    </row>
    <row r="248" spans="1:15">
      <c r="A248" s="31">
        <v>6351</v>
      </c>
      <c r="B248" s="32" t="s">
        <v>1853</v>
      </c>
      <c r="C248" s="31" t="s">
        <v>2780</v>
      </c>
      <c r="D248" s="34" t="s">
        <v>3074</v>
      </c>
      <c r="E248" s="1" t="s">
        <v>3079</v>
      </c>
      <c r="F248" s="35">
        <v>13.699999999999989</v>
      </c>
      <c r="G248" s="36">
        <v>74982304.151000008</v>
      </c>
      <c r="H248" s="37">
        <v>55725738.412849993</v>
      </c>
      <c r="I248" s="37">
        <v>8199946.9657500014</v>
      </c>
      <c r="J248" s="38">
        <v>138907989.52959999</v>
      </c>
      <c r="K248" s="36">
        <v>71852056.377000004</v>
      </c>
      <c r="L248" s="37">
        <v>42010634.412749998</v>
      </c>
      <c r="M248" s="37">
        <v>5506176.9297500001</v>
      </c>
      <c r="N248" s="38">
        <v>119368867.71950001</v>
      </c>
      <c r="O248" s="39">
        <v>258276857.2491</v>
      </c>
    </row>
    <row r="249" spans="1:15">
      <c r="A249" s="31">
        <v>6351</v>
      </c>
      <c r="B249" s="32" t="s">
        <v>1853</v>
      </c>
      <c r="C249" s="31" t="s">
        <v>2780</v>
      </c>
      <c r="D249" s="34" t="s">
        <v>3074</v>
      </c>
      <c r="E249" s="1" t="s">
        <v>3080</v>
      </c>
      <c r="F249" s="35">
        <v>12.600000000000009</v>
      </c>
      <c r="G249" s="36">
        <v>77605336.196999997</v>
      </c>
      <c r="H249" s="37">
        <v>53135951.535599999</v>
      </c>
      <c r="I249" s="37">
        <v>8406519.4191750009</v>
      </c>
      <c r="J249" s="38">
        <v>139147807.151775</v>
      </c>
      <c r="K249" s="36">
        <v>67224931.067000002</v>
      </c>
      <c r="L249" s="37">
        <v>40847266.548150003</v>
      </c>
      <c r="M249" s="37">
        <v>6117319.5914249998</v>
      </c>
      <c r="N249" s="38">
        <v>114189517.20657501</v>
      </c>
      <c r="O249" s="39">
        <v>253337324.35835001</v>
      </c>
    </row>
    <row r="250" spans="1:15">
      <c r="A250" s="31">
        <v>6351</v>
      </c>
      <c r="B250" s="32" t="s">
        <v>1853</v>
      </c>
      <c r="C250" s="31" t="s">
        <v>2780</v>
      </c>
      <c r="D250" s="34" t="s">
        <v>3074</v>
      </c>
      <c r="E250" s="1" t="s">
        <v>3081</v>
      </c>
      <c r="F250" s="35">
        <v>3.7999999999999972</v>
      </c>
      <c r="G250" s="36">
        <v>22719027.119999997</v>
      </c>
      <c r="H250" s="37">
        <v>14476026.83</v>
      </c>
      <c r="I250" s="37">
        <v>1988831.3149999999</v>
      </c>
      <c r="J250" s="38">
        <v>39183885.264999993</v>
      </c>
      <c r="K250" s="36">
        <v>16201895.34</v>
      </c>
      <c r="L250" s="37">
        <v>10482647.177999999</v>
      </c>
      <c r="M250" s="37">
        <v>1575275.1950000001</v>
      </c>
      <c r="N250" s="38">
        <v>28259817.713</v>
      </c>
      <c r="O250" s="39">
        <v>67443702.977999985</v>
      </c>
    </row>
    <row r="251" spans="1:15">
      <c r="A251" s="31">
        <v>4011</v>
      </c>
      <c r="B251" s="32" t="s">
        <v>1853</v>
      </c>
      <c r="C251" s="31" t="s">
        <v>2780</v>
      </c>
      <c r="D251" s="34" t="s">
        <v>3082</v>
      </c>
      <c r="E251" s="1" t="s">
        <v>3083</v>
      </c>
      <c r="F251" s="35">
        <v>4.2</v>
      </c>
      <c r="G251" s="36">
        <v>6579762.5460000001</v>
      </c>
      <c r="H251" s="37">
        <v>1656845.9544000002</v>
      </c>
      <c r="I251" s="37">
        <v>181628.14425000001</v>
      </c>
      <c r="J251" s="38">
        <v>8418236.6446500011</v>
      </c>
      <c r="K251" s="36">
        <v>51919.097999999998</v>
      </c>
      <c r="L251" s="37">
        <v>147973.32059999998</v>
      </c>
      <c r="M251" s="37">
        <v>20633.046000000002</v>
      </c>
      <c r="N251" s="38">
        <v>220525.46459999998</v>
      </c>
      <c r="O251" s="39">
        <v>8638762.1092500016</v>
      </c>
    </row>
    <row r="252" spans="1:15">
      <c r="A252" s="31">
        <v>4046</v>
      </c>
      <c r="B252" s="32" t="s">
        <v>1853</v>
      </c>
      <c r="C252" s="31" t="s">
        <v>2780</v>
      </c>
      <c r="D252" s="34" t="s">
        <v>3084</v>
      </c>
      <c r="E252" s="1" t="s">
        <v>3085</v>
      </c>
      <c r="F252" s="35">
        <v>1.0999999999999999</v>
      </c>
      <c r="G252" s="36">
        <v>11414.123</v>
      </c>
      <c r="H252" s="37">
        <v>35355.416750000004</v>
      </c>
      <c r="I252" s="37">
        <v>12894.35</v>
      </c>
      <c r="J252" s="38">
        <v>59663.889750000002</v>
      </c>
      <c r="K252" s="36">
        <v>5790.6210000000001</v>
      </c>
      <c r="L252" s="37">
        <v>2461548.8844499998</v>
      </c>
      <c r="M252" s="37">
        <v>73279.253500000006</v>
      </c>
      <c r="N252" s="38">
        <v>2540618.7589499997</v>
      </c>
      <c r="O252" s="39">
        <v>2600282.6486999998</v>
      </c>
    </row>
    <row r="253" spans="1:15">
      <c r="A253" s="31">
        <v>4048</v>
      </c>
      <c r="B253" s="32" t="s">
        <v>1853</v>
      </c>
      <c r="C253" s="31" t="s">
        <v>2780</v>
      </c>
      <c r="D253" s="34" t="s">
        <v>3086</v>
      </c>
      <c r="E253" s="1" t="s">
        <v>3087</v>
      </c>
      <c r="F253" s="35">
        <v>0.99999999999999989</v>
      </c>
      <c r="G253" s="36">
        <v>941102.37899999996</v>
      </c>
      <c r="H253" s="37">
        <v>266824.05099999998</v>
      </c>
      <c r="I253" s="37">
        <v>12977.157499999999</v>
      </c>
      <c r="J253" s="38">
        <v>1220903.5874999999</v>
      </c>
      <c r="K253" s="36">
        <v>108078.36</v>
      </c>
      <c r="L253" s="37">
        <v>264639.44209999999</v>
      </c>
      <c r="M253" s="37">
        <v>17841.275750000001</v>
      </c>
      <c r="N253" s="38">
        <v>390559.07785</v>
      </c>
      <c r="O253" s="39">
        <v>1611462.6653499999</v>
      </c>
    </row>
    <row r="254" spans="1:15">
      <c r="A254" s="31">
        <v>4045</v>
      </c>
      <c r="B254" s="32" t="s">
        <v>1853</v>
      </c>
      <c r="C254" s="31" t="s">
        <v>2780</v>
      </c>
      <c r="D254" s="34" t="s">
        <v>3088</v>
      </c>
      <c r="E254" s="1" t="s">
        <v>3089</v>
      </c>
      <c r="F254" s="35">
        <v>3.6</v>
      </c>
      <c r="G254" s="36">
        <v>58035.486000000004</v>
      </c>
      <c r="H254" s="37">
        <v>76419.160600000003</v>
      </c>
      <c r="I254" s="37">
        <v>4840.7295000000004</v>
      </c>
      <c r="J254" s="38">
        <v>139295.37609999999</v>
      </c>
      <c r="K254" s="36">
        <v>31705.526999999998</v>
      </c>
      <c r="L254" s="37">
        <v>32067.132549999998</v>
      </c>
      <c r="M254" s="37">
        <v>1553.65</v>
      </c>
      <c r="N254" s="38">
        <v>65326.309549999998</v>
      </c>
      <c r="O254" s="39">
        <v>204621.68565</v>
      </c>
    </row>
    <row r="255" spans="1:15">
      <c r="A255" s="31">
        <v>6332</v>
      </c>
      <c r="B255" s="32" t="s">
        <v>1853</v>
      </c>
      <c r="C255" s="31" t="s">
        <v>2780</v>
      </c>
      <c r="D255" s="34" t="s">
        <v>3090</v>
      </c>
      <c r="E255" s="1" t="s">
        <v>3091</v>
      </c>
      <c r="F255" s="35">
        <v>2.2999999999999998</v>
      </c>
      <c r="G255" s="36">
        <v>52263407.269999996</v>
      </c>
      <c r="H255" s="37">
        <v>28451474.037999999</v>
      </c>
      <c r="I255" s="37">
        <v>3624365.4798900001</v>
      </c>
      <c r="J255" s="38">
        <v>84339246.787890002</v>
      </c>
      <c r="K255" s="36">
        <v>32367517.927999999</v>
      </c>
      <c r="L255" s="37">
        <v>30498802.575199999</v>
      </c>
      <c r="M255" s="37">
        <v>3841880.6628499995</v>
      </c>
      <c r="N255" s="38">
        <v>66708201.166049995</v>
      </c>
      <c r="O255" s="39">
        <v>151047447.95394</v>
      </c>
    </row>
    <row r="256" spans="1:15">
      <c r="A256" s="31">
        <v>6332</v>
      </c>
      <c r="B256" s="32" t="s">
        <v>1853</v>
      </c>
      <c r="C256" s="31" t="s">
        <v>2780</v>
      </c>
      <c r="D256" s="34" t="s">
        <v>3090</v>
      </c>
      <c r="E256" s="1" t="s">
        <v>3092</v>
      </c>
      <c r="F256" s="35">
        <v>108.10000000000001</v>
      </c>
      <c r="G256" s="36">
        <v>3338534753.763</v>
      </c>
      <c r="H256" s="37">
        <v>1789879289.93765</v>
      </c>
      <c r="I256" s="37">
        <v>223585028.55816999</v>
      </c>
      <c r="J256" s="38">
        <v>5351999072.2588205</v>
      </c>
      <c r="K256" s="36">
        <v>1929971690.9180002</v>
      </c>
      <c r="L256" s="37">
        <v>1895450415.2146003</v>
      </c>
      <c r="M256" s="37">
        <v>235723235.93120009</v>
      </c>
      <c r="N256" s="38">
        <v>4061145342.0638008</v>
      </c>
      <c r="O256" s="39">
        <v>9413144414.3226204</v>
      </c>
    </row>
    <row r="257" spans="1:15">
      <c r="A257" s="31">
        <v>4032</v>
      </c>
      <c r="B257" s="32" t="s">
        <v>1853</v>
      </c>
      <c r="C257" s="31" t="s">
        <v>2780</v>
      </c>
      <c r="D257" s="34" t="s">
        <v>3093</v>
      </c>
      <c r="E257" s="1" t="s">
        <v>3094</v>
      </c>
      <c r="F257" s="35">
        <v>15.6</v>
      </c>
      <c r="G257" s="36">
        <v>0</v>
      </c>
      <c r="H257" s="37">
        <v>0</v>
      </c>
      <c r="I257" s="37">
        <v>0</v>
      </c>
      <c r="J257" s="38">
        <v>0</v>
      </c>
      <c r="K257" s="36">
        <v>871.24800000000005</v>
      </c>
      <c r="L257" s="37">
        <v>5468.1031499999999</v>
      </c>
      <c r="M257" s="37">
        <v>5778.7350000000006</v>
      </c>
      <c r="N257" s="38">
        <v>12118.086150000001</v>
      </c>
      <c r="O257" s="39">
        <v>12118.086150000001</v>
      </c>
    </row>
    <row r="258" spans="1:15">
      <c r="A258" s="31">
        <v>6221</v>
      </c>
      <c r="B258" s="32" t="s">
        <v>2002</v>
      </c>
      <c r="C258" s="31" t="s">
        <v>2780</v>
      </c>
      <c r="D258" s="34" t="s">
        <v>3095</v>
      </c>
      <c r="E258" s="1" t="s">
        <v>3096</v>
      </c>
      <c r="F258" s="35">
        <v>105.3</v>
      </c>
      <c r="G258" s="36">
        <v>1120607642.1030002</v>
      </c>
      <c r="H258" s="37">
        <v>384638623.07749999</v>
      </c>
      <c r="I258" s="37">
        <v>60597707.051674999</v>
      </c>
      <c r="J258" s="38">
        <v>1565843972.2321751</v>
      </c>
      <c r="K258" s="36">
        <v>175606407.56600001</v>
      </c>
      <c r="L258" s="37">
        <v>425107117.21160007</v>
      </c>
      <c r="M258" s="37">
        <v>58270458.754150003</v>
      </c>
      <c r="N258" s="38">
        <v>658983983.53175008</v>
      </c>
      <c r="O258" s="39">
        <v>2224827955.7639251</v>
      </c>
    </row>
    <row r="259" spans="1:15">
      <c r="A259" s="31">
        <v>6221</v>
      </c>
      <c r="B259" s="32" t="s">
        <v>2002</v>
      </c>
      <c r="C259" s="31" t="s">
        <v>2780</v>
      </c>
      <c r="D259" s="34" t="s">
        <v>3095</v>
      </c>
      <c r="E259" s="1" t="s">
        <v>3097</v>
      </c>
      <c r="F259" s="35">
        <v>9.7000000000000028</v>
      </c>
      <c r="G259" s="36">
        <v>137271247.37200001</v>
      </c>
      <c r="H259" s="37">
        <v>59166388.490850002</v>
      </c>
      <c r="I259" s="37">
        <v>9945918.3682749979</v>
      </c>
      <c r="J259" s="38">
        <v>206383554.231125</v>
      </c>
      <c r="K259" s="36">
        <v>51275965.452000007</v>
      </c>
      <c r="L259" s="37">
        <v>62877001.593300007</v>
      </c>
      <c r="M259" s="37">
        <v>10152520.31945</v>
      </c>
      <c r="N259" s="38">
        <v>124305487.36475001</v>
      </c>
      <c r="O259" s="39">
        <v>330689041.59587502</v>
      </c>
    </row>
    <row r="260" spans="1:15">
      <c r="A260" s="31">
        <v>6006</v>
      </c>
      <c r="B260" s="32" t="s">
        <v>1928</v>
      </c>
      <c r="C260" s="31" t="s">
        <v>2780</v>
      </c>
      <c r="D260" s="34" t="s">
        <v>1974</v>
      </c>
      <c r="E260" s="1" t="s">
        <v>3098</v>
      </c>
      <c r="F260" s="35">
        <v>54.8</v>
      </c>
      <c r="G260" s="36">
        <v>2415892823.921</v>
      </c>
      <c r="H260" s="37">
        <v>899890383.13125002</v>
      </c>
      <c r="I260" s="37">
        <v>139873780.7035</v>
      </c>
      <c r="J260" s="38">
        <v>3455656987.7557497</v>
      </c>
      <c r="K260" s="36">
        <v>497590423.91000003</v>
      </c>
      <c r="L260" s="37">
        <v>895990046.52574992</v>
      </c>
      <c r="M260" s="37">
        <v>141056710.04934999</v>
      </c>
      <c r="N260" s="38">
        <v>1534637180.4851</v>
      </c>
      <c r="O260" s="39">
        <v>4990294168.2408495</v>
      </c>
    </row>
    <row r="261" spans="1:15">
      <c r="A261" s="31">
        <v>6006</v>
      </c>
      <c r="B261" s="32" t="s">
        <v>1928</v>
      </c>
      <c r="C261" s="31" t="s">
        <v>2780</v>
      </c>
      <c r="D261" s="34" t="s">
        <v>1974</v>
      </c>
      <c r="E261" s="1" t="s">
        <v>3099</v>
      </c>
      <c r="F261" s="35">
        <v>66.7</v>
      </c>
      <c r="G261" s="36">
        <v>5123063.8859999999</v>
      </c>
      <c r="H261" s="37">
        <v>2837187.0185500006</v>
      </c>
      <c r="I261" s="37">
        <v>373777.3874999999</v>
      </c>
      <c r="J261" s="38">
        <v>8334028.2920500012</v>
      </c>
      <c r="K261" s="36">
        <v>580696979.68099988</v>
      </c>
      <c r="L261" s="37">
        <v>1070816373.0709001</v>
      </c>
      <c r="M261" s="37">
        <v>164987145.73950002</v>
      </c>
      <c r="N261" s="38">
        <v>1816500498.4914</v>
      </c>
      <c r="O261" s="39">
        <v>1824834526.7834499</v>
      </c>
    </row>
    <row r="262" spans="1:15">
      <c r="A262" s="31">
        <v>6355</v>
      </c>
      <c r="B262" s="32" t="s">
        <v>1853</v>
      </c>
      <c r="C262" s="31" t="s">
        <v>2780</v>
      </c>
      <c r="D262" s="34" t="s">
        <v>3100</v>
      </c>
      <c r="E262" s="1" t="s">
        <v>3101</v>
      </c>
      <c r="F262" s="35">
        <v>44.5</v>
      </c>
      <c r="G262" s="36">
        <v>1779056.179</v>
      </c>
      <c r="H262" s="37">
        <v>17055019.071900003</v>
      </c>
      <c r="I262" s="37">
        <v>3944909.5708750002</v>
      </c>
      <c r="J262" s="38">
        <v>22778984.821775004</v>
      </c>
      <c r="K262" s="36">
        <v>47082627.272</v>
      </c>
      <c r="L262" s="37">
        <v>16979556.220599998</v>
      </c>
      <c r="M262" s="37">
        <v>3912581.861</v>
      </c>
      <c r="N262" s="38">
        <v>67974765.353599995</v>
      </c>
      <c r="O262" s="39">
        <v>90753750.175375</v>
      </c>
    </row>
    <row r="263" spans="1:15">
      <c r="A263" s="31">
        <v>6355</v>
      </c>
      <c r="B263" s="32" t="s">
        <v>1853</v>
      </c>
      <c r="C263" s="31" t="s">
        <v>2780</v>
      </c>
      <c r="D263" s="34" t="s">
        <v>3100</v>
      </c>
      <c r="E263" s="1" t="s">
        <v>3102</v>
      </c>
      <c r="F263" s="35">
        <v>87.1</v>
      </c>
      <c r="G263" s="36">
        <v>3117357.602</v>
      </c>
      <c r="H263" s="37">
        <v>25424567.447500002</v>
      </c>
      <c r="I263" s="37">
        <v>5853724.4603749998</v>
      </c>
      <c r="J263" s="38">
        <v>34395649.509875</v>
      </c>
      <c r="K263" s="36">
        <v>69451617.122000009</v>
      </c>
      <c r="L263" s="37">
        <v>26120009.168049999</v>
      </c>
      <c r="M263" s="37">
        <v>6793301.3542500008</v>
      </c>
      <c r="N263" s="38">
        <v>102364927.6443</v>
      </c>
      <c r="O263" s="39">
        <v>136760577.15417498</v>
      </c>
    </row>
    <row r="264" spans="1:15">
      <c r="A264" s="31">
        <v>6335</v>
      </c>
      <c r="B264" s="32" t="s">
        <v>1853</v>
      </c>
      <c r="C264" s="31" t="s">
        <v>2780</v>
      </c>
      <c r="D264" s="34" t="s">
        <v>3103</v>
      </c>
      <c r="E264" s="1" t="s">
        <v>3104</v>
      </c>
      <c r="F264" s="35">
        <v>7.2000000000000028</v>
      </c>
      <c r="G264" s="36">
        <v>66801.68299999999</v>
      </c>
      <c r="H264" s="37">
        <v>129796.6286</v>
      </c>
      <c r="I264" s="37">
        <v>11351.025000000001</v>
      </c>
      <c r="J264" s="38">
        <v>207949.33659999998</v>
      </c>
      <c r="K264" s="36">
        <v>14075.271000000001</v>
      </c>
      <c r="L264" s="37">
        <v>46664.243949999996</v>
      </c>
      <c r="M264" s="37">
        <v>9194.6905999999999</v>
      </c>
      <c r="N264" s="38">
        <v>69934.205549999999</v>
      </c>
      <c r="O264" s="39">
        <v>277883.54214999999</v>
      </c>
    </row>
    <row r="265" spans="1:15">
      <c r="A265" s="31">
        <v>6616</v>
      </c>
      <c r="B265" s="32" t="s">
        <v>2779</v>
      </c>
      <c r="C265" s="31" t="s">
        <v>2780</v>
      </c>
      <c r="D265" s="34" t="s">
        <v>3105</v>
      </c>
      <c r="E265" s="1" t="s">
        <v>3106</v>
      </c>
      <c r="F265" s="35">
        <v>16.7</v>
      </c>
      <c r="G265" s="36">
        <v>94009462.927999988</v>
      </c>
      <c r="H265" s="37">
        <v>97852315.351350009</v>
      </c>
      <c r="I265" s="37">
        <v>13594314.787935</v>
      </c>
      <c r="J265" s="38">
        <v>205456093.06728497</v>
      </c>
      <c r="K265" s="36">
        <v>148139329.49599999</v>
      </c>
      <c r="L265" s="37">
        <v>97340842.905200019</v>
      </c>
      <c r="M265" s="37">
        <v>13431879.700964998</v>
      </c>
      <c r="N265" s="38">
        <v>258912052.10216498</v>
      </c>
      <c r="O265" s="39">
        <v>464368145.16944993</v>
      </c>
    </row>
    <row r="266" spans="1:15">
      <c r="A266" s="31">
        <v>6510</v>
      </c>
      <c r="B266" s="32" t="s">
        <v>1870</v>
      </c>
      <c r="C266" s="31" t="s">
        <v>2780</v>
      </c>
      <c r="D266" s="34" t="s">
        <v>3107</v>
      </c>
      <c r="E266" s="1" t="s">
        <v>3108</v>
      </c>
      <c r="F266" s="35">
        <v>3.5</v>
      </c>
      <c r="G266" s="36">
        <v>731582.53299999994</v>
      </c>
      <c r="H266" s="37">
        <v>5253731.2311000004</v>
      </c>
      <c r="I266" s="37">
        <v>404202.97749999998</v>
      </c>
      <c r="J266" s="38">
        <v>6389516.7416000003</v>
      </c>
      <c r="K266" s="36">
        <v>1654701.118</v>
      </c>
      <c r="L266" s="37">
        <v>4838478.9048500005</v>
      </c>
      <c r="M266" s="37">
        <v>346831.87600000005</v>
      </c>
      <c r="N266" s="38">
        <v>6840011.8988500005</v>
      </c>
      <c r="O266" s="39">
        <v>13229528.640450001</v>
      </c>
    </row>
    <row r="267" spans="1:15">
      <c r="A267" s="31">
        <v>6510</v>
      </c>
      <c r="B267" s="32" t="s">
        <v>1870</v>
      </c>
      <c r="C267" s="31" t="s">
        <v>2780</v>
      </c>
      <c r="D267" s="34" t="s">
        <v>3107</v>
      </c>
      <c r="E267" s="1" t="s">
        <v>3109</v>
      </c>
      <c r="F267" s="35">
        <v>6.8999999999999995</v>
      </c>
      <c r="G267" s="36">
        <v>304176.11599999998</v>
      </c>
      <c r="H267" s="37">
        <v>2083342.5406999998</v>
      </c>
      <c r="I267" s="37">
        <v>171602.76149999999</v>
      </c>
      <c r="J267" s="38">
        <v>2559121.4181999997</v>
      </c>
      <c r="K267" s="36">
        <v>650325.10600000003</v>
      </c>
      <c r="L267" s="37">
        <v>1903530.3533000003</v>
      </c>
      <c r="M267" s="37">
        <v>154896.372</v>
      </c>
      <c r="N267" s="38">
        <v>2708751.8313000002</v>
      </c>
      <c r="O267" s="39">
        <v>5267873.2494999999</v>
      </c>
    </row>
    <row r="268" spans="1:15">
      <c r="A268" s="31">
        <v>6008</v>
      </c>
      <c r="B268" s="32" t="s">
        <v>1928</v>
      </c>
      <c r="C268" s="31" t="s">
        <v>2780</v>
      </c>
      <c r="D268" s="34" t="s">
        <v>3110</v>
      </c>
      <c r="E268" s="1" t="s">
        <v>3111</v>
      </c>
      <c r="F268" s="35">
        <v>4.9000000000000004</v>
      </c>
      <c r="G268" s="36">
        <v>7989821.4750000006</v>
      </c>
      <c r="H268" s="37">
        <v>21070232.759150002</v>
      </c>
      <c r="I268" s="37">
        <v>3427101.4195999997</v>
      </c>
      <c r="J268" s="38">
        <v>32487155.653750002</v>
      </c>
      <c r="K268" s="36">
        <v>18634066.549000002</v>
      </c>
      <c r="L268" s="37">
        <v>14311930.201650001</v>
      </c>
      <c r="M268" s="37">
        <v>2559648.7617500001</v>
      </c>
      <c r="N268" s="38">
        <v>35505645.512400001</v>
      </c>
      <c r="O268" s="39">
        <v>67992801.166150004</v>
      </c>
    </row>
    <row r="269" spans="1:15">
      <c r="A269" s="31">
        <v>6008</v>
      </c>
      <c r="B269" s="32" t="s">
        <v>1928</v>
      </c>
      <c r="C269" s="31" t="s">
        <v>2780</v>
      </c>
      <c r="D269" s="34" t="s">
        <v>3110</v>
      </c>
      <c r="E269" s="1" t="s">
        <v>3112</v>
      </c>
      <c r="F269" s="35">
        <v>0.69999999999999929</v>
      </c>
      <c r="G269" s="36">
        <v>2569956.7000000002</v>
      </c>
      <c r="H269" s="37">
        <v>2115859.2970000003</v>
      </c>
      <c r="I269" s="37">
        <v>306589.76799999998</v>
      </c>
      <c r="J269" s="38">
        <v>4992405.7650000006</v>
      </c>
      <c r="K269" s="36">
        <v>2143042.4159999997</v>
      </c>
      <c r="L269" s="37">
        <v>1908971.7771999999</v>
      </c>
      <c r="M269" s="37">
        <v>321309.18859999999</v>
      </c>
      <c r="N269" s="38">
        <v>4373323.3817999996</v>
      </c>
      <c r="O269" s="39">
        <v>9365729.1468000002</v>
      </c>
    </row>
    <row r="270" spans="1:15">
      <c r="A270" s="31">
        <v>6008</v>
      </c>
      <c r="B270" s="32" t="s">
        <v>1928</v>
      </c>
      <c r="C270" s="31" t="s">
        <v>2780</v>
      </c>
      <c r="D270" s="34" t="s">
        <v>3110</v>
      </c>
      <c r="E270" s="1" t="s">
        <v>3113</v>
      </c>
      <c r="F270" s="35">
        <v>3.5999999999999996</v>
      </c>
      <c r="G270" s="36">
        <v>5020751.6440000003</v>
      </c>
      <c r="H270" s="37">
        <v>6310079.8520499999</v>
      </c>
      <c r="I270" s="37">
        <v>772852.90720000002</v>
      </c>
      <c r="J270" s="38">
        <v>12103684.40325</v>
      </c>
      <c r="K270" s="36">
        <v>2191058.0640000002</v>
      </c>
      <c r="L270" s="37">
        <v>6421598.3906999994</v>
      </c>
      <c r="M270" s="37">
        <v>819035.75985000003</v>
      </c>
      <c r="N270" s="38">
        <v>9431692.2145499997</v>
      </c>
      <c r="O270" s="39">
        <v>21535376.617799997</v>
      </c>
    </row>
    <row r="271" spans="1:15">
      <c r="A271" s="31">
        <v>6229</v>
      </c>
      <c r="B271" s="32" t="s">
        <v>2002</v>
      </c>
      <c r="C271" s="31" t="s">
        <v>2780</v>
      </c>
      <c r="D271" s="34" t="s">
        <v>3114</v>
      </c>
      <c r="E271" s="1" t="s">
        <v>3115</v>
      </c>
      <c r="F271" s="35">
        <v>95</v>
      </c>
      <c r="G271" s="36">
        <v>920623688.34800005</v>
      </c>
      <c r="H271" s="37">
        <v>276947385.05554992</v>
      </c>
      <c r="I271" s="37">
        <v>41846313.358625002</v>
      </c>
      <c r="J271" s="38">
        <v>1239417386.7621748</v>
      </c>
      <c r="K271" s="36">
        <v>44346403.061999992</v>
      </c>
      <c r="L271" s="37">
        <v>181814525.53299993</v>
      </c>
      <c r="M271" s="37">
        <v>28911561.920499995</v>
      </c>
      <c r="N271" s="38">
        <v>255072490.51549989</v>
      </c>
      <c r="O271" s="39">
        <v>1494489877.2776747</v>
      </c>
    </row>
    <row r="272" spans="1:15">
      <c r="A272" s="31">
        <v>6375</v>
      </c>
      <c r="B272" s="32" t="s">
        <v>1853</v>
      </c>
      <c r="C272" s="31" t="s">
        <v>2780</v>
      </c>
      <c r="D272" s="34" t="s">
        <v>1849</v>
      </c>
      <c r="E272" s="1" t="s">
        <v>3116</v>
      </c>
      <c r="F272" s="35">
        <v>84.1</v>
      </c>
      <c r="G272" s="36">
        <v>848460414.54200006</v>
      </c>
      <c r="H272" s="37">
        <v>652531422.43099999</v>
      </c>
      <c r="I272" s="37">
        <v>62910723.238825992</v>
      </c>
      <c r="J272" s="38">
        <v>1563902560.2118261</v>
      </c>
      <c r="K272" s="36">
        <v>814988819.36500001</v>
      </c>
      <c r="L272" s="37">
        <v>576459500.12325001</v>
      </c>
      <c r="M272" s="37">
        <v>60434312.752356</v>
      </c>
      <c r="N272" s="38">
        <v>1451882632.2406061</v>
      </c>
      <c r="O272" s="39">
        <v>3015785192.4524322</v>
      </c>
    </row>
    <row r="273" spans="1:15">
      <c r="A273" s="31">
        <v>6375</v>
      </c>
      <c r="B273" s="32" t="s">
        <v>1853</v>
      </c>
      <c r="C273" s="31" t="s">
        <v>2780</v>
      </c>
      <c r="D273" s="34" t="s">
        <v>1849</v>
      </c>
      <c r="E273" s="1" t="s">
        <v>3117</v>
      </c>
      <c r="F273" s="35">
        <v>53.400000000000006</v>
      </c>
      <c r="G273" s="36">
        <v>514728110.2700001</v>
      </c>
      <c r="H273" s="37">
        <v>408861802.42619997</v>
      </c>
      <c r="I273" s="37">
        <v>39051384.360344999</v>
      </c>
      <c r="J273" s="38">
        <v>962641297.05654514</v>
      </c>
      <c r="K273" s="36">
        <v>542554482.329</v>
      </c>
      <c r="L273" s="37">
        <v>359217404.94905007</v>
      </c>
      <c r="M273" s="37">
        <v>37143504.746070005</v>
      </c>
      <c r="N273" s="38">
        <v>938915392.02412009</v>
      </c>
      <c r="O273" s="39">
        <v>1901556689.0806651</v>
      </c>
    </row>
    <row r="274" spans="1:15">
      <c r="A274" s="31">
        <v>6375</v>
      </c>
      <c r="B274" s="32" t="s">
        <v>1853</v>
      </c>
      <c r="C274" s="31" t="s">
        <v>2780</v>
      </c>
      <c r="D274" s="34" t="s">
        <v>1849</v>
      </c>
      <c r="E274" s="1" t="s">
        <v>3118</v>
      </c>
      <c r="F274" s="35">
        <v>20.5</v>
      </c>
      <c r="G274" s="36">
        <v>215672976.71900001</v>
      </c>
      <c r="H274" s="37">
        <v>173235329.23835003</v>
      </c>
      <c r="I274" s="37">
        <v>16351509.755259998</v>
      </c>
      <c r="J274" s="38">
        <v>405259815.71261001</v>
      </c>
      <c r="K274" s="36">
        <v>225651167.38800001</v>
      </c>
      <c r="L274" s="37">
        <v>147485548.50529999</v>
      </c>
      <c r="M274" s="37">
        <v>14744151.169909999</v>
      </c>
      <c r="N274" s="38">
        <v>387880867.06321001</v>
      </c>
      <c r="O274" s="39">
        <v>793140682.77582002</v>
      </c>
    </row>
    <row r="275" spans="1:15">
      <c r="A275" s="31">
        <v>6413</v>
      </c>
      <c r="B275" s="32" t="s">
        <v>1870</v>
      </c>
      <c r="C275" s="31" t="s">
        <v>2780</v>
      </c>
      <c r="D275" s="34" t="s">
        <v>3119</v>
      </c>
      <c r="E275" s="1" t="s">
        <v>3120</v>
      </c>
      <c r="F275" s="35">
        <v>82</v>
      </c>
      <c r="G275" s="36">
        <v>561282904.08599997</v>
      </c>
      <c r="H275" s="37">
        <v>472631256.38489997</v>
      </c>
      <c r="I275" s="37">
        <v>79021559.413760006</v>
      </c>
      <c r="J275" s="38">
        <v>1112935719.88466</v>
      </c>
      <c r="K275" s="36">
        <v>878233079.75600004</v>
      </c>
      <c r="L275" s="37">
        <v>554729939.26885009</v>
      </c>
      <c r="M275" s="37">
        <v>83300414.820304006</v>
      </c>
      <c r="N275" s="38">
        <v>1516263433.845154</v>
      </c>
      <c r="O275" s="39">
        <v>2629199153.7298141</v>
      </c>
    </row>
    <row r="276" spans="1:15">
      <c r="A276" s="31">
        <v>6413</v>
      </c>
      <c r="B276" s="32" t="s">
        <v>1870</v>
      </c>
      <c r="C276" s="31" t="s">
        <v>2780</v>
      </c>
      <c r="D276" s="34" t="s">
        <v>3119</v>
      </c>
      <c r="E276" s="1" t="s">
        <v>3121</v>
      </c>
      <c r="F276" s="35">
        <v>47.900000000000006</v>
      </c>
      <c r="G276" s="36">
        <v>327778938.54299998</v>
      </c>
      <c r="H276" s="37">
        <v>276012971.79645002</v>
      </c>
      <c r="I276" s="37">
        <v>46136979.587449998</v>
      </c>
      <c r="J276" s="38">
        <v>649928889.92690003</v>
      </c>
      <c r="K276" s="36">
        <v>512980211.61199999</v>
      </c>
      <c r="L276" s="37">
        <v>324026122.34990001</v>
      </c>
      <c r="M276" s="37">
        <v>48644948.853704996</v>
      </c>
      <c r="N276" s="38">
        <v>885651282.81560504</v>
      </c>
      <c r="O276" s="39">
        <v>1535580172.7425051</v>
      </c>
    </row>
    <row r="277" spans="1:15">
      <c r="A277" s="31">
        <v>6361</v>
      </c>
      <c r="B277" s="32" t="s">
        <v>1853</v>
      </c>
      <c r="C277" s="31" t="s">
        <v>2780</v>
      </c>
      <c r="D277" s="34" t="s">
        <v>3122</v>
      </c>
      <c r="E277" s="1" t="s">
        <v>3123</v>
      </c>
      <c r="F277" s="35">
        <v>9.1</v>
      </c>
      <c r="G277" s="36">
        <v>49677626.708000004</v>
      </c>
      <c r="H277" s="37">
        <v>32454579.890450001</v>
      </c>
      <c r="I277" s="37">
        <v>3925122.3880500002</v>
      </c>
      <c r="J277" s="38">
        <v>86057328.98650001</v>
      </c>
      <c r="K277" s="36">
        <v>35336616.655000001</v>
      </c>
      <c r="L277" s="37">
        <v>23178548.917199999</v>
      </c>
      <c r="M277" s="37">
        <v>2819639.1396750002</v>
      </c>
      <c r="N277" s="38">
        <v>61334804.711874999</v>
      </c>
      <c r="O277" s="39">
        <v>147392133.69837502</v>
      </c>
    </row>
    <row r="278" spans="1:15">
      <c r="A278" s="31">
        <v>6361</v>
      </c>
      <c r="B278" s="32" t="s">
        <v>1853</v>
      </c>
      <c r="C278" s="31" t="s">
        <v>2780</v>
      </c>
      <c r="D278" s="34" t="s">
        <v>3122</v>
      </c>
      <c r="E278" s="1" t="s">
        <v>3124</v>
      </c>
      <c r="F278" s="35">
        <v>7.4</v>
      </c>
      <c r="G278" s="36">
        <v>55284421.178999998</v>
      </c>
      <c r="H278" s="37">
        <v>32271305.358499996</v>
      </c>
      <c r="I278" s="37">
        <v>4243965.9123</v>
      </c>
      <c r="J278" s="38">
        <v>91799692.4498</v>
      </c>
      <c r="K278" s="36">
        <v>38993777.597000003</v>
      </c>
      <c r="L278" s="37">
        <v>24834319.9003</v>
      </c>
      <c r="M278" s="37">
        <v>3173041.7728000004</v>
      </c>
      <c r="N278" s="38">
        <v>67001139.270099998</v>
      </c>
      <c r="O278" s="39">
        <v>158800831.71990001</v>
      </c>
    </row>
    <row r="279" spans="1:15">
      <c r="A279" s="31">
        <v>6361</v>
      </c>
      <c r="B279" s="32" t="s">
        <v>1853</v>
      </c>
      <c r="C279" s="31" t="s">
        <v>2780</v>
      </c>
      <c r="D279" s="34" t="s">
        <v>3122</v>
      </c>
      <c r="E279" s="1" t="s">
        <v>3125</v>
      </c>
      <c r="F279" s="35">
        <v>83.1</v>
      </c>
      <c r="G279" s="36">
        <v>610723545.43999994</v>
      </c>
      <c r="H279" s="37">
        <v>314330464.7993499</v>
      </c>
      <c r="I279" s="37">
        <v>39101370.258374996</v>
      </c>
      <c r="J279" s="38">
        <v>964155380.49772489</v>
      </c>
      <c r="K279" s="36">
        <v>317217300.15399998</v>
      </c>
      <c r="L279" s="37">
        <v>231636042.56224996</v>
      </c>
      <c r="M279" s="37">
        <v>28508852.390374996</v>
      </c>
      <c r="N279" s="38">
        <v>577362195.10662496</v>
      </c>
      <c r="O279" s="39">
        <v>1541517575.6043499</v>
      </c>
    </row>
    <row r="280" spans="1:15">
      <c r="A280" s="31">
        <v>4043</v>
      </c>
      <c r="B280" s="32" t="s">
        <v>1853</v>
      </c>
      <c r="C280" s="31" t="s">
        <v>2780</v>
      </c>
      <c r="D280" s="34" t="s">
        <v>3126</v>
      </c>
      <c r="E280" s="1" t="s">
        <v>3127</v>
      </c>
      <c r="F280" s="35">
        <v>2.1999999999999997</v>
      </c>
      <c r="G280" s="36">
        <v>3039219.4979999997</v>
      </c>
      <c r="H280" s="37">
        <v>773537.4682</v>
      </c>
      <c r="I280" s="37">
        <v>43982.452875000003</v>
      </c>
      <c r="J280" s="38">
        <v>3856739.4190749996</v>
      </c>
      <c r="K280" s="36">
        <v>58713.137999999999</v>
      </c>
      <c r="L280" s="37">
        <v>902457.64840000006</v>
      </c>
      <c r="M280" s="37">
        <v>45356.094624999998</v>
      </c>
      <c r="N280" s="38">
        <v>1006526.8810250001</v>
      </c>
      <c r="O280" s="39">
        <v>4863266.3000999996</v>
      </c>
    </row>
    <row r="281" spans="1:15">
      <c r="A281" s="31">
        <v>6230</v>
      </c>
      <c r="B281" s="32" t="s">
        <v>2002</v>
      </c>
      <c r="C281" s="31" t="s">
        <v>2780</v>
      </c>
      <c r="D281" s="34" t="s">
        <v>3128</v>
      </c>
      <c r="E281" s="1" t="s">
        <v>3129</v>
      </c>
      <c r="F281" s="35">
        <v>9.5</v>
      </c>
      <c r="G281" s="36">
        <v>2984247.4270000001</v>
      </c>
      <c r="H281" s="37">
        <v>977211.62764999992</v>
      </c>
      <c r="I281" s="37">
        <v>142406.11050000001</v>
      </c>
      <c r="J281" s="38">
        <v>4103865.1651500002</v>
      </c>
      <c r="K281" s="36">
        <v>1131021.004</v>
      </c>
      <c r="L281" s="37">
        <v>1641002.7448499999</v>
      </c>
      <c r="M281" s="37">
        <v>250240.6715</v>
      </c>
      <c r="N281" s="38">
        <v>3022264.4203500003</v>
      </c>
      <c r="O281" s="39">
        <v>7126129.5855</v>
      </c>
    </row>
    <row r="282" spans="1:15">
      <c r="A282" s="31">
        <v>6513</v>
      </c>
      <c r="B282" s="32" t="s">
        <v>2779</v>
      </c>
      <c r="C282" s="31" t="s">
        <v>2780</v>
      </c>
      <c r="D282" s="34" t="s">
        <v>3130</v>
      </c>
      <c r="E282" s="1" t="s">
        <v>3131</v>
      </c>
      <c r="F282" s="35">
        <v>23.1</v>
      </c>
      <c r="G282" s="36">
        <v>122066383.48400001</v>
      </c>
      <c r="H282" s="37">
        <v>131574426.35090001</v>
      </c>
      <c r="I282" s="37">
        <v>18021844.115619998</v>
      </c>
      <c r="J282" s="38">
        <v>271662653.95052004</v>
      </c>
      <c r="K282" s="36">
        <v>204705280.838</v>
      </c>
      <c r="L282" s="37">
        <v>131146394.89889999</v>
      </c>
      <c r="M282" s="37">
        <v>17813790.478749998</v>
      </c>
      <c r="N282" s="38">
        <v>353665466.21564996</v>
      </c>
      <c r="O282" s="39">
        <v>625328120.16617</v>
      </c>
    </row>
    <row r="283" spans="1:15">
      <c r="A283" s="31">
        <v>6513</v>
      </c>
      <c r="B283" s="32" t="s">
        <v>1870</v>
      </c>
      <c r="C283" s="31" t="s">
        <v>2780</v>
      </c>
      <c r="D283" s="34" t="s">
        <v>3130</v>
      </c>
      <c r="E283" s="1" t="s">
        <v>3132</v>
      </c>
      <c r="F283" s="35">
        <v>61.2</v>
      </c>
      <c r="G283" s="36">
        <v>328282133.73200005</v>
      </c>
      <c r="H283" s="37">
        <v>355140465.58759999</v>
      </c>
      <c r="I283" s="37">
        <v>49289396.907949999</v>
      </c>
      <c r="J283" s="38">
        <v>732711996.22755015</v>
      </c>
      <c r="K283" s="36">
        <v>552592580.47899997</v>
      </c>
      <c r="L283" s="37">
        <v>354152661.34794998</v>
      </c>
      <c r="M283" s="37">
        <v>48501387.699125007</v>
      </c>
      <c r="N283" s="38">
        <v>955246629.52607501</v>
      </c>
      <c r="O283" s="39">
        <v>1687958625.7536252</v>
      </c>
    </row>
    <row r="284" spans="1:15">
      <c r="A284" s="31">
        <v>6513</v>
      </c>
      <c r="B284" s="32" t="s">
        <v>1870</v>
      </c>
      <c r="C284" s="31" t="s">
        <v>2780</v>
      </c>
      <c r="D284" s="34" t="s">
        <v>3130</v>
      </c>
      <c r="E284" s="1" t="s">
        <v>3133</v>
      </c>
      <c r="F284" s="35">
        <v>20.599999999999994</v>
      </c>
      <c r="G284" s="36">
        <v>108379253.039</v>
      </c>
      <c r="H284" s="37">
        <v>117919404.43880001</v>
      </c>
      <c r="I284" s="37">
        <v>16481661.138719998</v>
      </c>
      <c r="J284" s="38">
        <v>242780318.61652002</v>
      </c>
      <c r="K284" s="36">
        <v>184775093.824</v>
      </c>
      <c r="L284" s="37">
        <v>118096420.91175</v>
      </c>
      <c r="M284" s="37">
        <v>16437346.845999999</v>
      </c>
      <c r="N284" s="38">
        <v>319308861.58175004</v>
      </c>
      <c r="O284" s="39">
        <v>562089180.19827008</v>
      </c>
    </row>
    <row r="285" spans="1:15">
      <c r="A285" s="31">
        <v>6104</v>
      </c>
      <c r="B285" s="32" t="s">
        <v>1928</v>
      </c>
      <c r="C285" s="31" t="s">
        <v>2780</v>
      </c>
      <c r="D285" s="34" t="s">
        <v>2079</v>
      </c>
      <c r="E285" s="1" t="s">
        <v>3134</v>
      </c>
      <c r="F285" s="35">
        <v>144.80000000000001</v>
      </c>
      <c r="G285" s="36">
        <v>3963689351.0910001</v>
      </c>
      <c r="H285" s="37">
        <v>765241991.41055012</v>
      </c>
      <c r="I285" s="37">
        <v>173714326.86000001</v>
      </c>
      <c r="J285" s="38">
        <v>4902645669.3615503</v>
      </c>
      <c r="K285" s="36">
        <v>46697943.982999995</v>
      </c>
      <c r="L285" s="37">
        <v>769248441.68714988</v>
      </c>
      <c r="M285" s="37">
        <v>171166172.42899999</v>
      </c>
      <c r="N285" s="38">
        <v>987112558.09914994</v>
      </c>
      <c r="O285" s="39">
        <v>5889758227.4607</v>
      </c>
    </row>
    <row r="286" spans="1:15">
      <c r="A286" s="31">
        <v>6508</v>
      </c>
      <c r="B286" s="32" t="s">
        <v>1870</v>
      </c>
      <c r="C286" s="31" t="s">
        <v>2780</v>
      </c>
      <c r="D286" s="34" t="s">
        <v>3135</v>
      </c>
      <c r="E286" s="1" t="s">
        <v>3136</v>
      </c>
      <c r="F286" s="35">
        <v>11.7</v>
      </c>
      <c r="G286" s="36">
        <v>43368280.397</v>
      </c>
      <c r="H286" s="37">
        <v>62910086.766499996</v>
      </c>
      <c r="I286" s="37">
        <v>6732773.4588750005</v>
      </c>
      <c r="J286" s="38">
        <v>113011140.622375</v>
      </c>
      <c r="K286" s="36">
        <v>48107789.400000006</v>
      </c>
      <c r="L286" s="37">
        <v>56411590.878249995</v>
      </c>
      <c r="M286" s="37">
        <v>5868735.8617499992</v>
      </c>
      <c r="N286" s="38">
        <v>110388116.14000002</v>
      </c>
      <c r="O286" s="39">
        <v>223399256.762375</v>
      </c>
    </row>
    <row r="287" spans="1:15">
      <c r="A287" s="31">
        <v>6508</v>
      </c>
      <c r="B287" s="32" t="s">
        <v>1870</v>
      </c>
      <c r="C287" s="31" t="s">
        <v>2780</v>
      </c>
      <c r="D287" s="34" t="s">
        <v>3135</v>
      </c>
      <c r="E287" s="1" t="s">
        <v>3137</v>
      </c>
      <c r="F287" s="35">
        <v>51.900000000000006</v>
      </c>
      <c r="G287" s="36">
        <v>192889332.11300001</v>
      </c>
      <c r="H287" s="37">
        <v>280300176.29100001</v>
      </c>
      <c r="I287" s="37">
        <v>29813166.835074995</v>
      </c>
      <c r="J287" s="38">
        <v>503002675.23907506</v>
      </c>
      <c r="K287" s="36">
        <v>213730972.67399999</v>
      </c>
      <c r="L287" s="37">
        <v>251044482.48100001</v>
      </c>
      <c r="M287" s="37">
        <v>26043634.537050001</v>
      </c>
      <c r="N287" s="38">
        <v>490819089.69204998</v>
      </c>
      <c r="O287" s="39">
        <v>993821764.93112504</v>
      </c>
    </row>
    <row r="288" spans="1:15">
      <c r="A288" s="31">
        <v>6508</v>
      </c>
      <c r="B288" s="32" t="s">
        <v>1870</v>
      </c>
      <c r="C288" s="31" t="s">
        <v>2780</v>
      </c>
      <c r="D288" s="34" t="s">
        <v>3135</v>
      </c>
      <c r="E288" s="1" t="s">
        <v>3138</v>
      </c>
      <c r="F288" s="35">
        <v>48.1</v>
      </c>
      <c r="G288" s="36">
        <v>178715623.50600001</v>
      </c>
      <c r="H288" s="37">
        <v>257439633.53390002</v>
      </c>
      <c r="I288" s="37">
        <v>26900922.077300008</v>
      </c>
      <c r="J288" s="38">
        <v>463056179.11720008</v>
      </c>
      <c r="K288" s="36">
        <v>194891920.60700002</v>
      </c>
      <c r="L288" s="37">
        <v>231316697.96130005</v>
      </c>
      <c r="M288" s="37">
        <v>23291389.584699996</v>
      </c>
      <c r="N288" s="38">
        <v>449500008.15300006</v>
      </c>
      <c r="O288" s="39">
        <v>912556187.27020013</v>
      </c>
    </row>
    <row r="289" spans="1:15">
      <c r="A289" s="31">
        <v>6508</v>
      </c>
      <c r="B289" s="32" t="s">
        <v>1870</v>
      </c>
      <c r="C289" s="31" t="s">
        <v>2780</v>
      </c>
      <c r="D289" s="34" t="s">
        <v>3135</v>
      </c>
      <c r="E289" s="10" t="s">
        <v>3139</v>
      </c>
      <c r="F289" s="35">
        <v>9.3999999999999915</v>
      </c>
      <c r="G289" s="36">
        <v>18403759.366</v>
      </c>
      <c r="H289" s="37">
        <v>26523880.5427</v>
      </c>
      <c r="I289" s="37">
        <v>3419476.3267000001</v>
      </c>
      <c r="J289" s="38">
        <v>48347116.235400006</v>
      </c>
      <c r="K289" s="36">
        <v>19763104.877</v>
      </c>
      <c r="L289" s="37">
        <v>24659268.933399998</v>
      </c>
      <c r="M289" s="37">
        <v>3257437.0656000003</v>
      </c>
      <c r="N289" s="38">
        <v>47679810.875999995</v>
      </c>
      <c r="O289" s="39">
        <v>96026927.111400008</v>
      </c>
    </row>
    <row r="290" spans="1:15">
      <c r="A290" s="31">
        <v>6313</v>
      </c>
      <c r="B290" s="32" t="s">
        <v>1831</v>
      </c>
      <c r="C290" s="31" t="s">
        <v>2780</v>
      </c>
      <c r="D290" s="34" t="s">
        <v>3140</v>
      </c>
      <c r="E290" s="1" t="s">
        <v>3141</v>
      </c>
      <c r="F290" s="35">
        <v>21</v>
      </c>
      <c r="G290" s="36">
        <v>3213116.324</v>
      </c>
      <c r="H290" s="37">
        <v>2967186.0666999999</v>
      </c>
      <c r="I290" s="37">
        <v>624023.3003</v>
      </c>
      <c r="J290" s="38">
        <v>6804325.6909999996</v>
      </c>
      <c r="K290" s="36">
        <v>1891142.014</v>
      </c>
      <c r="L290" s="37">
        <v>1401408.1339499999</v>
      </c>
      <c r="M290" s="37">
        <v>564045.25159999996</v>
      </c>
      <c r="N290" s="38">
        <v>3856595.3995500002</v>
      </c>
      <c r="O290" s="39">
        <v>10660921.09055</v>
      </c>
    </row>
    <row r="291" spans="1:15">
      <c r="A291" s="31">
        <v>6352</v>
      </c>
      <c r="B291" s="32" t="s">
        <v>1853</v>
      </c>
      <c r="C291" s="31" t="s">
        <v>2780</v>
      </c>
      <c r="D291" s="34" t="s">
        <v>3142</v>
      </c>
      <c r="E291" s="1" t="s">
        <v>3143</v>
      </c>
      <c r="F291" s="35">
        <v>73.8</v>
      </c>
      <c r="G291" s="36">
        <v>291944286.09899998</v>
      </c>
      <c r="H291" s="37">
        <v>244543533.14340001</v>
      </c>
      <c r="I291" s="37">
        <v>32085255.073775008</v>
      </c>
      <c r="J291" s="38">
        <v>568573074.31617498</v>
      </c>
      <c r="K291" s="36">
        <v>360458391.30599993</v>
      </c>
      <c r="L291" s="37">
        <v>234566526.21700001</v>
      </c>
      <c r="M291" s="37">
        <v>28436298.539775006</v>
      </c>
      <c r="N291" s="38">
        <v>623461216.06277502</v>
      </c>
      <c r="O291" s="39">
        <v>1192034290.3789501</v>
      </c>
    </row>
    <row r="292" spans="1:15">
      <c r="A292" s="31">
        <v>6352</v>
      </c>
      <c r="B292" s="32" t="s">
        <v>1853</v>
      </c>
      <c r="C292" s="31" t="s">
        <v>2780</v>
      </c>
      <c r="D292" s="34" t="s">
        <v>3142</v>
      </c>
      <c r="E292" s="1" t="s">
        <v>3144</v>
      </c>
      <c r="F292" s="35">
        <v>40</v>
      </c>
      <c r="G292" s="36">
        <v>216331980.19799998</v>
      </c>
      <c r="H292" s="37">
        <v>146679706.62889999</v>
      </c>
      <c r="I292" s="37">
        <v>19392178.862524997</v>
      </c>
      <c r="J292" s="38">
        <v>382403865.68942499</v>
      </c>
      <c r="K292" s="36">
        <v>187365054.78000003</v>
      </c>
      <c r="L292" s="37">
        <v>140789723.18760002</v>
      </c>
      <c r="M292" s="37">
        <v>17602366.050650001</v>
      </c>
      <c r="N292" s="38">
        <v>345757144.01825005</v>
      </c>
      <c r="O292" s="39">
        <v>728161009.70767498</v>
      </c>
    </row>
    <row r="293" spans="1:15" ht="15.95" thickBot="1">
      <c r="A293" s="31">
        <v>6374</v>
      </c>
      <c r="B293" s="32" t="s">
        <v>1853</v>
      </c>
      <c r="C293" s="42" t="s">
        <v>2780</v>
      </c>
      <c r="D293" s="34" t="s">
        <v>3145</v>
      </c>
      <c r="E293" s="1" t="s">
        <v>3146</v>
      </c>
      <c r="F293" s="35">
        <v>14</v>
      </c>
      <c r="G293" s="36">
        <v>62825464.232999995</v>
      </c>
      <c r="H293" s="37">
        <v>17760077.570099998</v>
      </c>
      <c r="I293" s="37">
        <v>5367166.8034150004</v>
      </c>
      <c r="J293" s="38">
        <v>85952708.60651499</v>
      </c>
      <c r="K293" s="36">
        <v>554609.19999999995</v>
      </c>
      <c r="L293" s="37">
        <v>773021.09849999996</v>
      </c>
      <c r="M293" s="37">
        <v>4944727.7033750005</v>
      </c>
      <c r="N293" s="38">
        <v>6272358.0018750001</v>
      </c>
      <c r="O293" s="39">
        <v>92225066.608389989</v>
      </c>
    </row>
    <row r="294" spans="1:15">
      <c r="A294" s="12"/>
      <c r="B294" s="43"/>
      <c r="C294" s="43"/>
      <c r="D294" s="44"/>
      <c r="E294" s="45"/>
      <c r="F294" s="46"/>
      <c r="G294" s="47"/>
      <c r="H294" s="48"/>
      <c r="I294" s="48"/>
      <c r="J294" s="49"/>
      <c r="K294" s="47"/>
      <c r="L294" s="48"/>
      <c r="M294" s="48"/>
      <c r="N294" s="49"/>
      <c r="O294" s="13"/>
    </row>
    <row r="295" spans="1:15">
      <c r="A295" s="50"/>
      <c r="B295" s="10" t="s">
        <v>3147</v>
      </c>
      <c r="E295" s="34"/>
      <c r="F295" s="51">
        <v>7794.5000000000027</v>
      </c>
      <c r="G295" s="52">
        <v>74452525269.023956</v>
      </c>
      <c r="H295" s="53">
        <v>41330826256.828781</v>
      </c>
      <c r="I295" s="53">
        <v>6393099943.5669584</v>
      </c>
      <c r="J295" s="53">
        <v>122176451469.41966</v>
      </c>
      <c r="K295" s="52">
        <v>52948554404.236992</v>
      </c>
      <c r="L295" s="53">
        <v>43086808509.187866</v>
      </c>
      <c r="M295" s="53">
        <v>6531953779.4600124</v>
      </c>
      <c r="N295" s="54">
        <v>102567316692.88489</v>
      </c>
      <c r="O295" s="55">
        <v>224743768162.3046</v>
      </c>
    </row>
    <row r="296" spans="1:15" ht="15.95" thickBot="1">
      <c r="A296" s="56"/>
      <c r="B296" s="57"/>
      <c r="C296" s="57"/>
      <c r="D296" s="58"/>
      <c r="E296" s="59"/>
      <c r="F296" s="60"/>
      <c r="G296" s="61"/>
      <c r="H296" s="62"/>
      <c r="I296" s="62"/>
      <c r="J296" s="63"/>
      <c r="K296" s="61"/>
      <c r="L296" s="62"/>
      <c r="M296" s="62"/>
      <c r="N296" s="63"/>
      <c r="O296" s="64"/>
    </row>
    <row r="297" spans="1:15" ht="15.95" thickBot="1">
      <c r="F297" s="65"/>
      <c r="O297" s="66"/>
    </row>
    <row r="298" spans="1:15" ht="21" thickBot="1">
      <c r="E298" s="67" t="s">
        <v>3148</v>
      </c>
      <c r="F298" s="68"/>
      <c r="G298" s="69"/>
      <c r="H298" s="69"/>
      <c r="I298" s="69"/>
      <c r="J298" s="69"/>
      <c r="K298" s="69"/>
      <c r="L298" s="69"/>
      <c r="M298" s="69"/>
      <c r="N298" s="69"/>
      <c r="O298" s="70"/>
    </row>
    <row r="299" spans="1:15" ht="19.149999999999999" customHeight="1" thickBot="1">
      <c r="E299" s="13"/>
      <c r="F299" s="71"/>
      <c r="G299" s="413" t="s">
        <v>2766</v>
      </c>
      <c r="H299" s="414"/>
      <c r="I299" s="414"/>
      <c r="J299" s="414"/>
      <c r="K299" s="414"/>
      <c r="L299" s="414"/>
      <c r="M299" s="414"/>
      <c r="N299" s="414"/>
      <c r="O299" s="415"/>
    </row>
    <row r="300" spans="1:15" ht="15.95" thickBot="1">
      <c r="E300" s="17" t="s">
        <v>2755</v>
      </c>
      <c r="F300" s="72" t="s">
        <v>2770</v>
      </c>
      <c r="G300" s="73" t="s">
        <v>2771</v>
      </c>
      <c r="H300" s="74"/>
      <c r="I300" s="74"/>
      <c r="J300" s="75"/>
      <c r="K300" s="73" t="s">
        <v>2772</v>
      </c>
      <c r="L300" s="74"/>
      <c r="M300" s="74"/>
      <c r="N300" s="75"/>
      <c r="O300" s="76" t="s">
        <v>2773</v>
      </c>
    </row>
    <row r="301" spans="1:15" ht="15.95" thickBot="1">
      <c r="E301" s="64"/>
      <c r="F301" s="77" t="s">
        <v>2775</v>
      </c>
      <c r="G301" s="78" t="s">
        <v>2776</v>
      </c>
      <c r="H301" s="27" t="s">
        <v>2777</v>
      </c>
      <c r="I301" s="27" t="s">
        <v>2778</v>
      </c>
      <c r="J301" s="28" t="s">
        <v>2707</v>
      </c>
      <c r="K301" s="29" t="s">
        <v>2776</v>
      </c>
      <c r="L301" s="29" t="s">
        <v>2777</v>
      </c>
      <c r="M301" s="29" t="s">
        <v>2778</v>
      </c>
      <c r="N301" s="29" t="s">
        <v>2707</v>
      </c>
      <c r="O301" s="30" t="s">
        <v>2707</v>
      </c>
    </row>
    <row r="302" spans="1:15">
      <c r="E302" s="31" t="s">
        <v>1928</v>
      </c>
      <c r="F302" s="79">
        <f>SUMIF($B$23:B$293,$E302,F$23:F$293)</f>
        <v>1253.3000000000002</v>
      </c>
      <c r="G302" s="80">
        <f ca="1">SUMIF($B$23:D$293,$E302,G$23:G$293)</f>
        <v>32045982648.824001</v>
      </c>
      <c r="H302" s="80">
        <f ca="1">SUMIF($B$23:E$293,$E302,H$23:H$293)</f>
        <v>10490932358.457253</v>
      </c>
      <c r="I302" s="80">
        <f ca="1">SUMIF($B$23:F$294,$E302,I$23:I$293)</f>
        <v>1894915187.186275</v>
      </c>
      <c r="J302" s="81">
        <f ca="1">SUMIF($B$23:G$295,$E302,J$23:J$293)</f>
        <v>44431830194.467522</v>
      </c>
      <c r="K302" s="82">
        <f ca="1">SUMIF($B$23:H$295,$E302,K$23:K$293)</f>
        <v>5399709781.4159994</v>
      </c>
      <c r="L302" s="80">
        <f ca="1">SUMIF($B$23:I$295,$E302,L$23:L$293)</f>
        <v>10744631111.089849</v>
      </c>
      <c r="M302" s="80">
        <f ca="1">SUMIF($B$23:J$295,$E302,M$23:M$293)</f>
        <v>1955335077.2939</v>
      </c>
      <c r="N302" s="81">
        <f ca="1">SUMIF($B$23:K$295,$E302,N$23:N$293)</f>
        <v>18099675969.799755</v>
      </c>
      <c r="O302" s="83">
        <f t="shared" ref="O302:O312" ca="1" si="0">(+J302+N302)</f>
        <v>62531506164.267273</v>
      </c>
    </row>
    <row r="303" spans="1:15">
      <c r="E303" s="31" t="s">
        <v>2868</v>
      </c>
      <c r="F303" s="79">
        <f>SUMIF($B$23:B$293,$E303,F$23:F$293)</f>
        <v>49.599999999999994</v>
      </c>
      <c r="G303" s="66">
        <f ca="1">SUMIF($B$23:D$293,$E303,G$23:G$293)</f>
        <v>696811200.29599965</v>
      </c>
      <c r="H303" s="66">
        <f ca="1">SUMIF($B$23:E$293,$E303,H$23:H$293)</f>
        <v>249885377.61640009</v>
      </c>
      <c r="I303" s="66">
        <f ca="1">SUMIF($B$23:F$294,$E303,I$23:I$293)</f>
        <v>42147060.734500006</v>
      </c>
      <c r="J303" s="39">
        <f ca="1">SUMIF($B$23:G$295,$E303,J$23:J$293)</f>
        <v>988843638.64689982</v>
      </c>
      <c r="K303" s="84">
        <f ca="1">SUMIF($B$23:H$295,$E303,K$23:K$293)</f>
        <v>94488816.072000012</v>
      </c>
      <c r="L303" s="66">
        <f ca="1">SUMIF($B$23:I$295,$E303,L$23:L$293)</f>
        <v>243320597.17584997</v>
      </c>
      <c r="M303" s="66">
        <f ca="1">SUMIF($B$23:J$295,$E303,M$23:M$293)</f>
        <v>40901686.651875004</v>
      </c>
      <c r="N303" s="39">
        <f ca="1">SUMIF($B$23:K$295,$E303,N$23:N$293)</f>
        <v>378711099.89972502</v>
      </c>
      <c r="O303" s="55">
        <f t="shared" ca="1" si="0"/>
        <v>1367554738.5466249</v>
      </c>
    </row>
    <row r="304" spans="1:15">
      <c r="E304" s="31" t="s">
        <v>2002</v>
      </c>
      <c r="F304" s="79">
        <f>SUMIF($B$23:B$293,$E304,F$23:F$293)</f>
        <v>1240.4000000000003</v>
      </c>
      <c r="G304" s="66">
        <f ca="1">SUMIF($B$23:D$293,$E304,G$23:G$293)</f>
        <v>13514696316.242008</v>
      </c>
      <c r="H304" s="66">
        <f ca="1">SUMIF($B$23:E$293,$E304,H$23:H$293)</f>
        <v>7672744236.1532488</v>
      </c>
      <c r="I304" s="66">
        <f ca="1">SUMIF($B$23:F$294,$E304,I$23:I$293)</f>
        <v>1164513225.91799</v>
      </c>
      <c r="J304" s="39">
        <f ca="1">SUMIF($B$23:G$295,$E304,J$23:J$293)</f>
        <v>22351953778.313244</v>
      </c>
      <c r="K304" s="84">
        <f ca="1">SUMIF($B$23:H$295,$E304,K$23:K$293)</f>
        <v>9439204210.104002</v>
      </c>
      <c r="L304" s="66">
        <f ca="1">SUMIF($B$23:I$295,$E304,L$23:L$293)</f>
        <v>7863325551.6802998</v>
      </c>
      <c r="M304" s="66">
        <f ca="1">SUMIF($B$23:J$295,$E304,M$23:M$293)</f>
        <v>1196985556.51862</v>
      </c>
      <c r="N304" s="39">
        <f ca="1">SUMIF($B$23:K$295,$E304,N$23:N$293)</f>
        <v>18499515318.302917</v>
      </c>
      <c r="O304" s="55">
        <f t="shared" ca="1" si="0"/>
        <v>40851469096.616165</v>
      </c>
    </row>
    <row r="305" spans="5:15">
      <c r="E305" s="31" t="s">
        <v>2987</v>
      </c>
      <c r="F305" s="79">
        <f>SUMIF($B$23:B$293,$E305,F$23:F$293)</f>
        <v>35.500000000000014</v>
      </c>
      <c r="G305" s="66">
        <f ca="1">SUMIF($B$23:D$293,$E305,G$23:G$293)</f>
        <v>1187210769.3180001</v>
      </c>
      <c r="H305" s="66">
        <f ca="1">SUMIF($B$23:E$293,$E305,H$23:H$293)</f>
        <v>612453584.60660005</v>
      </c>
      <c r="I305" s="66">
        <f ca="1">SUMIF($B$23:F$294,$E305,I$23:I$293)</f>
        <v>77802100.820565</v>
      </c>
      <c r="J305" s="39">
        <f ca="1">SUMIF($B$23:G$295,$E305,J$23:J$293)</f>
        <v>1877466454.7451651</v>
      </c>
      <c r="K305" s="84">
        <f ca="1">SUMIF($B$23:H$295,$E305,K$23:K$293)</f>
        <v>625355259.61500001</v>
      </c>
      <c r="L305" s="66">
        <f ca="1">SUMIF($B$23:I$295,$E305,L$23:L$293)</f>
        <v>648773803.64385009</v>
      </c>
      <c r="M305" s="66">
        <f ca="1">SUMIF($B$23:J$295,$E305,M$23:M$293)</f>
        <v>81973186.120475009</v>
      </c>
      <c r="N305" s="39">
        <f ca="1">SUMIF($B$23:K$295,$E305,N$23:N$293)</f>
        <v>1356102249.3793252</v>
      </c>
      <c r="O305" s="55">
        <f t="shared" ca="1" si="0"/>
        <v>3233568704.1244903</v>
      </c>
    </row>
    <row r="306" spans="5:15">
      <c r="E306" s="31" t="s">
        <v>1853</v>
      </c>
      <c r="F306" s="79">
        <f>SUMIF($B$23:B$293,$E306,F$23:F$293)</f>
        <v>1752.2999999999995</v>
      </c>
      <c r="G306" s="66">
        <f ca="1">SUMIF($B$23:D$293,$E306,G$23:G$293)</f>
        <v>12654463661.118999</v>
      </c>
      <c r="H306" s="66">
        <f ca="1">SUMIF($B$23:E$293,$E306,H$23:H$293)</f>
        <v>7846693495.8621006</v>
      </c>
      <c r="I306" s="66">
        <f ca="1">SUMIF($B$23:F$294,$E306,I$23:I$293)</f>
        <v>1009599683.9611821</v>
      </c>
      <c r="J306" s="39">
        <f ca="1">SUMIF($B$23:G$295,$E306,J$23:J$293)</f>
        <v>21510756840.942272</v>
      </c>
      <c r="K306" s="84">
        <f ca="1">SUMIF($B$23:H$295,$E306,K$23:K$293)</f>
        <v>10003669602.294003</v>
      </c>
      <c r="L306" s="66">
        <f ca="1">SUMIF($B$23:I$295,$E306,L$23:L$293)</f>
        <v>7717017478.0182495</v>
      </c>
      <c r="M306" s="66">
        <f ca="1">SUMIF($B$23:J$295,$E306,M$23:M$293)</f>
        <v>992052984.01742232</v>
      </c>
      <c r="N306" s="39">
        <f ca="1">SUMIF($B$23:K$295,$E306,N$23:N$293)</f>
        <v>18712740064.329666</v>
      </c>
      <c r="O306" s="55">
        <f t="shared" ca="1" si="0"/>
        <v>40223496905.271942</v>
      </c>
    </row>
    <row r="307" spans="5:15">
      <c r="E307" s="31" t="s">
        <v>2806</v>
      </c>
      <c r="F307" s="79">
        <f>SUMIF($B$23:B$293,$E307,F$23:F$293)</f>
        <v>210.1</v>
      </c>
      <c r="G307" s="66">
        <f ca="1">SUMIF($B$23:D$293,$E307,G$23:G$293)</f>
        <v>697935467.60699999</v>
      </c>
      <c r="H307" s="66">
        <f ca="1">SUMIF($B$23:E$293,$E307,H$23:H$293)</f>
        <v>624039283.2960999</v>
      </c>
      <c r="I307" s="66">
        <f ca="1">SUMIF($B$23:F$294,$E307,I$23:I$293)</f>
        <v>102624932.87759051</v>
      </c>
      <c r="J307" s="39">
        <f ca="1">SUMIF($B$23:G$295,$E307,J$23:J$293)</f>
        <v>1424599683.7806904</v>
      </c>
      <c r="K307" s="84">
        <f ca="1">SUMIF($B$23:H$295,$E307,K$23:K$293)</f>
        <v>1331028412.1090002</v>
      </c>
      <c r="L307" s="66">
        <f ca="1">SUMIF($B$23:I$295,$E307,L$23:L$293)</f>
        <v>704772887.29449999</v>
      </c>
      <c r="M307" s="66">
        <f ca="1">SUMIF($B$23:J$295,$E307,M$23:M$293)</f>
        <v>107853253.49185552</v>
      </c>
      <c r="N307" s="39">
        <f ca="1">SUMIF($B$23:K$295,$E307,N$23:N$293)</f>
        <v>2143654552.8953555</v>
      </c>
      <c r="O307" s="55">
        <f t="shared" ca="1" si="0"/>
        <v>3568254236.6760459</v>
      </c>
    </row>
    <row r="308" spans="5:15">
      <c r="E308" s="31" t="s">
        <v>1831</v>
      </c>
      <c r="F308" s="79">
        <f>SUMIF($B$23:B$293,$E308,F$23:F$293)</f>
        <v>835.3</v>
      </c>
      <c r="G308" s="66">
        <f ca="1">SUMIF($B$23:D$293,$E308,G$23:G$293)</f>
        <v>2202179745.0239992</v>
      </c>
      <c r="H308" s="66">
        <f ca="1">SUMIF($B$23:E$293,$E308,H$23:H$293)</f>
        <v>2641205060.7919497</v>
      </c>
      <c r="I308" s="66">
        <f ca="1">SUMIF($B$23:F$294,$E308,I$23:I$293)</f>
        <v>395359677.44499296</v>
      </c>
      <c r="J308" s="39">
        <f ca="1">SUMIF($B$23:G$295,$E308,J$23:J$293)</f>
        <v>5238744483.2609425</v>
      </c>
      <c r="K308" s="84">
        <f ca="1">SUMIF($B$23:H$295,$E308,K$23:K$293)</f>
        <v>6052480786.9900007</v>
      </c>
      <c r="L308" s="66">
        <f ca="1">SUMIF($B$23:I$295,$E308,L$23:L$293)</f>
        <v>2873301641.4907999</v>
      </c>
      <c r="M308" s="66">
        <f ca="1">SUMIF($B$23:J$295,$E308,M$23:M$293)</f>
        <v>404867166.67602342</v>
      </c>
      <c r="N308" s="39">
        <f ca="1">SUMIF($B$23:K$295,$E308,N$23:N$293)</f>
        <v>9330649595.156826</v>
      </c>
      <c r="O308" s="55">
        <f t="shared" ca="1" si="0"/>
        <v>14569394078.417768</v>
      </c>
    </row>
    <row r="309" spans="5:15">
      <c r="E309" s="31" t="s">
        <v>2937</v>
      </c>
      <c r="F309" s="79">
        <f>SUMIF($B$23:B$293,$E309,F$23:F$293)</f>
        <v>90.1</v>
      </c>
      <c r="G309" s="66">
        <f ca="1">SUMIF($B$23:D$293,$E309,G$23:G$293)</f>
        <v>643530348.12700009</v>
      </c>
      <c r="H309" s="66">
        <f ca="1">SUMIF($B$23:E$293,$E309,H$23:H$293)</f>
        <v>697652553.93300009</v>
      </c>
      <c r="I309" s="66">
        <f ca="1">SUMIF($B$23:F$294,$E309,I$23:I$293)</f>
        <v>101003723.60555997</v>
      </c>
      <c r="J309" s="39">
        <f ca="1">SUMIF($B$23:G$295,$E309,J$23:J$293)</f>
        <v>1442186625.6655602</v>
      </c>
      <c r="K309" s="84">
        <f ca="1">SUMIF($B$23:H$295,$E309,K$23:K$293)</f>
        <v>1587838051.6699998</v>
      </c>
      <c r="L309" s="66">
        <f ca="1">SUMIF($B$23:I$295,$E309,L$23:L$293)</f>
        <v>788774047.52489996</v>
      </c>
      <c r="M309" s="66">
        <f ca="1">SUMIF($B$23:J$295,$E309,M$23:M$293)</f>
        <v>105861507.35880002</v>
      </c>
      <c r="N309" s="39">
        <f ca="1">SUMIF($B$23:K$295,$E309,N$23:N$293)</f>
        <v>2482473606.5536995</v>
      </c>
      <c r="O309" s="55">
        <f t="shared" ca="1" si="0"/>
        <v>3924660232.2192597</v>
      </c>
    </row>
    <row r="310" spans="5:15">
      <c r="E310" s="31" t="s">
        <v>1870</v>
      </c>
      <c r="F310" s="79">
        <f>SUMIF($B$23:B$293,$E310,F$23:F$293)</f>
        <v>1991.3000000000004</v>
      </c>
      <c r="G310" s="66">
        <f ca="1">SUMIF($B$23:D$293,$E310,G$23:G$293)</f>
        <v>10231250880.184999</v>
      </c>
      <c r="H310" s="66">
        <f ca="1">SUMIF($B$23:E$293,$E310,H$23:H$293)</f>
        <v>9969684844.9295502</v>
      </c>
      <c r="I310" s="66">
        <f ca="1">SUMIF($B$23:F$294,$E310,I$23:I$293)</f>
        <v>1519150870.3213105</v>
      </c>
      <c r="J310" s="39">
        <f ca="1">SUMIF($B$23:G$295,$E310,J$23:J$293)</f>
        <v>21720086595.435867</v>
      </c>
      <c r="K310" s="84">
        <f ca="1">SUMIF($B$23:H$295,$E310,K$23:K$293)</f>
        <v>17757224600.341999</v>
      </c>
      <c r="L310" s="66">
        <f ca="1">SUMIF($B$23:I$295,$E310,L$23:L$293)</f>
        <v>10985230749.614351</v>
      </c>
      <c r="M310" s="66">
        <f ca="1">SUMIF($B$23:J$295,$E310,M$23:M$293)</f>
        <v>1563945742.5389709</v>
      </c>
      <c r="N310" s="39">
        <f ca="1">SUMIF($B$23:K$295,$E310,N$23:N$293)</f>
        <v>30306401092.495316</v>
      </c>
      <c r="O310" s="55">
        <f t="shared" ca="1" si="0"/>
        <v>52026487687.931183</v>
      </c>
    </row>
    <row r="311" spans="5:15">
      <c r="E311" s="31" t="s">
        <v>2779</v>
      </c>
      <c r="F311" s="79">
        <f>SUMIF($B$23:B$293,$E311,F$23:F$293)</f>
        <v>336.60000000000008</v>
      </c>
      <c r="G311" s="66">
        <f ca="1">SUMIF($B$23:D$293,$E311,G$23:G$293)</f>
        <v>578464232.28199995</v>
      </c>
      <c r="H311" s="66">
        <f ca="1">SUMIF($B$23:E$293,$E311,H$23:H$293)</f>
        <v>525535461.18260002</v>
      </c>
      <c r="I311" s="66">
        <f ca="1">SUMIF($B$23:F$294,$E311,I$23:I$293)</f>
        <v>85983480.696995005</v>
      </c>
      <c r="J311" s="39">
        <f ca="1">SUMIF($B$23:G$295,$E311,J$23:J$293)</f>
        <v>1189983174.1615949</v>
      </c>
      <c r="K311" s="84">
        <f ca="1">SUMIF($B$23:H$295,$E311,K$23:K$293)</f>
        <v>657554883.625</v>
      </c>
      <c r="L311" s="66">
        <f ca="1">SUMIF($B$23:I$295,$E311,L$23:L$293)</f>
        <v>517660641.65520006</v>
      </c>
      <c r="M311" s="66">
        <f ca="1">SUMIF($B$23:J$295,$E311,M$23:M$293)</f>
        <v>82177618.792070001</v>
      </c>
      <c r="N311" s="39">
        <f ca="1">SUMIF($B$23:K$295,$E311,N$23:N$293)</f>
        <v>1257393144.0722699</v>
      </c>
      <c r="O311" s="55">
        <f t="shared" ca="1" si="0"/>
        <v>2447376318.2338648</v>
      </c>
    </row>
    <row r="312" spans="5:15" ht="15.95" thickBot="1">
      <c r="E312" s="31" t="s">
        <v>3149</v>
      </c>
      <c r="F312" s="79">
        <f>SUMIF($B$23:B$293,$E312,F$23:F$293)</f>
        <v>0</v>
      </c>
      <c r="G312" s="66">
        <f ca="1">SUMIF($B$23:D$293,$E312,G$23:G$293)</f>
        <v>0</v>
      </c>
      <c r="H312" s="66">
        <f ca="1">SUMIF($B$23:E$293,$E312,H$23:H$293)</f>
        <v>0</v>
      </c>
      <c r="I312" s="66">
        <f ca="1">SUMIF($B$23:F$294,$E312,I$23:I$293)</f>
        <v>0</v>
      </c>
      <c r="J312" s="39">
        <f ca="1">SUMIF($B$23:G$295,$E312,J$23:J$293)</f>
        <v>0</v>
      </c>
      <c r="K312" s="84">
        <f ca="1">SUMIF($B$23:H$295,$E312,K$23:K$293)</f>
        <v>0</v>
      </c>
      <c r="L312" s="66">
        <f ca="1">SUMIF($B$23:I$295,$E312,L$23:L$293)</f>
        <v>0</v>
      </c>
      <c r="M312" s="66">
        <f ca="1">SUMIF($B$23:J$295,$E312,M$23:M$293)</f>
        <v>0</v>
      </c>
      <c r="N312" s="39">
        <f ca="1">SUMIF($B$23:K$295,$E312,N$23:N$293)</f>
        <v>0</v>
      </c>
      <c r="O312" s="55">
        <f t="shared" ca="1" si="0"/>
        <v>0</v>
      </c>
    </row>
    <row r="313" spans="5:15">
      <c r="E313" s="13"/>
      <c r="F313" s="46"/>
      <c r="G313" s="47"/>
      <c r="H313" s="48"/>
      <c r="I313" s="48"/>
      <c r="J313" s="49"/>
      <c r="K313" s="47"/>
      <c r="L313" s="48"/>
      <c r="M313" s="48"/>
      <c r="N313" s="49"/>
      <c r="O313" s="13"/>
    </row>
    <row r="314" spans="5:15">
      <c r="E314" s="85" t="s">
        <v>3150</v>
      </c>
      <c r="F314" s="79">
        <f t="shared" ref="F314:O314" si="1">SUM(F302:F312)</f>
        <v>7794.5000000000009</v>
      </c>
      <c r="G314" s="52">
        <f t="shared" ca="1" si="1"/>
        <v>74452525269.024017</v>
      </c>
      <c r="H314" s="53">
        <f t="shared" ca="1" si="1"/>
        <v>41330826256.828804</v>
      </c>
      <c r="I314" s="53">
        <f t="shared" ca="1" si="1"/>
        <v>6393099943.5669613</v>
      </c>
      <c r="J314" s="54">
        <f t="shared" ca="1" si="1"/>
        <v>122176451469.41974</v>
      </c>
      <c r="K314" s="52">
        <f t="shared" ca="1" si="1"/>
        <v>52948554404.237</v>
      </c>
      <c r="L314" s="53">
        <f t="shared" ca="1" si="1"/>
        <v>43086808509.187843</v>
      </c>
      <c r="M314" s="53">
        <f t="shared" ca="1" si="1"/>
        <v>6531953779.4600124</v>
      </c>
      <c r="N314" s="54">
        <f t="shared" ca="1" si="1"/>
        <v>102567316692.88484</v>
      </c>
      <c r="O314" s="55">
        <f t="shared" ca="1" si="1"/>
        <v>224743768162.3046</v>
      </c>
    </row>
    <row r="315" spans="5:15" ht="15.95" thickBot="1">
      <c r="E315" s="64"/>
      <c r="F315" s="86"/>
      <c r="G315" s="61"/>
      <c r="H315" s="62"/>
      <c r="I315" s="62"/>
      <c r="J315" s="63"/>
      <c r="K315" s="61"/>
      <c r="L315" s="62"/>
      <c r="M315" s="62"/>
      <c r="N315" s="63"/>
      <c r="O315" s="64"/>
    </row>
    <row r="316" spans="5:15" ht="12" customHeight="1" thickBot="1">
      <c r="O316" s="66"/>
    </row>
    <row r="317" spans="5:15" ht="21" thickBot="1">
      <c r="E317" s="67" t="s">
        <v>3151</v>
      </c>
      <c r="F317" s="87"/>
      <c r="G317" s="88"/>
      <c r="H317" s="88"/>
      <c r="I317" s="88"/>
      <c r="J317" s="88"/>
      <c r="K317" s="88"/>
      <c r="L317" s="88"/>
      <c r="M317" s="88"/>
      <c r="N317" s="88"/>
      <c r="O317" s="89"/>
    </row>
    <row r="318" spans="5:15" ht="21" thickBot="1">
      <c r="E318" s="11"/>
      <c r="F318" s="90"/>
      <c r="G318" s="413" t="s">
        <v>2766</v>
      </c>
      <c r="H318" s="414"/>
      <c r="I318" s="414"/>
      <c r="J318" s="414"/>
      <c r="K318" s="414"/>
      <c r="L318" s="414"/>
      <c r="M318" s="414"/>
      <c r="N318" s="414"/>
      <c r="O318" s="415"/>
    </row>
    <row r="319" spans="5:15" ht="12" customHeight="1" thickBot="1">
      <c r="E319" s="31" t="s">
        <v>2769</v>
      </c>
      <c r="F319" s="91" t="s">
        <v>2770</v>
      </c>
      <c r="G319" s="92" t="s">
        <v>2771</v>
      </c>
      <c r="H319" s="93"/>
      <c r="I319" s="93"/>
      <c r="J319" s="94"/>
      <c r="K319" s="92" t="s">
        <v>2772</v>
      </c>
      <c r="L319" s="93"/>
      <c r="M319" s="93"/>
      <c r="N319" s="94"/>
      <c r="O319" s="95" t="s">
        <v>2773</v>
      </c>
    </row>
    <row r="320" spans="5:15" ht="15.95" thickBot="1">
      <c r="E320" s="96"/>
      <c r="F320" s="91" t="s">
        <v>2775</v>
      </c>
      <c r="G320" s="97" t="s">
        <v>2776</v>
      </c>
      <c r="H320" s="98" t="s">
        <v>2777</v>
      </c>
      <c r="I320" s="98" t="s">
        <v>2778</v>
      </c>
      <c r="J320" s="99" t="s">
        <v>2707</v>
      </c>
      <c r="K320" s="100" t="s">
        <v>2776</v>
      </c>
      <c r="L320" s="100" t="s">
        <v>2777</v>
      </c>
      <c r="M320" s="100" t="s">
        <v>2778</v>
      </c>
      <c r="N320" s="100" t="s">
        <v>2707</v>
      </c>
      <c r="O320" s="101" t="s">
        <v>2707</v>
      </c>
    </row>
    <row r="321" spans="5:15">
      <c r="E321" s="102" t="s">
        <v>2780</v>
      </c>
      <c r="F321" s="46">
        <f>SUMIF($C$23:C$293,$E321,F$23:F$293)</f>
        <v>7607.4000000000024</v>
      </c>
      <c r="G321" s="80">
        <f>SUMIF($C$23:C$293,$E321,G$23:G$293)</f>
        <v>74196258296.705963</v>
      </c>
      <c r="H321" s="80">
        <f ca="1">SUMIF($C$23:D$293,$E321,H$23:H$293)</f>
        <v>41152001958.949936</v>
      </c>
      <c r="I321" s="80">
        <f ca="1">SUMIF($C$23:E$293,$E321,I$23:I$293)</f>
        <v>6357940548.9855289</v>
      </c>
      <c r="J321" s="80">
        <f ca="1">SUMIF($C$23:F$293,$E321,J$23:J$293)</f>
        <v>121706200804.6414</v>
      </c>
      <c r="K321" s="80">
        <f ca="1">SUMIF($C$23:G$293,$E321,K$23:K$293)</f>
        <v>52811490099.403992</v>
      </c>
      <c r="L321" s="80">
        <f ca="1">SUMIF($C$23:H$293,$E321,L$23:L$293)</f>
        <v>42912109371.859116</v>
      </c>
      <c r="M321" s="80">
        <f ca="1">SUMIF($C$23:I$293,$E321,M$23:M$293)</f>
        <v>6498949405.2062626</v>
      </c>
      <c r="N321" s="80">
        <f ca="1">SUMIF($C$23:J$293,$E321,N$23:N$293)</f>
        <v>102222548876.46939</v>
      </c>
      <c r="O321" s="103">
        <f ca="1">SUM(J321,N321)</f>
        <v>223928749681.11078</v>
      </c>
    </row>
    <row r="322" spans="5:15" ht="15.95" thickBot="1">
      <c r="E322" s="104" t="s">
        <v>2785</v>
      </c>
      <c r="F322" s="86">
        <f>SUMIF($C$23:C$293,$E322,F$23:F$293)</f>
        <v>187.10000000000002</v>
      </c>
      <c r="G322" s="105">
        <f>SUMIF($C$23:C$293,$E322,G$23:G$293)</f>
        <v>256266972.31799999</v>
      </c>
      <c r="H322" s="105">
        <f ca="1">SUMIF($C$23:D$293,$E322,H$23:H$293)</f>
        <v>178824297.87884998</v>
      </c>
      <c r="I322" s="105">
        <f ca="1">SUMIF($C$23:E$293,$E322,I$23:I$293)</f>
        <v>35159394.581429996</v>
      </c>
      <c r="J322" s="105">
        <f ca="1">SUMIF($C$23:F$293,$E322,J$23:J$293)</f>
        <v>470250664.77828002</v>
      </c>
      <c r="K322" s="105">
        <f ca="1">SUMIF($C$23:G$293,$E322,K$23:K$293)</f>
        <v>137064304.83300003</v>
      </c>
      <c r="L322" s="105">
        <f ca="1">SUMIF($C$23:H$293,$E322,L$23:L$293)</f>
        <v>174699137.32875004</v>
      </c>
      <c r="M322" s="105">
        <f ca="1">SUMIF($C$23:I$293,$E322,M$23:M$293)</f>
        <v>33004374.253750011</v>
      </c>
      <c r="N322" s="105">
        <f ca="1">SUMIF($C$23:J$293,$E322,N$23:N$293)</f>
        <v>344767816.4155001</v>
      </c>
      <c r="O322" s="106">
        <f ca="1">SUM(J322,N322)</f>
        <v>815018481.19378018</v>
      </c>
    </row>
    <row r="323" spans="5:15">
      <c r="E323" s="107"/>
      <c r="F323" s="108"/>
      <c r="G323" s="109"/>
      <c r="H323" s="109"/>
      <c r="I323" s="109"/>
      <c r="J323" s="109"/>
      <c r="K323" s="109"/>
      <c r="L323" s="109"/>
      <c r="M323" s="109"/>
      <c r="N323" s="109"/>
      <c r="O323" s="103"/>
    </row>
    <row r="324" spans="5:15">
      <c r="E324" s="110" t="s">
        <v>20</v>
      </c>
      <c r="F324" s="108">
        <f>SUM(F321:F322)</f>
        <v>7794.5000000000027</v>
      </c>
      <c r="G324" s="108">
        <f>SUM(G321:G322)</f>
        <v>74452525269.023956</v>
      </c>
      <c r="H324" s="108">
        <f t="shared" ref="H324:N324" ca="1" si="2">SUM(H321:H322)</f>
        <v>41330826256.828789</v>
      </c>
      <c r="I324" s="108">
        <f t="shared" ca="1" si="2"/>
        <v>6393099943.5669594</v>
      </c>
      <c r="J324" s="108">
        <f t="shared" ca="1" si="2"/>
        <v>122176451469.41968</v>
      </c>
      <c r="K324" s="108">
        <f t="shared" ca="1" si="2"/>
        <v>52948554404.236992</v>
      </c>
      <c r="L324" s="108">
        <f t="shared" ca="1" si="2"/>
        <v>43086808509.187866</v>
      </c>
      <c r="M324" s="108">
        <f t="shared" ca="1" si="2"/>
        <v>6531953779.4600124</v>
      </c>
      <c r="N324" s="108">
        <f t="shared" ca="1" si="2"/>
        <v>102567316692.88489</v>
      </c>
      <c r="O324" s="111">
        <f ca="1">SUM(O321:O322)</f>
        <v>224743768162.30457</v>
      </c>
    </row>
    <row r="325" spans="5:15" ht="15.95" thickBot="1">
      <c r="E325" s="112"/>
      <c r="F325" s="58"/>
      <c r="G325" s="58"/>
      <c r="H325" s="58"/>
      <c r="I325" s="58"/>
      <c r="J325" s="58"/>
      <c r="K325" s="58"/>
      <c r="L325" s="58"/>
      <c r="M325" s="58"/>
      <c r="N325" s="58"/>
      <c r="O325" s="59"/>
    </row>
  </sheetData>
  <mergeCells count="2">
    <mergeCell ref="G299:O299"/>
    <mergeCell ref="G318:O318"/>
  </mergeCell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6DB2-5B31-4D29-878D-BE7AC05561CC}">
  <dimension ref="A1:N322"/>
  <sheetViews>
    <sheetView topLeftCell="A15" zoomScale="85" zoomScaleNormal="85" workbookViewId="0">
      <selection activeCell="D2" sqref="D2"/>
    </sheetView>
  </sheetViews>
  <sheetFormatPr defaultRowHeight="14.45"/>
  <cols>
    <col min="1" max="1" width="16.85546875" customWidth="1"/>
    <col min="2" max="2" width="9.28515625" customWidth="1"/>
    <col min="3" max="3" width="16.7109375" customWidth="1"/>
    <col min="4" max="4" width="30.28515625" customWidth="1"/>
    <col min="5" max="5" width="9.85546875" customWidth="1"/>
    <col min="6" max="7" width="16.5703125" bestFit="1" customWidth="1"/>
    <col min="8" max="8" width="15.42578125" bestFit="1" customWidth="1"/>
    <col min="9" max="9" width="17.7109375" bestFit="1" customWidth="1"/>
    <col min="10" max="11" width="16.5703125" bestFit="1" customWidth="1"/>
    <col min="12" max="12" width="15.42578125" bestFit="1" customWidth="1"/>
    <col min="13" max="13" width="16.5703125" bestFit="1" customWidth="1"/>
    <col min="14" max="14" width="17.7109375" bestFit="1" customWidth="1"/>
  </cols>
  <sheetData>
    <row r="1" spans="1:13" s="1" customFormat="1" ht="15.6">
      <c r="A1" s="10"/>
      <c r="B1" s="10"/>
      <c r="C1" s="10"/>
    </row>
    <row r="2" spans="1:13" s="1" customFormat="1" ht="15.6">
      <c r="A2" s="164" t="s">
        <v>2751</v>
      </c>
      <c r="B2" s="10" t="s">
        <v>2671</v>
      </c>
      <c r="C2" s="10" t="s">
        <v>2604</v>
      </c>
      <c r="D2" s="10" t="s">
        <v>2752</v>
      </c>
    </row>
    <row r="3" spans="1:13" s="1" customFormat="1" ht="15.6">
      <c r="A3" s="10" t="s">
        <v>2753</v>
      </c>
      <c r="B3" s="10" t="s">
        <v>2754</v>
      </c>
      <c r="C3" s="10" t="s">
        <v>2637</v>
      </c>
      <c r="D3" s="10">
        <v>1</v>
      </c>
    </row>
    <row r="4" spans="1:13" s="1" customFormat="1" ht="15.6">
      <c r="A4" s="10" t="s">
        <v>2755</v>
      </c>
      <c r="B4" s="10" t="s">
        <v>15</v>
      </c>
      <c r="C4" s="10" t="s">
        <v>2637</v>
      </c>
      <c r="D4" s="10">
        <v>2</v>
      </c>
    </row>
    <row r="5" spans="1:13" s="1" customFormat="1" ht="15.6">
      <c r="A5" s="10" t="s">
        <v>2756</v>
      </c>
      <c r="B5" s="10" t="s">
        <v>15</v>
      </c>
      <c r="C5" s="10" t="s">
        <v>2637</v>
      </c>
      <c r="D5" s="10">
        <v>3</v>
      </c>
    </row>
    <row r="6" spans="1:13" s="1" customFormat="1" ht="15.6">
      <c r="A6" s="10" t="s">
        <v>440</v>
      </c>
      <c r="B6" s="10" t="s">
        <v>15</v>
      </c>
      <c r="C6" s="10" t="s">
        <v>2637</v>
      </c>
      <c r="D6" s="10">
        <v>4</v>
      </c>
    </row>
    <row r="7" spans="1:13" s="1" customFormat="1" ht="15.6">
      <c r="A7" s="10" t="s">
        <v>2757</v>
      </c>
      <c r="B7" s="10" t="s">
        <v>15</v>
      </c>
      <c r="C7" s="10" t="s">
        <v>2637</v>
      </c>
      <c r="D7" s="10">
        <v>5</v>
      </c>
    </row>
    <row r="8" spans="1:13" s="1" customFormat="1" ht="15.6">
      <c r="A8" s="10" t="s">
        <v>2758</v>
      </c>
      <c r="B8" s="10" t="s">
        <v>15</v>
      </c>
      <c r="C8" s="10" t="s">
        <v>2637</v>
      </c>
      <c r="D8" s="10">
        <v>6</v>
      </c>
    </row>
    <row r="9" spans="1:13" s="1" customFormat="1" ht="15.6">
      <c r="A9" s="10" t="s">
        <v>2759</v>
      </c>
      <c r="B9" s="10" t="s">
        <v>2754</v>
      </c>
      <c r="C9" s="10" t="s">
        <v>2637</v>
      </c>
      <c r="D9" s="10">
        <v>7</v>
      </c>
    </row>
    <row r="10" spans="1:13" s="1" customFormat="1" ht="15.6">
      <c r="A10" s="10" t="s">
        <v>3152</v>
      </c>
      <c r="B10" s="10" t="s">
        <v>2754</v>
      </c>
      <c r="C10" s="10" t="s">
        <v>2637</v>
      </c>
      <c r="D10" s="10">
        <v>8</v>
      </c>
    </row>
    <row r="11" spans="1:13" s="1" customFormat="1" ht="15.6">
      <c r="A11" s="10" t="s">
        <v>3153</v>
      </c>
      <c r="B11" s="10" t="s">
        <v>2754</v>
      </c>
      <c r="C11" s="10" t="s">
        <v>2637</v>
      </c>
      <c r="D11" s="10">
        <v>9</v>
      </c>
    </row>
    <row r="12" spans="1:13" s="1" customFormat="1" ht="15.6">
      <c r="A12" s="10" t="s">
        <v>3154</v>
      </c>
      <c r="B12" s="10" t="s">
        <v>2754</v>
      </c>
      <c r="C12" s="10" t="s">
        <v>2637</v>
      </c>
      <c r="D12" s="10">
        <v>10</v>
      </c>
    </row>
    <row r="13" spans="1:13" s="1" customFormat="1" ht="15.6">
      <c r="A13" s="10" t="s">
        <v>2763</v>
      </c>
      <c r="B13" s="10" t="s">
        <v>15</v>
      </c>
      <c r="C13" s="10" t="s">
        <v>2637</v>
      </c>
      <c r="D13" s="10">
        <v>11</v>
      </c>
    </row>
    <row r="14" spans="1:13" ht="20.45">
      <c r="A14" s="113" t="s">
        <v>3155</v>
      </c>
      <c r="B14" s="114"/>
      <c r="C14" s="114"/>
      <c r="D14" s="114"/>
      <c r="E14" s="114"/>
      <c r="F14" s="114"/>
      <c r="G14" s="114"/>
      <c r="H14" s="114"/>
      <c r="I14" s="114"/>
      <c r="J14" s="114"/>
      <c r="K14" s="114"/>
      <c r="L14" s="114"/>
      <c r="M14" s="114"/>
    </row>
    <row r="15" spans="1:13" ht="20.45">
      <c r="A15" s="9" t="s">
        <v>2765</v>
      </c>
      <c r="B15" s="114"/>
      <c r="C15" s="114"/>
      <c r="D15" s="114"/>
      <c r="E15" s="114"/>
      <c r="F15" s="114"/>
      <c r="G15" s="114"/>
      <c r="H15" s="114"/>
      <c r="I15" s="114"/>
      <c r="J15" s="114"/>
      <c r="K15" s="114"/>
      <c r="L15" s="114"/>
      <c r="M15" s="114"/>
    </row>
    <row r="16" spans="1:13" ht="15" thickBot="1"/>
    <row r="17" spans="1:14" ht="21" thickBot="1">
      <c r="A17" s="13"/>
      <c r="B17" s="13"/>
      <c r="C17" s="13"/>
      <c r="D17" s="13"/>
      <c r="E17" s="13"/>
      <c r="F17" s="413" t="s">
        <v>3156</v>
      </c>
      <c r="G17" s="414"/>
      <c r="H17" s="414"/>
      <c r="I17" s="414"/>
      <c r="J17" s="414"/>
      <c r="K17" s="414"/>
      <c r="L17" s="414"/>
      <c r="M17" s="414"/>
      <c r="N17" s="415"/>
    </row>
    <row r="18" spans="1:14" ht="15.95" thickBot="1">
      <c r="A18" s="17" t="s">
        <v>2767</v>
      </c>
      <c r="B18" s="17" t="s">
        <v>2768</v>
      </c>
      <c r="C18" s="17" t="s">
        <v>2757</v>
      </c>
      <c r="D18" s="17" t="s">
        <v>2758</v>
      </c>
      <c r="E18" s="17" t="s">
        <v>2770</v>
      </c>
      <c r="F18" s="74" t="s">
        <v>2771</v>
      </c>
      <c r="G18" s="74"/>
      <c r="H18" s="74"/>
      <c r="I18" s="75"/>
      <c r="J18" s="73" t="s">
        <v>2772</v>
      </c>
      <c r="K18" s="74"/>
      <c r="L18" s="74"/>
      <c r="M18" s="75"/>
      <c r="N18" s="76" t="s">
        <v>2773</v>
      </c>
    </row>
    <row r="19" spans="1:14" ht="15.95" thickBot="1">
      <c r="A19" s="23" t="s">
        <v>2774</v>
      </c>
      <c r="B19" s="23"/>
      <c r="C19" s="23"/>
      <c r="D19" s="23"/>
      <c r="E19" s="23" t="s">
        <v>2775</v>
      </c>
      <c r="F19" s="115" t="s">
        <v>2776</v>
      </c>
      <c r="G19" s="116" t="s">
        <v>2777</v>
      </c>
      <c r="H19" s="116" t="s">
        <v>2778</v>
      </c>
      <c r="I19" s="117" t="s">
        <v>2707</v>
      </c>
      <c r="J19" s="118" t="s">
        <v>2776</v>
      </c>
      <c r="K19" s="118" t="s">
        <v>2777</v>
      </c>
      <c r="L19" s="118" t="s">
        <v>2778</v>
      </c>
      <c r="M19" s="118" t="s">
        <v>2707</v>
      </c>
      <c r="N19" s="30" t="s">
        <v>2707</v>
      </c>
    </row>
    <row r="20" spans="1:14">
      <c r="A20" s="119">
        <v>6618</v>
      </c>
      <c r="B20" s="120" t="s">
        <v>2779</v>
      </c>
      <c r="C20" s="121" t="s">
        <v>2781</v>
      </c>
      <c r="D20" t="s">
        <v>2782</v>
      </c>
      <c r="E20" s="79">
        <v>14.600000000000001</v>
      </c>
      <c r="F20" s="122">
        <v>1684855.6021232875</v>
      </c>
      <c r="G20" s="122">
        <v>1257184.0241335616</v>
      </c>
      <c r="H20" s="122">
        <v>214583.87442328763</v>
      </c>
      <c r="I20" s="123">
        <v>3156623.500680137</v>
      </c>
      <c r="J20" s="122">
        <v>973747.02130136988</v>
      </c>
      <c r="K20" s="122">
        <v>1154418.4230171232</v>
      </c>
      <c r="L20" s="122">
        <v>186125.69626712328</v>
      </c>
      <c r="M20" s="123">
        <v>2314291.1405856167</v>
      </c>
      <c r="N20" s="123">
        <v>5470914.6412657537</v>
      </c>
    </row>
    <row r="21" spans="1:14">
      <c r="A21" s="119">
        <v>6618</v>
      </c>
      <c r="B21" s="120" t="s">
        <v>2779</v>
      </c>
      <c r="C21" s="121" t="s">
        <v>2781</v>
      </c>
      <c r="D21" t="s">
        <v>2783</v>
      </c>
      <c r="E21" s="79">
        <v>12.299999999999997</v>
      </c>
      <c r="F21" s="122">
        <v>3354099.5078861802</v>
      </c>
      <c r="G21" s="122">
        <v>3702353.2888292694</v>
      </c>
      <c r="H21" s="122">
        <v>623811.72846585361</v>
      </c>
      <c r="I21" s="123">
        <v>7680264.5251813028</v>
      </c>
      <c r="J21" s="122">
        <v>5534240.604959351</v>
      </c>
      <c r="K21" s="122">
        <v>4148293.5040975618</v>
      </c>
      <c r="L21" s="122">
        <v>679137.0412552848</v>
      </c>
      <c r="M21" s="123">
        <v>10361671.150312196</v>
      </c>
      <c r="N21" s="123">
        <v>18041935.675493501</v>
      </c>
    </row>
    <row r="22" spans="1:14">
      <c r="A22" s="119">
        <v>6618</v>
      </c>
      <c r="B22" s="120" t="s">
        <v>2779</v>
      </c>
      <c r="C22" s="121" t="s">
        <v>2781</v>
      </c>
      <c r="D22" t="s">
        <v>2784</v>
      </c>
      <c r="E22" s="79">
        <v>2.2000000000000028</v>
      </c>
      <c r="F22" s="122">
        <v>10165176.806363624</v>
      </c>
      <c r="G22" s="122">
        <v>6836058.8782272637</v>
      </c>
      <c r="H22" s="122">
        <v>1071002.7399999986</v>
      </c>
      <c r="I22" s="123">
        <v>18072238.424590886</v>
      </c>
      <c r="J22" s="122">
        <v>36023.445909090864</v>
      </c>
      <c r="K22" s="122">
        <v>18388.139795454525</v>
      </c>
      <c r="L22" s="122">
        <v>6125.2414772727197</v>
      </c>
      <c r="M22" s="123">
        <v>60536.827181818109</v>
      </c>
      <c r="N22" s="123">
        <v>18132775.251772702</v>
      </c>
    </row>
    <row r="23" spans="1:14">
      <c r="A23" s="119">
        <v>6627</v>
      </c>
      <c r="B23" s="120" t="s">
        <v>2779</v>
      </c>
      <c r="C23" s="121" t="s">
        <v>2786</v>
      </c>
      <c r="D23" t="s">
        <v>2787</v>
      </c>
      <c r="E23" s="79">
        <v>15.6</v>
      </c>
      <c r="F23" s="122">
        <v>1663400.4966025641</v>
      </c>
      <c r="G23" s="122">
        <v>1231664.8553878206</v>
      </c>
      <c r="H23" s="122">
        <v>216420.69980641024</v>
      </c>
      <c r="I23" s="123">
        <v>3111486.0517967953</v>
      </c>
      <c r="J23" s="122">
        <v>1000665.5183974359</v>
      </c>
      <c r="K23" s="122">
        <v>1198757.2443878206</v>
      </c>
      <c r="L23" s="122">
        <v>201545.69839743592</v>
      </c>
      <c r="M23" s="123">
        <v>2400968.4611826926</v>
      </c>
      <c r="N23" s="123">
        <v>5512454.5129794879</v>
      </c>
    </row>
    <row r="24" spans="1:14">
      <c r="A24" s="119">
        <v>6214</v>
      </c>
      <c r="B24" s="120" t="s">
        <v>2002</v>
      </c>
      <c r="C24" s="121" t="s">
        <v>2788</v>
      </c>
      <c r="D24" t="s">
        <v>2789</v>
      </c>
      <c r="E24" s="79">
        <v>67.5</v>
      </c>
      <c r="F24" s="122">
        <v>2246124.8960740739</v>
      </c>
      <c r="G24" s="122">
        <v>2610493.0320844445</v>
      </c>
      <c r="H24" s="122">
        <v>396008.23660555552</v>
      </c>
      <c r="I24" s="123">
        <v>5252626.1647640737</v>
      </c>
      <c r="J24" s="122">
        <v>6737690.5482370369</v>
      </c>
      <c r="K24" s="122">
        <v>3105789.736371852</v>
      </c>
      <c r="L24" s="122">
        <v>435266.20767407399</v>
      </c>
      <c r="M24" s="123">
        <v>10278746.492282962</v>
      </c>
      <c r="N24" s="123">
        <v>15531372.657047037</v>
      </c>
    </row>
    <row r="25" spans="1:14">
      <c r="A25" s="119">
        <v>6214</v>
      </c>
      <c r="B25" s="120" t="s">
        <v>2002</v>
      </c>
      <c r="C25" s="121" t="s">
        <v>2788</v>
      </c>
      <c r="D25" t="s">
        <v>2790</v>
      </c>
      <c r="E25" s="79">
        <v>16.199999999999989</v>
      </c>
      <c r="F25" s="122">
        <v>2402651.7455555568</v>
      </c>
      <c r="G25" s="122">
        <v>2606133.8690648167</v>
      </c>
      <c r="H25" s="122">
        <v>397184.7925771607</v>
      </c>
      <c r="I25" s="123">
        <v>5405970.4071975341</v>
      </c>
      <c r="J25" s="122">
        <v>6640702.3446296351</v>
      </c>
      <c r="K25" s="122">
        <v>3097090.6777129648</v>
      </c>
      <c r="L25" s="122">
        <v>424345.21516203735</v>
      </c>
      <c r="M25" s="123">
        <v>10162138.237504637</v>
      </c>
      <c r="N25" s="123">
        <v>15568108.644702172</v>
      </c>
    </row>
    <row r="26" spans="1:14">
      <c r="A26" s="119">
        <v>6214</v>
      </c>
      <c r="B26" s="120" t="s">
        <v>2002</v>
      </c>
      <c r="C26" s="121" t="s">
        <v>2788</v>
      </c>
      <c r="D26" t="s">
        <v>2791</v>
      </c>
      <c r="E26" s="79">
        <v>32.400000000000006</v>
      </c>
      <c r="F26" s="122">
        <v>2604018.000833333</v>
      </c>
      <c r="G26" s="122">
        <v>2678350.4404058638</v>
      </c>
      <c r="H26" s="122">
        <v>367647.95634259254</v>
      </c>
      <c r="I26" s="123">
        <v>5650016.3975817896</v>
      </c>
      <c r="J26" s="122">
        <v>6788912.5581790116</v>
      </c>
      <c r="K26" s="122">
        <v>3171283.4511604933</v>
      </c>
      <c r="L26" s="122">
        <v>433101.40725308645</v>
      </c>
      <c r="M26" s="123">
        <v>10393297.416592592</v>
      </c>
      <c r="N26" s="123">
        <v>16043313.81417438</v>
      </c>
    </row>
    <row r="27" spans="1:14">
      <c r="A27" s="119">
        <v>4006</v>
      </c>
      <c r="B27" s="120" t="s">
        <v>2002</v>
      </c>
      <c r="C27" s="121" t="s">
        <v>2792</v>
      </c>
      <c r="D27" t="s">
        <v>2793</v>
      </c>
      <c r="E27" s="79">
        <v>6.4</v>
      </c>
      <c r="F27" s="122">
        <v>42911.153906250001</v>
      </c>
      <c r="G27" s="122">
        <v>17559.634242187498</v>
      </c>
      <c r="H27" s="122">
        <v>3116.1447070312497</v>
      </c>
      <c r="I27" s="123">
        <v>63586.932855468745</v>
      </c>
      <c r="J27" s="122">
        <v>1022.07328125</v>
      </c>
      <c r="K27" s="122">
        <v>15492.313945312499</v>
      </c>
      <c r="L27" s="122">
        <v>8785.266972656249</v>
      </c>
      <c r="M27" s="123">
        <v>25299.654199218749</v>
      </c>
      <c r="N27" s="123">
        <v>88886.587054687494</v>
      </c>
    </row>
    <row r="28" spans="1:14">
      <c r="A28" s="119">
        <v>6334</v>
      </c>
      <c r="B28" s="120" t="s">
        <v>1853</v>
      </c>
      <c r="C28" s="121" t="s">
        <v>2191</v>
      </c>
      <c r="D28" t="s">
        <v>2794</v>
      </c>
      <c r="E28" s="79">
        <v>18.899999999999999</v>
      </c>
      <c r="F28" s="122">
        <v>173.50158730158731</v>
      </c>
      <c r="G28" s="122">
        <v>553263.64583333337</v>
      </c>
      <c r="H28" s="122">
        <v>63128.888293650802</v>
      </c>
      <c r="I28" s="123">
        <v>616566.03571428568</v>
      </c>
      <c r="J28" s="122">
        <v>2101335.3530687834</v>
      </c>
      <c r="K28" s="122">
        <v>547156.67327513231</v>
      </c>
      <c r="L28" s="122">
        <v>44459.930145502651</v>
      </c>
      <c r="M28" s="123">
        <v>2692951.9564894182</v>
      </c>
      <c r="N28" s="123">
        <v>3309517.9922037041</v>
      </c>
    </row>
    <row r="29" spans="1:14">
      <c r="A29" s="119">
        <v>6517</v>
      </c>
      <c r="B29" s="120" t="s">
        <v>1870</v>
      </c>
      <c r="C29" s="121" t="s">
        <v>2063</v>
      </c>
      <c r="D29" t="s">
        <v>2795</v>
      </c>
      <c r="E29" s="79">
        <v>175.4</v>
      </c>
      <c r="F29" s="122">
        <v>5472466.631043328</v>
      </c>
      <c r="G29" s="122">
        <v>5867345.1332471482</v>
      </c>
      <c r="H29" s="122">
        <v>778763.85111847194</v>
      </c>
      <c r="I29" s="123">
        <v>12118575.61540895</v>
      </c>
      <c r="J29" s="122">
        <v>9081305.8236088939</v>
      </c>
      <c r="K29" s="122">
        <v>5838598.6650635693</v>
      </c>
      <c r="L29" s="122">
        <v>771539.92728905345</v>
      </c>
      <c r="M29" s="123">
        <v>15691444.415961515</v>
      </c>
      <c r="N29" s="123">
        <v>27810020.031370465</v>
      </c>
    </row>
    <row r="30" spans="1:14">
      <c r="A30" s="119">
        <v>6517</v>
      </c>
      <c r="B30" s="120" t="s">
        <v>1870</v>
      </c>
      <c r="C30" s="121" t="s">
        <v>2063</v>
      </c>
      <c r="D30" t="s">
        <v>2796</v>
      </c>
      <c r="E30" s="79">
        <v>21.599999999999994</v>
      </c>
      <c r="F30" s="122">
        <v>5505474.5766666671</v>
      </c>
      <c r="G30" s="122">
        <v>6193611.8590115756</v>
      </c>
      <c r="H30" s="122">
        <v>844244.83922268543</v>
      </c>
      <c r="I30" s="123">
        <v>12543331.274900928</v>
      </c>
      <c r="J30" s="122">
        <v>8918878.5626388919</v>
      </c>
      <c r="K30" s="122">
        <v>6162313.7323796311</v>
      </c>
      <c r="L30" s="122">
        <v>840996.65274884284</v>
      </c>
      <c r="M30" s="123">
        <v>15922188.947767362</v>
      </c>
      <c r="N30" s="123">
        <v>28465520.22266829</v>
      </c>
    </row>
    <row r="31" spans="1:14">
      <c r="A31" s="119">
        <v>6517</v>
      </c>
      <c r="B31" s="120" t="s">
        <v>1870</v>
      </c>
      <c r="C31" s="121" t="s">
        <v>2063</v>
      </c>
      <c r="D31" t="s">
        <v>2797</v>
      </c>
      <c r="E31" s="79">
        <v>9.9999999999994316E-2</v>
      </c>
      <c r="F31" s="122">
        <v>156207846.59000885</v>
      </c>
      <c r="G31" s="122">
        <v>136477845.60600775</v>
      </c>
      <c r="H31" s="122">
        <v>21912118.674726248</v>
      </c>
      <c r="I31" s="123">
        <v>314597810.87074286</v>
      </c>
      <c r="J31" s="122">
        <v>119409968.7000068</v>
      </c>
      <c r="K31" s="122">
        <v>136473348.22700778</v>
      </c>
      <c r="L31" s="122">
        <v>23423258.107476331</v>
      </c>
      <c r="M31" s="123">
        <v>279306575.03449088</v>
      </c>
      <c r="N31" s="123">
        <v>593904385.90523374</v>
      </c>
    </row>
    <row r="32" spans="1:14">
      <c r="A32" s="119">
        <v>6517</v>
      </c>
      <c r="B32" s="120" t="s">
        <v>1870</v>
      </c>
      <c r="C32" s="121" t="s">
        <v>2063</v>
      </c>
      <c r="D32" t="s">
        <v>2798</v>
      </c>
      <c r="E32" s="79">
        <v>9.2000000000000171</v>
      </c>
      <c r="F32" s="122">
        <v>9711266.4379347656</v>
      </c>
      <c r="G32" s="122">
        <v>10711379.908157591</v>
      </c>
      <c r="H32" s="122">
        <v>1814602.0414037467</v>
      </c>
      <c r="I32" s="123">
        <v>22237248.387496099</v>
      </c>
      <c r="J32" s="122">
        <v>12613872.412499975</v>
      </c>
      <c r="K32" s="122">
        <v>10675674.59339672</v>
      </c>
      <c r="L32" s="122">
        <v>1709876.6610249423</v>
      </c>
      <c r="M32" s="123">
        <v>24999423.666921634</v>
      </c>
      <c r="N32" s="123">
        <v>47236672.054417729</v>
      </c>
    </row>
    <row r="33" spans="1:14">
      <c r="A33" s="119">
        <v>4018</v>
      </c>
      <c r="B33" s="120" t="s">
        <v>1928</v>
      </c>
      <c r="C33" s="121" t="s">
        <v>2799</v>
      </c>
      <c r="D33" t="s">
        <v>2800</v>
      </c>
      <c r="E33" s="79">
        <v>5</v>
      </c>
      <c r="F33" s="122">
        <v>10222.963600000001</v>
      </c>
      <c r="G33" s="122">
        <v>35959.841529999998</v>
      </c>
      <c r="H33" s="122">
        <v>28795.931399999994</v>
      </c>
      <c r="I33" s="123">
        <v>74978.736529999995</v>
      </c>
      <c r="J33" s="122">
        <v>12817.800800000001</v>
      </c>
      <c r="K33" s="122">
        <v>8704.8815600000016</v>
      </c>
      <c r="L33" s="122">
        <v>16958.050000000003</v>
      </c>
      <c r="M33" s="123">
        <v>38480.732360000002</v>
      </c>
      <c r="N33" s="123">
        <v>113459.46888999999</v>
      </c>
    </row>
    <row r="34" spans="1:14">
      <c r="A34" s="119">
        <v>6243</v>
      </c>
      <c r="B34" s="120" t="s">
        <v>2002</v>
      </c>
      <c r="C34" s="121" t="s">
        <v>2801</v>
      </c>
      <c r="D34" t="s">
        <v>2802</v>
      </c>
      <c r="E34" s="79">
        <v>7.8</v>
      </c>
      <c r="F34" s="122">
        <v>215673.98807692312</v>
      </c>
      <c r="G34" s="122">
        <v>73666.644294871803</v>
      </c>
      <c r="H34" s="122">
        <v>50781.974326923075</v>
      </c>
      <c r="I34" s="123">
        <v>340122.60669871798</v>
      </c>
      <c r="J34" s="122">
        <v>1189.396794871795</v>
      </c>
      <c r="K34" s="122">
        <v>72649.837089743596</v>
      </c>
      <c r="L34" s="122">
        <v>12840.517227564103</v>
      </c>
      <c r="M34" s="123">
        <v>86679.751112179496</v>
      </c>
      <c r="N34" s="123">
        <v>426802.35781089746</v>
      </c>
    </row>
    <row r="35" spans="1:14">
      <c r="A35" s="119">
        <v>6243</v>
      </c>
      <c r="B35" s="120" t="s">
        <v>2002</v>
      </c>
      <c r="C35" s="121" t="s">
        <v>2801</v>
      </c>
      <c r="D35" t="s">
        <v>2803</v>
      </c>
      <c r="E35" s="79">
        <v>3.5000000000000009</v>
      </c>
      <c r="F35" s="122">
        <v>1451081.9599999997</v>
      </c>
      <c r="G35" s="122">
        <v>701041.12962857122</v>
      </c>
      <c r="H35" s="122">
        <v>151666.03657142853</v>
      </c>
      <c r="I35" s="123">
        <v>2303789.1261999994</v>
      </c>
      <c r="J35" s="122">
        <v>82539.001142857131</v>
      </c>
      <c r="K35" s="122">
        <v>699081.97617142845</v>
      </c>
      <c r="L35" s="122">
        <v>154654.32657142854</v>
      </c>
      <c r="M35" s="123">
        <v>936275.30388571415</v>
      </c>
      <c r="N35" s="123">
        <v>3240064.4300857135</v>
      </c>
    </row>
    <row r="36" spans="1:14">
      <c r="A36" s="119">
        <v>6321</v>
      </c>
      <c r="B36" s="120" t="s">
        <v>1831</v>
      </c>
      <c r="C36" s="121" t="s">
        <v>2804</v>
      </c>
      <c r="D36" t="s">
        <v>2805</v>
      </c>
      <c r="E36" s="79">
        <v>76.599999999999994</v>
      </c>
      <c r="F36" s="122">
        <v>738911.61622715404</v>
      </c>
      <c r="G36" s="122">
        <v>3350946.4526631851</v>
      </c>
      <c r="H36" s="122">
        <v>625778.7965187598</v>
      </c>
      <c r="I36" s="123">
        <v>4715636.8654090995</v>
      </c>
      <c r="J36" s="122">
        <v>7691667.9698302886</v>
      </c>
      <c r="K36" s="122">
        <v>3207890.4821279375</v>
      </c>
      <c r="L36" s="122">
        <v>594243.25561144913</v>
      </c>
      <c r="M36" s="123">
        <v>11493801.707569676</v>
      </c>
      <c r="N36" s="123">
        <v>16209438.572978776</v>
      </c>
    </row>
    <row r="37" spans="1:14">
      <c r="A37" s="119">
        <v>6321</v>
      </c>
      <c r="B37" s="120" t="s">
        <v>2806</v>
      </c>
      <c r="C37" s="121" t="s">
        <v>2804</v>
      </c>
      <c r="D37" t="s">
        <v>2807</v>
      </c>
      <c r="E37" s="79">
        <v>42</v>
      </c>
      <c r="F37" s="122">
        <v>850315.44795238099</v>
      </c>
      <c r="G37" s="122">
        <v>3193356.6015547612</v>
      </c>
      <c r="H37" s="122">
        <v>575249.68117096426</v>
      </c>
      <c r="I37" s="123">
        <v>4618921.7306781067</v>
      </c>
      <c r="J37" s="122">
        <v>7105243.161857144</v>
      </c>
      <c r="K37" s="122">
        <v>3071365.1122452379</v>
      </c>
      <c r="L37" s="122">
        <v>552936.6574864405</v>
      </c>
      <c r="M37" s="123">
        <v>10729544.931588821</v>
      </c>
      <c r="N37" s="123">
        <v>15348466.662266931</v>
      </c>
    </row>
    <row r="38" spans="1:14">
      <c r="A38" s="119">
        <v>6228</v>
      </c>
      <c r="B38" s="120" t="s">
        <v>2002</v>
      </c>
      <c r="C38" s="121" t="s">
        <v>2808</v>
      </c>
      <c r="D38" t="s">
        <v>2809</v>
      </c>
      <c r="E38" s="79">
        <v>28</v>
      </c>
      <c r="F38" s="122">
        <v>21700.194857142858</v>
      </c>
      <c r="G38" s="122">
        <v>8865.9348571428563</v>
      </c>
      <c r="H38" s="122">
        <v>3601.65</v>
      </c>
      <c r="I38" s="123">
        <v>34167.779714285709</v>
      </c>
      <c r="J38" s="122">
        <v>715.60400000000004</v>
      </c>
      <c r="K38" s="122">
        <v>450.96408571428572</v>
      </c>
      <c r="L38" s="122">
        <v>612.45000000000005</v>
      </c>
      <c r="M38" s="123">
        <v>1779.0180857142857</v>
      </c>
      <c r="N38" s="123">
        <v>35946.797799999993</v>
      </c>
    </row>
    <row r="39" spans="1:14">
      <c r="A39" s="119">
        <v>6319</v>
      </c>
      <c r="B39" s="120" t="s">
        <v>1831</v>
      </c>
      <c r="C39" s="121" t="s">
        <v>1917</v>
      </c>
      <c r="D39" t="s">
        <v>2810</v>
      </c>
      <c r="E39" s="79">
        <v>8.1999999999999993</v>
      </c>
      <c r="F39" s="122">
        <v>8822583.7606097572</v>
      </c>
      <c r="G39" s="122">
        <v>7281228.4785609767</v>
      </c>
      <c r="H39" s="122">
        <v>1173986.1170792682</v>
      </c>
      <c r="I39" s="123">
        <v>17277798.356250003</v>
      </c>
      <c r="J39" s="122">
        <v>16517723.062804881</v>
      </c>
      <c r="K39" s="122">
        <v>8495132.7584268302</v>
      </c>
      <c r="L39" s="122">
        <v>1270393.3116310977</v>
      </c>
      <c r="M39" s="123">
        <v>26283249.13286281</v>
      </c>
      <c r="N39" s="123">
        <v>43561047.489112809</v>
      </c>
    </row>
    <row r="40" spans="1:14">
      <c r="A40" s="119">
        <v>6319</v>
      </c>
      <c r="B40" s="120" t="s">
        <v>1831</v>
      </c>
      <c r="C40" s="121" t="s">
        <v>1917</v>
      </c>
      <c r="D40" t="s">
        <v>2811</v>
      </c>
      <c r="E40" s="79">
        <v>38.400000000000006</v>
      </c>
      <c r="F40" s="122">
        <v>8871322.3805729169</v>
      </c>
      <c r="G40" s="122">
        <v>6746014.7016927078</v>
      </c>
      <c r="H40" s="122">
        <v>1098800.478476302</v>
      </c>
      <c r="I40" s="123">
        <v>16716137.560741927</v>
      </c>
      <c r="J40" s="122">
        <v>13861014.36877604</v>
      </c>
      <c r="K40" s="122">
        <v>7775893.3027083324</v>
      </c>
      <c r="L40" s="122">
        <v>1158529.5981790365</v>
      </c>
      <c r="M40" s="123">
        <v>22795437.269663408</v>
      </c>
      <c r="N40" s="123">
        <v>39511574.830405332</v>
      </c>
    </row>
    <row r="41" spans="1:14">
      <c r="A41" s="119">
        <v>6319</v>
      </c>
      <c r="B41" s="120" t="s">
        <v>2806</v>
      </c>
      <c r="C41" s="121" t="s">
        <v>1917</v>
      </c>
      <c r="D41" t="s">
        <v>2812</v>
      </c>
      <c r="E41" s="79">
        <v>70.900000000000006</v>
      </c>
      <c r="F41" s="122">
        <v>9319498.7572919596</v>
      </c>
      <c r="G41" s="122">
        <v>6759614.004463328</v>
      </c>
      <c r="H41" s="122">
        <v>1076195.2170720734</v>
      </c>
      <c r="I41" s="123">
        <v>17155307.978827361</v>
      </c>
      <c r="J41" s="122">
        <v>13497913.264330043</v>
      </c>
      <c r="K41" s="122">
        <v>7726912.4228067687</v>
      </c>
      <c r="L41" s="122">
        <v>1132766.071804302</v>
      </c>
      <c r="M41" s="123">
        <v>22357591.758941114</v>
      </c>
      <c r="N41" s="123">
        <v>39512899.737768471</v>
      </c>
    </row>
    <row r="42" spans="1:14">
      <c r="A42" s="119">
        <v>6319</v>
      </c>
      <c r="B42" s="120" t="s">
        <v>1853</v>
      </c>
      <c r="C42" s="121" t="s">
        <v>1917</v>
      </c>
      <c r="D42" t="s">
        <v>2813</v>
      </c>
      <c r="E42" s="79">
        <v>13.400000000000006</v>
      </c>
      <c r="F42" s="122">
        <v>9459204.8108955193</v>
      </c>
      <c r="G42" s="122">
        <v>6775750.1170559675</v>
      </c>
      <c r="H42" s="122">
        <v>1080870.2972373129</v>
      </c>
      <c r="I42" s="123">
        <v>17315825.225188799</v>
      </c>
      <c r="J42" s="122">
        <v>13319843.695298504</v>
      </c>
      <c r="K42" s="122">
        <v>7743693.7723096982</v>
      </c>
      <c r="L42" s="122">
        <v>1139015.3643022384</v>
      </c>
      <c r="M42" s="123">
        <v>22202552.831910439</v>
      </c>
      <c r="N42" s="123">
        <v>39518378.057099238</v>
      </c>
    </row>
    <row r="43" spans="1:14">
      <c r="A43" s="119">
        <v>6516</v>
      </c>
      <c r="B43" s="120" t="s">
        <v>1870</v>
      </c>
      <c r="C43" s="121" t="s">
        <v>2814</v>
      </c>
      <c r="D43" t="s">
        <v>2815</v>
      </c>
      <c r="E43" s="79">
        <v>27.6</v>
      </c>
      <c r="F43" s="122">
        <v>113978.21141304346</v>
      </c>
      <c r="G43" s="122">
        <v>92834.411336956502</v>
      </c>
      <c r="H43" s="122">
        <v>53160.021358695652</v>
      </c>
      <c r="I43" s="123">
        <v>259972.64410869562</v>
      </c>
      <c r="J43" s="122">
        <v>152157.14010869563</v>
      </c>
      <c r="K43" s="122">
        <v>94301.144494565204</v>
      </c>
      <c r="L43" s="122">
        <v>56492.483858695647</v>
      </c>
      <c r="M43" s="123">
        <v>302950.76846195653</v>
      </c>
      <c r="N43" s="123">
        <v>562923.41257065209</v>
      </c>
    </row>
    <row r="44" spans="1:14">
      <c r="A44" s="119">
        <v>6202</v>
      </c>
      <c r="B44" s="120" t="s">
        <v>2002</v>
      </c>
      <c r="C44" s="121" t="s">
        <v>2098</v>
      </c>
      <c r="D44" t="s">
        <v>2816</v>
      </c>
      <c r="E44" s="79">
        <v>97.6</v>
      </c>
      <c r="F44" s="122">
        <v>22593806.948340166</v>
      </c>
      <c r="G44" s="122">
        <v>13024085.067583503</v>
      </c>
      <c r="H44" s="122">
        <v>1921033.1999651641</v>
      </c>
      <c r="I44" s="123">
        <v>37538925.215888828</v>
      </c>
      <c r="J44" s="122">
        <v>14910888.646475412</v>
      </c>
      <c r="K44" s="122">
        <v>13630029.738941086</v>
      </c>
      <c r="L44" s="122">
        <v>2032092.5787704925</v>
      </c>
      <c r="M44" s="123">
        <v>30573010.964186989</v>
      </c>
      <c r="N44" s="123">
        <v>68111936.180075824</v>
      </c>
    </row>
    <row r="45" spans="1:14">
      <c r="A45" s="119">
        <v>6202</v>
      </c>
      <c r="B45" s="120" t="s">
        <v>2002</v>
      </c>
      <c r="C45" s="121" t="s">
        <v>2098</v>
      </c>
      <c r="D45" t="s">
        <v>2817</v>
      </c>
      <c r="E45" s="79">
        <v>46.800000000000011</v>
      </c>
      <c r="F45" s="122">
        <v>25290210.546132468</v>
      </c>
      <c r="G45" s="122">
        <v>14482910.162888885</v>
      </c>
      <c r="H45" s="122">
        <v>2095329.5942422005</v>
      </c>
      <c r="I45" s="123">
        <v>41868450.303263552</v>
      </c>
      <c r="J45" s="122">
        <v>16480961.532735039</v>
      </c>
      <c r="K45" s="122">
        <v>15162943.470665595</v>
      </c>
      <c r="L45" s="122">
        <v>2236588.1147868587</v>
      </c>
      <c r="M45" s="123">
        <v>33880493.118187495</v>
      </c>
      <c r="N45" s="123">
        <v>75748943.421451047</v>
      </c>
    </row>
    <row r="46" spans="1:14">
      <c r="A46" s="119">
        <v>6202</v>
      </c>
      <c r="B46" s="120" t="s">
        <v>2002</v>
      </c>
      <c r="C46" s="121" t="s">
        <v>2098</v>
      </c>
      <c r="D46" t="s">
        <v>2818</v>
      </c>
      <c r="E46" s="79">
        <v>21.199999999999989</v>
      </c>
      <c r="F46" s="122">
        <v>17807582.060141522</v>
      </c>
      <c r="G46" s="122">
        <v>10176566.362044817</v>
      </c>
      <c r="H46" s="122">
        <v>1471871.9093141519</v>
      </c>
      <c r="I46" s="123">
        <v>29456020.331500493</v>
      </c>
      <c r="J46" s="122">
        <v>11466618.273207555</v>
      </c>
      <c r="K46" s="122">
        <v>10643187.674464628</v>
      </c>
      <c r="L46" s="122">
        <v>1588188.58606368</v>
      </c>
      <c r="M46" s="123">
        <v>23697994.533735864</v>
      </c>
      <c r="N46" s="123">
        <v>53154014.865236357</v>
      </c>
    </row>
    <row r="47" spans="1:14">
      <c r="A47" s="119">
        <v>6202</v>
      </c>
      <c r="B47" s="120" t="s">
        <v>2002</v>
      </c>
      <c r="C47" s="121" t="s">
        <v>2098</v>
      </c>
      <c r="D47" t="s">
        <v>2819</v>
      </c>
      <c r="E47" s="79">
        <v>5.5</v>
      </c>
      <c r="F47" s="122">
        <v>22895632.191636365</v>
      </c>
      <c r="G47" s="122">
        <v>13387406.943718178</v>
      </c>
      <c r="H47" s="122">
        <v>2032636.48049</v>
      </c>
      <c r="I47" s="123">
        <v>38315675.61584454</v>
      </c>
      <c r="J47" s="122">
        <v>15162416.154545454</v>
      </c>
      <c r="K47" s="122">
        <v>13961807.728654545</v>
      </c>
      <c r="L47" s="122">
        <v>2177183.794951818</v>
      </c>
      <c r="M47" s="123">
        <v>31301407.678151812</v>
      </c>
      <c r="N47" s="123">
        <v>69617083.293996349</v>
      </c>
    </row>
    <row r="48" spans="1:14">
      <c r="A48" s="119">
        <v>6202</v>
      </c>
      <c r="B48" s="120" t="s">
        <v>2002</v>
      </c>
      <c r="C48" s="121" t="s">
        <v>2098</v>
      </c>
      <c r="D48" t="s">
        <v>2820</v>
      </c>
      <c r="E48" s="79">
        <v>3.4000000000000057</v>
      </c>
      <c r="F48" s="122">
        <v>28817354.871470541</v>
      </c>
      <c r="G48" s="122">
        <v>17438413.019014675</v>
      </c>
      <c r="H48" s="122">
        <v>2662921.5164544065</v>
      </c>
      <c r="I48" s="123">
        <v>48918689.406939626</v>
      </c>
      <c r="J48" s="122">
        <v>21408256.615882315</v>
      </c>
      <c r="K48" s="122">
        <v>17748263.268367622</v>
      </c>
      <c r="L48" s="122">
        <v>2772952.4741911716</v>
      </c>
      <c r="M48" s="123">
        <v>41929472.358441107</v>
      </c>
      <c r="N48" s="123">
        <v>90848161.76538074</v>
      </c>
    </row>
    <row r="49" spans="1:14">
      <c r="A49" s="119">
        <v>6202</v>
      </c>
      <c r="B49" s="120" t="s">
        <v>2002</v>
      </c>
      <c r="C49" s="121" t="s">
        <v>2098</v>
      </c>
      <c r="D49" t="s">
        <v>2821</v>
      </c>
      <c r="E49" s="79">
        <v>1.3000000000000114</v>
      </c>
      <c r="F49" s="122">
        <v>38727084.221538119</v>
      </c>
      <c r="G49" s="122">
        <v>16828114.953115236</v>
      </c>
      <c r="H49" s="122">
        <v>2820764.1570192063</v>
      </c>
      <c r="I49" s="123">
        <v>58375963.331672564</v>
      </c>
      <c r="J49" s="122">
        <v>11631577.449230667</v>
      </c>
      <c r="K49" s="122">
        <v>16781487.317884468</v>
      </c>
      <c r="L49" s="122">
        <v>2883898.2203268977</v>
      </c>
      <c r="M49" s="123">
        <v>31296962.987442035</v>
      </c>
      <c r="N49" s="123">
        <v>89672926.319114611</v>
      </c>
    </row>
    <row r="50" spans="1:14">
      <c r="A50" s="119">
        <v>6354</v>
      </c>
      <c r="B50" s="120" t="s">
        <v>1853</v>
      </c>
      <c r="C50" s="121" t="s">
        <v>2822</v>
      </c>
      <c r="D50" t="s">
        <v>2823</v>
      </c>
      <c r="E50" s="79">
        <v>28.299999999999997</v>
      </c>
      <c r="F50" s="122">
        <v>274602.47067137813</v>
      </c>
      <c r="G50" s="122">
        <v>82402.563722614839</v>
      </c>
      <c r="H50" s="122">
        <v>19289.982340989402</v>
      </c>
      <c r="I50" s="123">
        <v>376295.01673498238</v>
      </c>
      <c r="J50" s="122">
        <v>0</v>
      </c>
      <c r="K50" s="122">
        <v>84142.229941696118</v>
      </c>
      <c r="L50" s="122">
        <v>11838.265653710248</v>
      </c>
      <c r="M50" s="123">
        <v>95980.495595406363</v>
      </c>
      <c r="N50" s="123">
        <v>472275.51233038877</v>
      </c>
    </row>
    <row r="51" spans="1:14">
      <c r="A51" s="119">
        <v>6113</v>
      </c>
      <c r="B51" s="120" t="s">
        <v>1928</v>
      </c>
      <c r="C51" s="121" t="s">
        <v>2824</v>
      </c>
      <c r="D51" t="s">
        <v>2825</v>
      </c>
      <c r="E51" s="79">
        <v>9.9</v>
      </c>
      <c r="F51" s="122">
        <v>0</v>
      </c>
      <c r="G51" s="122">
        <v>0</v>
      </c>
      <c r="H51" s="122">
        <v>0</v>
      </c>
      <c r="I51" s="123">
        <v>0</v>
      </c>
      <c r="J51" s="122">
        <v>0</v>
      </c>
      <c r="K51" s="122">
        <v>0</v>
      </c>
      <c r="L51" s="122">
        <v>0</v>
      </c>
      <c r="M51" s="123">
        <v>0</v>
      </c>
      <c r="N51" s="123">
        <v>0</v>
      </c>
    </row>
    <row r="52" spans="1:14">
      <c r="A52" s="119">
        <v>6318</v>
      </c>
      <c r="B52" s="120" t="s">
        <v>1831</v>
      </c>
      <c r="C52" s="121" t="s">
        <v>1826</v>
      </c>
      <c r="D52" t="s">
        <v>2826</v>
      </c>
      <c r="E52" s="79">
        <v>1.9</v>
      </c>
      <c r="F52" s="122">
        <v>13392913.266842104</v>
      </c>
      <c r="G52" s="122">
        <v>13997915.011368422</v>
      </c>
      <c r="H52" s="122">
        <v>2180639.2531594737</v>
      </c>
      <c r="I52" s="123">
        <v>29571467.531369999</v>
      </c>
      <c r="J52" s="122">
        <v>28060457.348421052</v>
      </c>
      <c r="K52" s="122">
        <v>13377553.753710527</v>
      </c>
      <c r="L52" s="122">
        <v>1913790.3518294739</v>
      </c>
      <c r="M52" s="123">
        <v>43351801.453961052</v>
      </c>
      <c r="N52" s="123">
        <v>72923268.985331044</v>
      </c>
    </row>
    <row r="53" spans="1:14">
      <c r="A53" s="119">
        <v>6318</v>
      </c>
      <c r="B53" s="120" t="s">
        <v>1831</v>
      </c>
      <c r="C53" s="121" t="s">
        <v>1826</v>
      </c>
      <c r="D53" t="s">
        <v>2827</v>
      </c>
      <c r="E53" s="79">
        <v>3.8000000000000003</v>
      </c>
      <c r="F53" s="122">
        <v>9295361.4147368427</v>
      </c>
      <c r="G53" s="122">
        <v>11013831.783171052</v>
      </c>
      <c r="H53" s="122">
        <v>1595596.1742647369</v>
      </c>
      <c r="I53" s="123">
        <v>21904789.372172631</v>
      </c>
      <c r="J53" s="122">
        <v>25525998.641842104</v>
      </c>
      <c r="K53" s="122">
        <v>12139970.136881577</v>
      </c>
      <c r="L53" s="122">
        <v>1639202.8721489471</v>
      </c>
      <c r="M53" s="123">
        <v>39305171.650872625</v>
      </c>
      <c r="N53" s="123">
        <v>61209961.023045257</v>
      </c>
    </row>
    <row r="54" spans="1:14">
      <c r="A54" s="119">
        <v>6318</v>
      </c>
      <c r="B54" s="120" t="s">
        <v>1831</v>
      </c>
      <c r="C54" s="121" t="s">
        <v>1826</v>
      </c>
      <c r="D54" t="s">
        <v>2828</v>
      </c>
      <c r="E54" s="79">
        <v>50.599999999999994</v>
      </c>
      <c r="F54" s="122">
        <v>9282992.1114229262</v>
      </c>
      <c r="G54" s="122">
        <v>10696430.441903163</v>
      </c>
      <c r="H54" s="122">
        <v>1555720.198476423</v>
      </c>
      <c r="I54" s="123">
        <v>21535142.751802512</v>
      </c>
      <c r="J54" s="122">
        <v>24577152.089466412</v>
      </c>
      <c r="K54" s="122">
        <v>11802110.024663044</v>
      </c>
      <c r="L54" s="122">
        <v>1604460.6390499407</v>
      </c>
      <c r="M54" s="123">
        <v>37983722.753179401</v>
      </c>
      <c r="N54" s="123">
        <v>59518865.504981905</v>
      </c>
    </row>
    <row r="55" spans="1:14">
      <c r="A55" s="119">
        <v>6318</v>
      </c>
      <c r="B55" s="120" t="s">
        <v>1831</v>
      </c>
      <c r="C55" s="121" t="s">
        <v>1826</v>
      </c>
      <c r="D55" t="s">
        <v>2829</v>
      </c>
      <c r="E55" s="79">
        <v>76.8</v>
      </c>
      <c r="F55" s="122">
        <v>8518856.9336067718</v>
      </c>
      <c r="G55" s="122">
        <v>7109419.1198183587</v>
      </c>
      <c r="H55" s="122">
        <v>1116535.1175852865</v>
      </c>
      <c r="I55" s="123">
        <v>16744811.171010416</v>
      </c>
      <c r="J55" s="122">
        <v>16312027.537408853</v>
      </c>
      <c r="K55" s="122">
        <v>8360211.1770078121</v>
      </c>
      <c r="L55" s="122">
        <v>1197742.8512561852</v>
      </c>
      <c r="M55" s="123">
        <v>25869981.565672852</v>
      </c>
      <c r="N55" s="123">
        <v>42614792.736683264</v>
      </c>
    </row>
    <row r="56" spans="1:14">
      <c r="A56" s="119">
        <v>6421</v>
      </c>
      <c r="B56" s="120" t="s">
        <v>1870</v>
      </c>
      <c r="C56" s="121" t="s">
        <v>2830</v>
      </c>
      <c r="D56" t="s">
        <v>2831</v>
      </c>
      <c r="E56" s="79">
        <v>3.2000000000000028</v>
      </c>
      <c r="F56" s="122">
        <v>1027521.074687499</v>
      </c>
      <c r="G56" s="122">
        <v>483843.58009374957</v>
      </c>
      <c r="H56" s="122">
        <v>298664.04468749976</v>
      </c>
      <c r="I56" s="123">
        <v>1810028.6994687484</v>
      </c>
      <c r="J56" s="122">
        <v>1034766.142812499</v>
      </c>
      <c r="K56" s="122">
        <v>434887.09073437465</v>
      </c>
      <c r="L56" s="122">
        <v>282081.81374999974</v>
      </c>
      <c r="M56" s="123">
        <v>1751735.0472968731</v>
      </c>
      <c r="N56" s="123">
        <v>3561763.7467656219</v>
      </c>
    </row>
    <row r="57" spans="1:14">
      <c r="A57" s="119">
        <v>6421</v>
      </c>
      <c r="B57" s="120" t="s">
        <v>1870</v>
      </c>
      <c r="C57" s="121" t="s">
        <v>2830</v>
      </c>
      <c r="D57" t="s">
        <v>2832</v>
      </c>
      <c r="E57" s="79">
        <v>6.7000000000000028</v>
      </c>
      <c r="F57" s="122">
        <v>8616336.2262686528</v>
      </c>
      <c r="G57" s="122">
        <v>6378475.9290149221</v>
      </c>
      <c r="H57" s="122">
        <v>1077004.1563802978</v>
      </c>
      <c r="I57" s="123">
        <v>16071816.311663873</v>
      </c>
      <c r="J57" s="122">
        <v>10238234.465074621</v>
      </c>
      <c r="K57" s="122">
        <v>6763028.5066567129</v>
      </c>
      <c r="L57" s="122">
        <v>1100871.2436605967</v>
      </c>
      <c r="M57" s="123">
        <v>18102134.21539193</v>
      </c>
      <c r="N57" s="123">
        <v>34173950.527055807</v>
      </c>
    </row>
    <row r="58" spans="1:14">
      <c r="A58" s="119">
        <v>6421</v>
      </c>
      <c r="B58" s="120" t="s">
        <v>1870</v>
      </c>
      <c r="C58" s="121" t="s">
        <v>2830</v>
      </c>
      <c r="D58" t="s">
        <v>2833</v>
      </c>
      <c r="E58" s="79">
        <v>25.299999999999997</v>
      </c>
      <c r="F58" s="122">
        <v>7701472.7984584998</v>
      </c>
      <c r="G58" s="122">
        <v>6164620.4288952574</v>
      </c>
      <c r="H58" s="122">
        <v>1018489.5169993875</v>
      </c>
      <c r="I58" s="123">
        <v>14884582.744353143</v>
      </c>
      <c r="J58" s="122">
        <v>10452517.726758894</v>
      </c>
      <c r="K58" s="122">
        <v>6772939.673675891</v>
      </c>
      <c r="L58" s="122">
        <v>1055708.6138619368</v>
      </c>
      <c r="M58" s="123">
        <v>18281166.014296722</v>
      </c>
      <c r="N58" s="123">
        <v>33165748.758649867</v>
      </c>
    </row>
    <row r="59" spans="1:14">
      <c r="A59" s="119">
        <v>6421</v>
      </c>
      <c r="B59" s="120" t="s">
        <v>1870</v>
      </c>
      <c r="C59" s="121" t="s">
        <v>2830</v>
      </c>
      <c r="D59" t="s">
        <v>2834</v>
      </c>
      <c r="E59" s="79">
        <v>8.7000000000000028</v>
      </c>
      <c r="F59" s="122">
        <v>6934713.0193103421</v>
      </c>
      <c r="G59" s="122">
        <v>5871652.5348735619</v>
      </c>
      <c r="H59" s="122">
        <v>965748.83770057454</v>
      </c>
      <c r="I59" s="123">
        <v>13772114.39188448</v>
      </c>
      <c r="J59" s="122">
        <v>10908453.515747122</v>
      </c>
      <c r="K59" s="122">
        <v>6867264.0453620665</v>
      </c>
      <c r="L59" s="122">
        <v>1016822.9597856894</v>
      </c>
      <c r="M59" s="123">
        <v>18792540.520894881</v>
      </c>
      <c r="N59" s="123">
        <v>32564654.912779361</v>
      </c>
    </row>
    <row r="60" spans="1:14">
      <c r="A60" s="119">
        <v>6003</v>
      </c>
      <c r="B60" s="120" t="s">
        <v>1928</v>
      </c>
      <c r="C60" s="121" t="s">
        <v>893</v>
      </c>
      <c r="D60" t="s">
        <v>2835</v>
      </c>
      <c r="E60" s="79">
        <v>87</v>
      </c>
      <c r="F60" s="122">
        <v>93006.656850574727</v>
      </c>
      <c r="G60" s="122">
        <v>62905.105255172413</v>
      </c>
      <c r="H60" s="122">
        <v>6222.1984999999995</v>
      </c>
      <c r="I60" s="123">
        <v>162133.96060574715</v>
      </c>
      <c r="J60" s="122">
        <v>8668574.3921034448</v>
      </c>
      <c r="K60" s="122">
        <v>15740321.756405748</v>
      </c>
      <c r="L60" s="122">
        <v>2477815.4099522978</v>
      </c>
      <c r="M60" s="123">
        <v>26886711.558461491</v>
      </c>
      <c r="N60" s="123">
        <v>27048845.519067239</v>
      </c>
    </row>
    <row r="61" spans="1:14">
      <c r="A61" s="119">
        <v>6003</v>
      </c>
      <c r="B61" s="120" t="s">
        <v>1928</v>
      </c>
      <c r="C61" s="121" t="s">
        <v>893</v>
      </c>
      <c r="D61" t="s">
        <v>2836</v>
      </c>
      <c r="E61" s="79">
        <v>22.400000000000006</v>
      </c>
      <c r="F61" s="122">
        <v>20190840.16616071</v>
      </c>
      <c r="G61" s="122">
        <v>9140120.7364620492</v>
      </c>
      <c r="H61" s="122">
        <v>1444367.3667299103</v>
      </c>
      <c r="I61" s="123">
        <v>30775328.269352671</v>
      </c>
      <c r="J61" s="122">
        <v>4895237.2094642855</v>
      </c>
      <c r="K61" s="122">
        <v>10280291.155029016</v>
      </c>
      <c r="L61" s="122">
        <v>1537796.2709732144</v>
      </c>
      <c r="M61" s="123">
        <v>16713324.635466514</v>
      </c>
      <c r="N61" s="123">
        <v>47488652.904819183</v>
      </c>
    </row>
    <row r="62" spans="1:14">
      <c r="A62" s="119">
        <v>6003</v>
      </c>
      <c r="B62" s="120" t="s">
        <v>1928</v>
      </c>
      <c r="C62" s="121" t="s">
        <v>893</v>
      </c>
      <c r="D62" t="s">
        <v>2837</v>
      </c>
      <c r="E62" s="79">
        <v>2.5</v>
      </c>
      <c r="F62" s="122">
        <v>1923923.4811999996</v>
      </c>
      <c r="G62" s="122">
        <v>5628558.1167799998</v>
      </c>
      <c r="H62" s="122">
        <v>939822.51826000004</v>
      </c>
      <c r="I62" s="123">
        <v>8492304.1162400004</v>
      </c>
      <c r="J62" s="122">
        <v>6917840.8099999996</v>
      </c>
      <c r="K62" s="122">
        <v>21870382.137260001</v>
      </c>
      <c r="L62" s="122">
        <v>3599889.6813199995</v>
      </c>
      <c r="M62" s="123">
        <v>32388112.628579997</v>
      </c>
      <c r="N62" s="123">
        <v>40880416.744819999</v>
      </c>
    </row>
    <row r="63" spans="1:14">
      <c r="A63" s="119">
        <v>6003</v>
      </c>
      <c r="B63" s="120" t="s">
        <v>1928</v>
      </c>
      <c r="C63" s="121" t="s">
        <v>893</v>
      </c>
      <c r="D63" t="s">
        <v>2838</v>
      </c>
      <c r="E63" s="79">
        <v>0.5</v>
      </c>
      <c r="F63" s="122">
        <v>20202404.732000001</v>
      </c>
      <c r="G63" s="122">
        <v>22487341.973999999</v>
      </c>
      <c r="H63" s="122">
        <v>3826291.3348999997</v>
      </c>
      <c r="I63" s="123">
        <v>46516038.040899999</v>
      </c>
      <c r="J63" s="122">
        <v>38080514.892000005</v>
      </c>
      <c r="K63" s="122">
        <v>21903696.5977</v>
      </c>
      <c r="L63" s="122">
        <v>3955075.3221</v>
      </c>
      <c r="M63" s="123">
        <v>63939286.811800003</v>
      </c>
      <c r="N63" s="123">
        <v>110455324.8527</v>
      </c>
    </row>
    <row r="64" spans="1:14">
      <c r="A64" s="119">
        <v>6003</v>
      </c>
      <c r="B64" s="120" t="s">
        <v>1928</v>
      </c>
      <c r="C64" s="121" t="s">
        <v>893</v>
      </c>
      <c r="D64" t="s">
        <v>2839</v>
      </c>
      <c r="E64" s="79">
        <v>2.5999999999999943</v>
      </c>
      <c r="F64" s="122">
        <v>21388353.008461583</v>
      </c>
      <c r="G64" s="122">
        <v>7439816.9734230926</v>
      </c>
      <c r="H64" s="122">
        <v>1365638.5412307722</v>
      </c>
      <c r="I64" s="123">
        <v>30193808.523115449</v>
      </c>
      <c r="J64" s="122">
        <v>2570744.1446153903</v>
      </c>
      <c r="K64" s="122">
        <v>7347947.4502500165</v>
      </c>
      <c r="L64" s="122">
        <v>1194310.200384618</v>
      </c>
      <c r="M64" s="123">
        <v>11113001.795250025</v>
      </c>
      <c r="N64" s="123">
        <v>41306810.318365477</v>
      </c>
    </row>
    <row r="65" spans="1:14">
      <c r="A65" s="119">
        <v>6003</v>
      </c>
      <c r="B65" s="120" t="s">
        <v>1928</v>
      </c>
      <c r="C65" s="121" t="s">
        <v>893</v>
      </c>
      <c r="D65" t="s">
        <v>2840</v>
      </c>
      <c r="E65" s="79">
        <v>0.59999999999999432</v>
      </c>
      <c r="F65" s="122">
        <v>30949992.865000293</v>
      </c>
      <c r="G65" s="122">
        <v>10679292.368750103</v>
      </c>
      <c r="H65" s="122">
        <v>1885618.857250018</v>
      </c>
      <c r="I65" s="123">
        <v>43514904.091000415</v>
      </c>
      <c r="J65" s="122">
        <v>3824600.7050000359</v>
      </c>
      <c r="K65" s="122">
        <v>10659382.2040001</v>
      </c>
      <c r="L65" s="122">
        <v>1665063.1787500156</v>
      </c>
      <c r="M65" s="123">
        <v>16149046.087750154</v>
      </c>
      <c r="N65" s="123">
        <v>59663950.178750575</v>
      </c>
    </row>
    <row r="66" spans="1:14">
      <c r="A66" s="119">
        <v>6003</v>
      </c>
      <c r="B66" s="120" t="s">
        <v>1928</v>
      </c>
      <c r="C66" s="121" t="s">
        <v>893</v>
      </c>
      <c r="D66" t="s">
        <v>2841</v>
      </c>
      <c r="E66" s="79">
        <v>8.5</v>
      </c>
      <c r="F66" s="122">
        <v>16900163.678941179</v>
      </c>
      <c r="G66" s="122">
        <v>6120292.4462058824</v>
      </c>
      <c r="H66" s="122">
        <v>1049917.9112294116</v>
      </c>
      <c r="I66" s="123">
        <v>24070374.036376473</v>
      </c>
      <c r="J66" s="122">
        <v>2823460.5797647061</v>
      </c>
      <c r="K66" s="122">
        <v>6065737.8380588237</v>
      </c>
      <c r="L66" s="122">
        <v>895402.77052941173</v>
      </c>
      <c r="M66" s="123">
        <v>9784601.1883529425</v>
      </c>
      <c r="N66" s="123">
        <v>33854975.224729411</v>
      </c>
    </row>
    <row r="67" spans="1:14">
      <c r="A67" s="119">
        <v>6003</v>
      </c>
      <c r="B67" s="120" t="s">
        <v>1928</v>
      </c>
      <c r="C67" s="121" t="s">
        <v>893</v>
      </c>
      <c r="D67" t="s">
        <v>2842</v>
      </c>
      <c r="E67" s="79">
        <v>5</v>
      </c>
      <c r="F67" s="122">
        <v>12793837.797</v>
      </c>
      <c r="G67" s="122">
        <v>5735171.6541900011</v>
      </c>
      <c r="H67" s="122">
        <v>904887.89899999998</v>
      </c>
      <c r="I67" s="123">
        <v>19433897.350190002</v>
      </c>
      <c r="J67" s="122">
        <v>6278483.7517999988</v>
      </c>
      <c r="K67" s="122">
        <v>5742213.5423600003</v>
      </c>
      <c r="L67" s="122">
        <v>801752.24777000002</v>
      </c>
      <c r="M67" s="123">
        <v>12822449.541929999</v>
      </c>
      <c r="N67" s="123">
        <v>32256346.892120004</v>
      </c>
    </row>
    <row r="68" spans="1:14">
      <c r="A68" s="119">
        <v>6023</v>
      </c>
      <c r="B68" s="120" t="s">
        <v>1928</v>
      </c>
      <c r="C68" s="121" t="s">
        <v>2843</v>
      </c>
      <c r="D68" t="s">
        <v>2844</v>
      </c>
      <c r="E68" s="79">
        <v>68.5</v>
      </c>
      <c r="F68" s="122">
        <v>43004208.498700731</v>
      </c>
      <c r="G68" s="122">
        <v>15855095.364440145</v>
      </c>
      <c r="H68" s="122">
        <v>2399760.6705474453</v>
      </c>
      <c r="I68" s="123">
        <v>61259064.533688322</v>
      </c>
      <c r="J68" s="122">
        <v>101991.55056934308</v>
      </c>
      <c r="K68" s="122">
        <v>42226.457293430656</v>
      </c>
      <c r="L68" s="122">
        <v>30304.453302919705</v>
      </c>
      <c r="M68" s="123">
        <v>174522.46116569344</v>
      </c>
      <c r="N68" s="123">
        <v>61433586.994854018</v>
      </c>
    </row>
    <row r="69" spans="1:14">
      <c r="A69" s="119">
        <v>6022</v>
      </c>
      <c r="B69" s="120" t="s">
        <v>1928</v>
      </c>
      <c r="C69" s="121" t="s">
        <v>2845</v>
      </c>
      <c r="D69" t="s">
        <v>2846</v>
      </c>
      <c r="E69" s="79">
        <v>87.4</v>
      </c>
      <c r="F69" s="122">
        <v>39903666.398832947</v>
      </c>
      <c r="G69" s="122">
        <v>15068604.535922769</v>
      </c>
      <c r="H69" s="122">
        <v>2323955.1074885582</v>
      </c>
      <c r="I69" s="123">
        <v>57296226.04224427</v>
      </c>
      <c r="J69" s="122">
        <v>3034.7429977116703</v>
      </c>
      <c r="K69" s="122">
        <v>1349.1379004576659</v>
      </c>
      <c r="L69" s="122">
        <v>561.28160183066359</v>
      </c>
      <c r="M69" s="123">
        <v>4945.1624999999995</v>
      </c>
      <c r="N69" s="123">
        <v>57301171.204744279</v>
      </c>
    </row>
    <row r="70" spans="1:14">
      <c r="A70" s="119">
        <v>6022</v>
      </c>
      <c r="B70" s="120" t="s">
        <v>1928</v>
      </c>
      <c r="C70" s="121" t="s">
        <v>2845</v>
      </c>
      <c r="D70" t="s">
        <v>2847</v>
      </c>
      <c r="E70" s="79">
        <v>14.299999999999997</v>
      </c>
      <c r="F70" s="122">
        <v>13801314.966853149</v>
      </c>
      <c r="G70" s="122">
        <v>4006232.1081713298</v>
      </c>
      <c r="H70" s="122">
        <v>611492.538846154</v>
      </c>
      <c r="I70" s="123">
        <v>18419039.613870636</v>
      </c>
      <c r="J70" s="122">
        <v>886946.66552447574</v>
      </c>
      <c r="K70" s="122">
        <v>940403.30773076939</v>
      </c>
      <c r="L70" s="122">
        <v>200401.79258741264</v>
      </c>
      <c r="M70" s="123">
        <v>2027751.7658426578</v>
      </c>
      <c r="N70" s="123">
        <v>20446791.379713289</v>
      </c>
    </row>
    <row r="71" spans="1:14">
      <c r="A71" s="119">
        <v>6022</v>
      </c>
      <c r="B71" s="120" t="s">
        <v>1928</v>
      </c>
      <c r="C71" s="121" t="s">
        <v>2845</v>
      </c>
      <c r="D71" t="s">
        <v>2848</v>
      </c>
      <c r="E71" s="79">
        <v>12.099999999999994</v>
      </c>
      <c r="F71" s="122">
        <v>5252278.1176033076</v>
      </c>
      <c r="G71" s="122">
        <v>1348476.5200909097</v>
      </c>
      <c r="H71" s="122">
        <v>187870.23214876041</v>
      </c>
      <c r="I71" s="123">
        <v>6788624.8698429782</v>
      </c>
      <c r="J71" s="122">
        <v>237825.46942148768</v>
      </c>
      <c r="K71" s="122">
        <v>327196.76884297538</v>
      </c>
      <c r="L71" s="122">
        <v>127455.25392561989</v>
      </c>
      <c r="M71" s="123">
        <v>692477.49219008291</v>
      </c>
      <c r="N71" s="123">
        <v>7481102.3620330608</v>
      </c>
    </row>
    <row r="72" spans="1:14">
      <c r="A72" s="119">
        <v>6544</v>
      </c>
      <c r="B72" s="120" t="s">
        <v>1870</v>
      </c>
      <c r="C72" s="121" t="s">
        <v>2849</v>
      </c>
      <c r="D72" t="s">
        <v>2850</v>
      </c>
      <c r="E72" s="79">
        <v>102.1</v>
      </c>
      <c r="F72" s="122">
        <v>0</v>
      </c>
      <c r="G72" s="122">
        <v>0</v>
      </c>
      <c r="H72" s="122">
        <v>0</v>
      </c>
      <c r="I72" s="123">
        <v>0</v>
      </c>
      <c r="J72" s="122">
        <v>11876736.376276923</v>
      </c>
      <c r="K72" s="122">
        <v>7309095.0649215383</v>
      </c>
      <c r="L72" s="122">
        <v>1074832.2287369694</v>
      </c>
      <c r="M72" s="123">
        <v>20260663.669935431</v>
      </c>
      <c r="N72" s="123">
        <v>20260663.669935431</v>
      </c>
    </row>
    <row r="73" spans="1:14">
      <c r="A73" s="119">
        <v>6114</v>
      </c>
      <c r="B73" s="120" t="s">
        <v>1928</v>
      </c>
      <c r="C73" s="121" t="s">
        <v>2851</v>
      </c>
      <c r="D73" t="s">
        <v>2852</v>
      </c>
      <c r="E73" s="79">
        <v>11.9</v>
      </c>
      <c r="F73" s="122">
        <v>419520.14218487393</v>
      </c>
      <c r="G73" s="122">
        <v>427645.52818487398</v>
      </c>
      <c r="H73" s="122">
        <v>163789.91521008403</v>
      </c>
      <c r="I73" s="123">
        <v>1010955.5855798321</v>
      </c>
      <c r="J73" s="122">
        <v>772640.64453781524</v>
      </c>
      <c r="K73" s="122">
        <v>423969.52605042019</v>
      </c>
      <c r="L73" s="122">
        <v>165697.3281512605</v>
      </c>
      <c r="M73" s="123">
        <v>1362307.4987394959</v>
      </c>
      <c r="N73" s="123">
        <v>2373263.084319328</v>
      </c>
    </row>
    <row r="74" spans="1:14">
      <c r="A74" s="119">
        <v>6114</v>
      </c>
      <c r="B74" s="120" t="s">
        <v>1928</v>
      </c>
      <c r="C74" s="121" t="s">
        <v>2851</v>
      </c>
      <c r="D74" t="s">
        <v>2853</v>
      </c>
      <c r="E74" s="79">
        <v>13.799999999999999</v>
      </c>
      <c r="F74" s="122">
        <v>417413.10028985515</v>
      </c>
      <c r="G74" s="122">
        <v>421992.65916666668</v>
      </c>
      <c r="H74" s="122">
        <v>162897.25355072468</v>
      </c>
      <c r="I74" s="123">
        <v>1002303.0130072465</v>
      </c>
      <c r="J74" s="122">
        <v>767482.3581159421</v>
      </c>
      <c r="K74" s="122">
        <v>420383.95986594202</v>
      </c>
      <c r="L74" s="122">
        <v>164957.05967391306</v>
      </c>
      <c r="M74" s="123">
        <v>1352823.3776557974</v>
      </c>
      <c r="N74" s="123">
        <v>2355126.3906630436</v>
      </c>
    </row>
    <row r="75" spans="1:14">
      <c r="A75" s="119">
        <v>6114</v>
      </c>
      <c r="B75" s="120" t="s">
        <v>1928</v>
      </c>
      <c r="C75" s="121" t="s">
        <v>2851</v>
      </c>
      <c r="D75" t="s">
        <v>2854</v>
      </c>
      <c r="E75" s="79">
        <v>18.400000000000002</v>
      </c>
      <c r="F75" s="122">
        <v>356314.73858695652</v>
      </c>
      <c r="G75" s="122">
        <v>283947.67686684779</v>
      </c>
      <c r="H75" s="122">
        <v>176021.00673913039</v>
      </c>
      <c r="I75" s="123">
        <v>816283.42219293467</v>
      </c>
      <c r="J75" s="122">
        <v>259466.32483695651</v>
      </c>
      <c r="K75" s="122">
        <v>190866.85420108694</v>
      </c>
      <c r="L75" s="122">
        <v>165736.58864130435</v>
      </c>
      <c r="M75" s="123">
        <v>616069.76767934777</v>
      </c>
      <c r="N75" s="123">
        <v>1432353.1898722823</v>
      </c>
    </row>
    <row r="76" spans="1:14">
      <c r="A76" s="119">
        <v>6114</v>
      </c>
      <c r="B76" s="120" t="s">
        <v>1928</v>
      </c>
      <c r="C76" s="121" t="s">
        <v>2851</v>
      </c>
      <c r="D76" t="s">
        <v>2855</v>
      </c>
      <c r="E76" s="79">
        <v>3.8999999999999986</v>
      </c>
      <c r="F76" s="122">
        <v>29649.42974358975</v>
      </c>
      <c r="G76" s="122">
        <v>28038.635064102575</v>
      </c>
      <c r="H76" s="122">
        <v>15325.445512820517</v>
      </c>
      <c r="I76" s="123">
        <v>73013.51032051284</v>
      </c>
      <c r="J76" s="122">
        <v>13327.084615384621</v>
      </c>
      <c r="K76" s="122">
        <v>12128.524243589749</v>
      </c>
      <c r="L76" s="122">
        <v>7390.6017948717972</v>
      </c>
      <c r="M76" s="123">
        <v>32846.210653846167</v>
      </c>
      <c r="N76" s="123">
        <v>105859.72097435901</v>
      </c>
    </row>
    <row r="77" spans="1:14">
      <c r="A77" s="119">
        <v>4021</v>
      </c>
      <c r="B77" s="120" t="s">
        <v>1853</v>
      </c>
      <c r="C77" s="121" t="s">
        <v>2856</v>
      </c>
      <c r="D77" t="s">
        <v>2857</v>
      </c>
      <c r="E77" s="79">
        <v>5.2</v>
      </c>
      <c r="F77" s="122">
        <v>1552520.2899999998</v>
      </c>
      <c r="G77" s="122">
        <v>404711.17963461537</v>
      </c>
      <c r="H77" s="122">
        <v>19317.912355769229</v>
      </c>
      <c r="I77" s="123">
        <v>1976549.3819903843</v>
      </c>
      <c r="J77" s="122">
        <v>1095.5561538461538</v>
      </c>
      <c r="K77" s="122">
        <v>356586.84676923073</v>
      </c>
      <c r="L77" s="122">
        <v>25477.034374999996</v>
      </c>
      <c r="M77" s="123">
        <v>383159.43729807687</v>
      </c>
      <c r="N77" s="123">
        <v>2359708.8192884615</v>
      </c>
    </row>
    <row r="78" spans="1:14">
      <c r="A78" s="119">
        <v>6111</v>
      </c>
      <c r="B78" s="120" t="s">
        <v>1928</v>
      </c>
      <c r="C78" s="121" t="s">
        <v>1924</v>
      </c>
      <c r="D78" t="s">
        <v>2858</v>
      </c>
      <c r="E78" s="79">
        <v>7.1</v>
      </c>
      <c r="F78" s="122">
        <v>14057828.796197185</v>
      </c>
      <c r="G78" s="122">
        <v>5052562.165204226</v>
      </c>
      <c r="H78" s="122">
        <v>877642.92408450705</v>
      </c>
      <c r="I78" s="123">
        <v>19988033.885485921</v>
      </c>
      <c r="J78" s="122">
        <v>1924097.3215492957</v>
      </c>
      <c r="K78" s="122">
        <v>4942228.6502464786</v>
      </c>
      <c r="L78" s="122">
        <v>830077.36484154931</v>
      </c>
      <c r="M78" s="123">
        <v>7696403.3366373237</v>
      </c>
      <c r="N78" s="123">
        <v>27684437.222123243</v>
      </c>
    </row>
    <row r="79" spans="1:14">
      <c r="A79" s="119">
        <v>6111</v>
      </c>
      <c r="B79" s="120" t="s">
        <v>1928</v>
      </c>
      <c r="C79" s="121" t="s">
        <v>1924</v>
      </c>
      <c r="D79" t="s">
        <v>2859</v>
      </c>
      <c r="E79" s="79">
        <v>10.6</v>
      </c>
      <c r="F79" s="122">
        <v>14760862.027358493</v>
      </c>
      <c r="G79" s="122">
        <v>5383720.2876273589</v>
      </c>
      <c r="H79" s="122">
        <v>925642.11797169817</v>
      </c>
      <c r="I79" s="123">
        <v>21070224.432957549</v>
      </c>
      <c r="J79" s="122">
        <v>1474197.7695283019</v>
      </c>
      <c r="K79" s="122">
        <v>3243048.969584906</v>
      </c>
      <c r="L79" s="122">
        <v>556194.71261792455</v>
      </c>
      <c r="M79" s="123">
        <v>5273441.4517311323</v>
      </c>
      <c r="N79" s="123">
        <v>26343665.884688683</v>
      </c>
    </row>
    <row r="80" spans="1:14">
      <c r="A80" s="119">
        <v>6111</v>
      </c>
      <c r="B80" s="120" t="s">
        <v>1928</v>
      </c>
      <c r="C80" s="121" t="s">
        <v>1924</v>
      </c>
      <c r="D80" t="s">
        <v>2860</v>
      </c>
      <c r="E80" s="79">
        <v>77.8</v>
      </c>
      <c r="F80" s="122">
        <v>40473898.099318758</v>
      </c>
      <c r="G80" s="122">
        <v>9711765.4829241633</v>
      </c>
      <c r="H80" s="122">
        <v>1864902.0555912599</v>
      </c>
      <c r="I80" s="123">
        <v>52050565.637834184</v>
      </c>
      <c r="J80" s="122">
        <v>1008263.6343573264</v>
      </c>
      <c r="K80" s="122">
        <v>9699816.5383984577</v>
      </c>
      <c r="L80" s="122">
        <v>1795104.039080977</v>
      </c>
      <c r="M80" s="123">
        <v>12503184.211836761</v>
      </c>
      <c r="N80" s="123">
        <v>64553749.849670947</v>
      </c>
    </row>
    <row r="81" spans="1:14">
      <c r="A81" s="119">
        <v>6111</v>
      </c>
      <c r="B81" s="120" t="s">
        <v>1928</v>
      </c>
      <c r="C81" s="121" t="s">
        <v>1924</v>
      </c>
      <c r="D81" t="s">
        <v>2861</v>
      </c>
      <c r="E81" s="79">
        <v>9.9000000000000057</v>
      </c>
      <c r="F81" s="122">
        <v>11514008.360505044</v>
      </c>
      <c r="G81" s="122">
        <v>3868975.8637424214</v>
      </c>
      <c r="H81" s="122">
        <v>953113.82328282762</v>
      </c>
      <c r="I81" s="123">
        <v>16336098.047530292</v>
      </c>
      <c r="J81" s="122">
        <v>1663017.747979797</v>
      </c>
      <c r="K81" s="122">
        <v>5060178.7812474715</v>
      </c>
      <c r="L81" s="122">
        <v>1012824.6753535346</v>
      </c>
      <c r="M81" s="123">
        <v>7736021.2045808034</v>
      </c>
      <c r="N81" s="123">
        <v>24072119.252111096</v>
      </c>
    </row>
    <row r="82" spans="1:14">
      <c r="A82" s="119">
        <v>6111</v>
      </c>
      <c r="B82" s="120" t="s">
        <v>1928</v>
      </c>
      <c r="C82" s="121" t="s">
        <v>1924</v>
      </c>
      <c r="D82" t="s">
        <v>2862</v>
      </c>
      <c r="E82" s="79">
        <v>2.2999999999999972</v>
      </c>
      <c r="F82" s="122">
        <v>11494625.020000016</v>
      </c>
      <c r="G82" s="122">
        <v>3862459.8573043519</v>
      </c>
      <c r="H82" s="122">
        <v>951476.17913043592</v>
      </c>
      <c r="I82" s="123">
        <v>16308561.056434805</v>
      </c>
      <c r="J82" s="122">
        <v>1656142.5791304365</v>
      </c>
      <c r="K82" s="122">
        <v>5049314.0714782672</v>
      </c>
      <c r="L82" s="122">
        <v>1010810.5011956533</v>
      </c>
      <c r="M82" s="123">
        <v>7716267.1518043568</v>
      </c>
      <c r="N82" s="123">
        <v>24024828.20823916</v>
      </c>
    </row>
    <row r="83" spans="1:14">
      <c r="A83" s="119">
        <v>6111</v>
      </c>
      <c r="B83" s="120" t="s">
        <v>1928</v>
      </c>
      <c r="C83" s="121" t="s">
        <v>1924</v>
      </c>
      <c r="D83" t="s">
        <v>2863</v>
      </c>
      <c r="E83" s="79">
        <v>42.7</v>
      </c>
      <c r="F83" s="122">
        <v>3270052.1792271663</v>
      </c>
      <c r="G83" s="122">
        <v>1520451.001823185</v>
      </c>
      <c r="H83" s="122">
        <v>426571.82375292736</v>
      </c>
      <c r="I83" s="123">
        <v>5217075.0048032785</v>
      </c>
      <c r="J83" s="122">
        <v>1424082.8327868851</v>
      </c>
      <c r="K83" s="122">
        <v>4972541.8739309125</v>
      </c>
      <c r="L83" s="122">
        <v>965186.93942915672</v>
      </c>
      <c r="M83" s="123">
        <v>7361811.646146954</v>
      </c>
      <c r="N83" s="123">
        <v>12578886.650950233</v>
      </c>
    </row>
    <row r="84" spans="1:14">
      <c r="A84" s="119">
        <v>6111</v>
      </c>
      <c r="B84" s="120" t="s">
        <v>1928</v>
      </c>
      <c r="C84" s="121" t="s">
        <v>1924</v>
      </c>
      <c r="D84" t="s">
        <v>2864</v>
      </c>
      <c r="E84" s="79">
        <v>8.4000000000000057</v>
      </c>
      <c r="F84" s="122">
        <v>2767068.50892857</v>
      </c>
      <c r="G84" s="122">
        <v>1061230.9648571422</v>
      </c>
      <c r="H84" s="122">
        <v>183770.88955357132</v>
      </c>
      <c r="I84" s="123">
        <v>4012070.363339283</v>
      </c>
      <c r="J84" s="122">
        <v>589589.5007142853</v>
      </c>
      <c r="K84" s="122">
        <v>4563859.8190535679</v>
      </c>
      <c r="L84" s="122">
        <v>826980.7483035709</v>
      </c>
      <c r="M84" s="123">
        <v>5980430.068071425</v>
      </c>
      <c r="N84" s="123">
        <v>9992500.4314107075</v>
      </c>
    </row>
    <row r="85" spans="1:14">
      <c r="A85" s="119">
        <v>6222</v>
      </c>
      <c r="B85" s="120" t="s">
        <v>2002</v>
      </c>
      <c r="C85" s="121" t="s">
        <v>2865</v>
      </c>
      <c r="D85" t="s">
        <v>2866</v>
      </c>
      <c r="E85" s="79">
        <v>23.9</v>
      </c>
      <c r="F85" s="122">
        <v>13821601.254728036</v>
      </c>
      <c r="G85" s="122">
        <v>5033944.1774351466</v>
      </c>
      <c r="H85" s="122">
        <v>892973.89166318008</v>
      </c>
      <c r="I85" s="123">
        <v>19748519.323826365</v>
      </c>
      <c r="J85" s="122">
        <v>2053564.9165271965</v>
      </c>
      <c r="K85" s="122">
        <v>4907628.0142280338</v>
      </c>
      <c r="L85" s="122">
        <v>838111.78550209221</v>
      </c>
      <c r="M85" s="123">
        <v>7799304.7162573226</v>
      </c>
      <c r="N85" s="123">
        <v>27547824.040083688</v>
      </c>
    </row>
    <row r="86" spans="1:14">
      <c r="A86" s="119">
        <v>6222</v>
      </c>
      <c r="B86" s="120" t="s">
        <v>2002</v>
      </c>
      <c r="C86" s="121" t="s">
        <v>2865</v>
      </c>
      <c r="D86" t="s">
        <v>2867</v>
      </c>
      <c r="E86" s="79">
        <v>19.7</v>
      </c>
      <c r="F86" s="122">
        <v>14048261.13461929</v>
      </c>
      <c r="G86" s="122">
        <v>5116493.3116878178</v>
      </c>
      <c r="H86" s="122">
        <v>892904.42938451783</v>
      </c>
      <c r="I86" s="123">
        <v>20057658.875691626</v>
      </c>
      <c r="J86" s="122">
        <v>2077544.8078172591</v>
      </c>
      <c r="K86" s="122">
        <v>4990957.3505050763</v>
      </c>
      <c r="L86" s="122">
        <v>846580.56981598993</v>
      </c>
      <c r="M86" s="123">
        <v>7915082.7281383239</v>
      </c>
      <c r="N86" s="123">
        <v>27972741.603829946</v>
      </c>
    </row>
    <row r="87" spans="1:14">
      <c r="A87" s="119">
        <v>6222</v>
      </c>
      <c r="B87" s="120" t="s">
        <v>2868</v>
      </c>
      <c r="C87" s="121" t="s">
        <v>2865</v>
      </c>
      <c r="D87" t="s">
        <v>2869</v>
      </c>
      <c r="E87" s="79">
        <v>49.599999999999994</v>
      </c>
      <c r="F87" s="122">
        <v>14048612.909193544</v>
      </c>
      <c r="G87" s="122">
        <v>5038011.6454919381</v>
      </c>
      <c r="H87" s="122">
        <v>849739.12771169376</v>
      </c>
      <c r="I87" s="123">
        <v>19936363.682397176</v>
      </c>
      <c r="J87" s="122">
        <v>1905016.4530645167</v>
      </c>
      <c r="K87" s="122">
        <v>4905657.2011260083</v>
      </c>
      <c r="L87" s="122">
        <v>824630.77927167353</v>
      </c>
      <c r="M87" s="123">
        <v>7635304.4334621988</v>
      </c>
      <c r="N87" s="123">
        <v>27571668.115859374</v>
      </c>
    </row>
    <row r="88" spans="1:14">
      <c r="A88" s="119">
        <v>4034</v>
      </c>
      <c r="B88" s="120" t="s">
        <v>1870</v>
      </c>
      <c r="C88" s="121" t="s">
        <v>2870</v>
      </c>
      <c r="D88" t="s">
        <v>2871</v>
      </c>
      <c r="E88" s="79">
        <v>18.5</v>
      </c>
      <c r="F88" s="122">
        <v>1114.6663783783783</v>
      </c>
      <c r="G88" s="122">
        <v>26471.438086486487</v>
      </c>
      <c r="H88" s="122">
        <v>19476.549297297297</v>
      </c>
      <c r="I88" s="123">
        <v>47062.653762162161</v>
      </c>
      <c r="J88" s="122">
        <v>78336.956540540545</v>
      </c>
      <c r="K88" s="122">
        <v>26190.985167567567</v>
      </c>
      <c r="L88" s="122">
        <v>18760.48843243243</v>
      </c>
      <c r="M88" s="123">
        <v>123288.43014054053</v>
      </c>
      <c r="N88" s="123">
        <v>170351.0839027027</v>
      </c>
    </row>
    <row r="89" spans="1:14">
      <c r="A89" s="119">
        <v>6311</v>
      </c>
      <c r="B89" s="120" t="s">
        <v>1831</v>
      </c>
      <c r="C89" s="121" t="s">
        <v>2872</v>
      </c>
      <c r="D89" t="s">
        <v>2873</v>
      </c>
      <c r="E89" s="79">
        <v>64</v>
      </c>
      <c r="F89" s="122">
        <v>2532594.5209843749</v>
      </c>
      <c r="G89" s="122">
        <v>4100403.5312320315</v>
      </c>
      <c r="H89" s="122">
        <v>394718.58717113279</v>
      </c>
      <c r="I89" s="123">
        <v>7027716.6393875396</v>
      </c>
      <c r="J89" s="122">
        <v>9320119.3510312513</v>
      </c>
      <c r="K89" s="122">
        <v>4127383.6406859378</v>
      </c>
      <c r="L89" s="122">
        <v>382159.69334500778</v>
      </c>
      <c r="M89" s="123">
        <v>13829662.685062198</v>
      </c>
      <c r="N89" s="123">
        <v>20857379.324449737</v>
      </c>
    </row>
    <row r="90" spans="1:14">
      <c r="A90" s="119">
        <v>6329</v>
      </c>
      <c r="B90" s="120" t="s">
        <v>1831</v>
      </c>
      <c r="C90" s="121" t="s">
        <v>2874</v>
      </c>
      <c r="D90" t="s">
        <v>2875</v>
      </c>
      <c r="E90" s="79">
        <v>15.9</v>
      </c>
      <c r="F90" s="122">
        <v>11789.837735849058</v>
      </c>
      <c r="G90" s="122">
        <v>541715.05200943397</v>
      </c>
      <c r="H90" s="122">
        <v>77965.878553459115</v>
      </c>
      <c r="I90" s="123">
        <v>631470.76829874224</v>
      </c>
      <c r="J90" s="122">
        <v>2537995.0290566036</v>
      </c>
      <c r="K90" s="122">
        <v>730607.46863836481</v>
      </c>
      <c r="L90" s="122">
        <v>112448.6373899371</v>
      </c>
      <c r="M90" s="123">
        <v>3381051.1350849057</v>
      </c>
      <c r="N90" s="123">
        <v>4012521.9033836476</v>
      </c>
    </row>
    <row r="91" spans="1:14">
      <c r="A91" s="119">
        <v>6329</v>
      </c>
      <c r="B91" s="120" t="s">
        <v>1831</v>
      </c>
      <c r="C91" s="121" t="s">
        <v>2874</v>
      </c>
      <c r="D91" t="s">
        <v>2876</v>
      </c>
      <c r="E91" s="79">
        <v>5.7000000000000011</v>
      </c>
      <c r="F91" s="122">
        <v>13174.023684210524</v>
      </c>
      <c r="G91" s="122">
        <v>417509.94300877186</v>
      </c>
      <c r="H91" s="122">
        <v>65110.140350877176</v>
      </c>
      <c r="I91" s="123">
        <v>495794.10704385955</v>
      </c>
      <c r="J91" s="122">
        <v>2101281.9952631574</v>
      </c>
      <c r="K91" s="122">
        <v>606989.34542982455</v>
      </c>
      <c r="L91" s="122">
        <v>96050.697543859642</v>
      </c>
      <c r="M91" s="123">
        <v>2804322.0382368416</v>
      </c>
      <c r="N91" s="123">
        <v>3300116.1452807011</v>
      </c>
    </row>
    <row r="92" spans="1:14">
      <c r="A92" s="119">
        <v>6329</v>
      </c>
      <c r="B92" s="120" t="s">
        <v>1831</v>
      </c>
      <c r="C92" s="121" t="s">
        <v>2874</v>
      </c>
      <c r="D92" t="s">
        <v>2877</v>
      </c>
      <c r="E92" s="79">
        <v>28.799999999999997</v>
      </c>
      <c r="F92" s="122">
        <v>13322.128125000001</v>
      </c>
      <c r="G92" s="122">
        <v>423602.51304513897</v>
      </c>
      <c r="H92" s="122">
        <v>65819.589236111118</v>
      </c>
      <c r="I92" s="123">
        <v>502744.23040625005</v>
      </c>
      <c r="J92" s="122">
        <v>2132275.4702083333</v>
      </c>
      <c r="K92" s="122">
        <v>615942.13038541668</v>
      </c>
      <c r="L92" s="122">
        <v>97328.36854166667</v>
      </c>
      <c r="M92" s="123">
        <v>2845545.9691354171</v>
      </c>
      <c r="N92" s="123">
        <v>3348290.199541667</v>
      </c>
    </row>
    <row r="93" spans="1:14">
      <c r="A93" s="119">
        <v>6329</v>
      </c>
      <c r="B93" s="120" t="s">
        <v>2806</v>
      </c>
      <c r="C93" s="121" t="s">
        <v>2874</v>
      </c>
      <c r="D93" t="s">
        <v>2878</v>
      </c>
      <c r="E93" s="79">
        <v>97.199999999999989</v>
      </c>
      <c r="F93" s="122">
        <v>15120.95577160494</v>
      </c>
      <c r="G93" s="122">
        <v>109687.99500360082</v>
      </c>
      <c r="H93" s="122">
        <v>22244.911296296301</v>
      </c>
      <c r="I93" s="123">
        <v>147053.86207150208</v>
      </c>
      <c r="J93" s="122">
        <v>777841.03775720182</v>
      </c>
      <c r="K93" s="122">
        <v>287422.44653497951</v>
      </c>
      <c r="L93" s="122">
        <v>44411.516322016469</v>
      </c>
      <c r="M93" s="123">
        <v>1109675.0006141977</v>
      </c>
      <c r="N93" s="123">
        <v>1256728.8626856999</v>
      </c>
    </row>
    <row r="94" spans="1:14">
      <c r="A94" s="119">
        <v>6329</v>
      </c>
      <c r="B94" s="120" t="s">
        <v>1853</v>
      </c>
      <c r="C94" s="121" t="s">
        <v>2874</v>
      </c>
      <c r="D94" t="s">
        <v>2879</v>
      </c>
      <c r="E94" s="79">
        <v>8.5</v>
      </c>
      <c r="F94" s="122">
        <v>35188.811999999998</v>
      </c>
      <c r="G94" s="122">
        <v>69375.324976470598</v>
      </c>
      <c r="H94" s="122">
        <v>17201.277352941175</v>
      </c>
      <c r="I94" s="123">
        <v>121765.41432941177</v>
      </c>
      <c r="J94" s="122">
        <v>539209.13623529417</v>
      </c>
      <c r="K94" s="122">
        <v>242374.47446470591</v>
      </c>
      <c r="L94" s="122">
        <v>42494.891823529411</v>
      </c>
      <c r="M94" s="123">
        <v>824078.50252352946</v>
      </c>
      <c r="N94" s="123">
        <v>945843.91685294127</v>
      </c>
    </row>
    <row r="95" spans="1:14">
      <c r="A95" s="119">
        <v>6340</v>
      </c>
      <c r="B95" s="120" t="s">
        <v>1853</v>
      </c>
      <c r="C95" s="121" t="s">
        <v>2880</v>
      </c>
      <c r="D95" t="s">
        <v>2881</v>
      </c>
      <c r="E95" s="79">
        <v>7.8</v>
      </c>
      <c r="F95" s="122">
        <v>649532.73923076934</v>
      </c>
      <c r="G95" s="122">
        <v>231908.34998717951</v>
      </c>
      <c r="H95" s="122">
        <v>60459.82320512821</v>
      </c>
      <c r="I95" s="123">
        <v>941900.91242307704</v>
      </c>
      <c r="J95" s="122">
        <v>87440.663589743592</v>
      </c>
      <c r="K95" s="122">
        <v>257393.81116666668</v>
      </c>
      <c r="L95" s="122">
        <v>58940.476057692314</v>
      </c>
      <c r="M95" s="123">
        <v>403774.95081410254</v>
      </c>
      <c r="N95" s="123">
        <v>1345675.8632371794</v>
      </c>
    </row>
    <row r="96" spans="1:14">
      <c r="A96" s="119">
        <v>6340</v>
      </c>
      <c r="B96" s="120" t="s">
        <v>1853</v>
      </c>
      <c r="C96" s="121" t="s">
        <v>2880</v>
      </c>
      <c r="D96" t="s">
        <v>2882</v>
      </c>
      <c r="E96" s="79">
        <v>33.700000000000003</v>
      </c>
      <c r="F96" s="122">
        <v>702112.94679525215</v>
      </c>
      <c r="G96" s="122">
        <v>250549.75412759642</v>
      </c>
      <c r="H96" s="122">
        <v>65234.0465430267</v>
      </c>
      <c r="I96" s="123">
        <v>1017896.7474658753</v>
      </c>
      <c r="J96" s="122">
        <v>95024.178872403558</v>
      </c>
      <c r="K96" s="122">
        <v>278084.70860830857</v>
      </c>
      <c r="L96" s="122">
        <v>63588.099896142419</v>
      </c>
      <c r="M96" s="123">
        <v>436696.98737685452</v>
      </c>
      <c r="N96" s="123">
        <v>1454593.7348427298</v>
      </c>
    </row>
    <row r="97" spans="1:14">
      <c r="A97" s="119">
        <v>6340</v>
      </c>
      <c r="B97" s="120" t="s">
        <v>1853</v>
      </c>
      <c r="C97" s="121" t="s">
        <v>2880</v>
      </c>
      <c r="D97" t="s">
        <v>2883</v>
      </c>
      <c r="E97" s="79">
        <v>14.5</v>
      </c>
      <c r="F97" s="122">
        <v>520357.14951724134</v>
      </c>
      <c r="G97" s="122">
        <v>185712.35824137932</v>
      </c>
      <c r="H97" s="122">
        <v>48076.910896551723</v>
      </c>
      <c r="I97" s="123">
        <v>754146.41865517246</v>
      </c>
      <c r="J97" s="122">
        <v>70136.950344827594</v>
      </c>
      <c r="K97" s="122">
        <v>206303.50595172413</v>
      </c>
      <c r="L97" s="122">
        <v>46786.593810344828</v>
      </c>
      <c r="M97" s="123">
        <v>323227.05010689655</v>
      </c>
      <c r="N97" s="123">
        <v>1077373.468762069</v>
      </c>
    </row>
    <row r="98" spans="1:14">
      <c r="A98" s="119">
        <v>6340</v>
      </c>
      <c r="B98" s="120" t="s">
        <v>1853</v>
      </c>
      <c r="C98" s="121" t="s">
        <v>2880</v>
      </c>
      <c r="D98" t="s">
        <v>2884</v>
      </c>
      <c r="E98" s="79">
        <v>7</v>
      </c>
      <c r="F98" s="122">
        <v>693839.07914285711</v>
      </c>
      <c r="G98" s="122">
        <v>254073.03238571429</v>
      </c>
      <c r="H98" s="122">
        <v>69175.642714285714</v>
      </c>
      <c r="I98" s="123">
        <v>1017087.7542428571</v>
      </c>
      <c r="J98" s="122">
        <v>107806.13257142856</v>
      </c>
      <c r="K98" s="122">
        <v>285393.55600714288</v>
      </c>
      <c r="L98" s="122">
        <v>70703.632035714283</v>
      </c>
      <c r="M98" s="123">
        <v>463903.32061428577</v>
      </c>
      <c r="N98" s="123">
        <v>1480991.074857143</v>
      </c>
    </row>
    <row r="99" spans="1:14">
      <c r="A99" s="119">
        <v>6112</v>
      </c>
      <c r="B99" s="120" t="s">
        <v>1928</v>
      </c>
      <c r="C99" s="121" t="s">
        <v>2241</v>
      </c>
      <c r="D99" t="s">
        <v>2885</v>
      </c>
      <c r="E99" s="79">
        <v>0.8</v>
      </c>
      <c r="F99" s="122">
        <v>1347030.9249999998</v>
      </c>
      <c r="G99" s="122">
        <v>9186431.3211249989</v>
      </c>
      <c r="H99" s="122">
        <v>1727607.596875</v>
      </c>
      <c r="I99" s="123">
        <v>12261069.843</v>
      </c>
      <c r="J99" s="122">
        <v>27602585.686249997</v>
      </c>
      <c r="K99" s="122">
        <v>5144098.9562499998</v>
      </c>
      <c r="L99" s="122">
        <v>1133353.3018749999</v>
      </c>
      <c r="M99" s="123">
        <v>33880037.944374993</v>
      </c>
      <c r="N99" s="123">
        <v>46141107.787375003</v>
      </c>
    </row>
    <row r="100" spans="1:14">
      <c r="A100" s="119">
        <v>6112</v>
      </c>
      <c r="B100" s="120" t="s">
        <v>1928</v>
      </c>
      <c r="C100" s="121" t="s">
        <v>2241</v>
      </c>
      <c r="D100" t="s">
        <v>2886</v>
      </c>
      <c r="E100" s="79">
        <v>9</v>
      </c>
      <c r="F100" s="122">
        <v>123168.66133333334</v>
      </c>
      <c r="G100" s="122">
        <v>3475551.7471111109</v>
      </c>
      <c r="H100" s="122">
        <v>691817.06855555566</v>
      </c>
      <c r="I100" s="123">
        <v>4290537.477</v>
      </c>
      <c r="J100" s="122">
        <v>18531809.70211111</v>
      </c>
      <c r="K100" s="122">
        <v>3471358.0359055554</v>
      </c>
      <c r="L100" s="122">
        <v>736320.11716666678</v>
      </c>
      <c r="M100" s="123">
        <v>22739487.855183337</v>
      </c>
      <c r="N100" s="123">
        <v>27030025.332183335</v>
      </c>
    </row>
    <row r="101" spans="1:14">
      <c r="A101" s="119">
        <v>6112</v>
      </c>
      <c r="B101" s="120" t="s">
        <v>1928</v>
      </c>
      <c r="C101" s="121" t="s">
        <v>2241</v>
      </c>
      <c r="D101" t="s">
        <v>2887</v>
      </c>
      <c r="E101" s="79">
        <v>11.599999999999998</v>
      </c>
      <c r="F101" s="122">
        <v>124392.13370689657</v>
      </c>
      <c r="G101" s="122">
        <v>2900857.2601163802</v>
      </c>
      <c r="H101" s="122">
        <v>574379.00288793119</v>
      </c>
      <c r="I101" s="123">
        <v>3599628.3967112084</v>
      </c>
      <c r="J101" s="122">
        <v>15436475.948534485</v>
      </c>
      <c r="K101" s="122">
        <v>2902185.6434267252</v>
      </c>
      <c r="L101" s="122">
        <v>612317.57357758621</v>
      </c>
      <c r="M101" s="123">
        <v>18950979.165538795</v>
      </c>
      <c r="N101" s="123">
        <v>22550607.562250007</v>
      </c>
    </row>
    <row r="102" spans="1:14">
      <c r="A102" s="119">
        <v>6112</v>
      </c>
      <c r="B102" s="120" t="s">
        <v>1928</v>
      </c>
      <c r="C102" s="121" t="s">
        <v>2241</v>
      </c>
      <c r="D102" t="s">
        <v>2888</v>
      </c>
      <c r="E102" s="79">
        <v>11.100000000000001</v>
      </c>
      <c r="F102" s="122">
        <v>95155.451891891891</v>
      </c>
      <c r="G102" s="122">
        <v>1803261.6814414412</v>
      </c>
      <c r="H102" s="122">
        <v>359152.94270270265</v>
      </c>
      <c r="I102" s="123">
        <v>2257570.076036036</v>
      </c>
      <c r="J102" s="122">
        <v>9574173.7749549542</v>
      </c>
      <c r="K102" s="122">
        <v>1801545.6277117115</v>
      </c>
      <c r="L102" s="122">
        <v>380266.09828828822</v>
      </c>
      <c r="M102" s="123">
        <v>11755985.500954954</v>
      </c>
      <c r="N102" s="123">
        <v>14013555.576990992</v>
      </c>
    </row>
    <row r="103" spans="1:14">
      <c r="A103" s="119">
        <v>6507</v>
      </c>
      <c r="B103" s="120" t="s">
        <v>1870</v>
      </c>
      <c r="C103" s="121" t="s">
        <v>2015</v>
      </c>
      <c r="D103" t="s">
        <v>2889</v>
      </c>
      <c r="E103" s="79">
        <v>3.0000000000000004</v>
      </c>
      <c r="F103" s="122">
        <v>1065346.6076666664</v>
      </c>
      <c r="G103" s="122">
        <v>994441.7799999998</v>
      </c>
      <c r="H103" s="122">
        <v>186433.15977500001</v>
      </c>
      <c r="I103" s="123">
        <v>2246221.5474416665</v>
      </c>
      <c r="J103" s="122">
        <v>1343385.7459999998</v>
      </c>
      <c r="K103" s="122">
        <v>955550.47189999989</v>
      </c>
      <c r="L103" s="122">
        <v>162818.87646666667</v>
      </c>
      <c r="M103" s="123">
        <v>2461755.0943666664</v>
      </c>
      <c r="N103" s="123">
        <v>4707976.6418083329</v>
      </c>
    </row>
    <row r="104" spans="1:14">
      <c r="A104" s="119">
        <v>6507</v>
      </c>
      <c r="B104" s="120" t="s">
        <v>1870</v>
      </c>
      <c r="C104" s="121" t="s">
        <v>2015</v>
      </c>
      <c r="D104" t="s">
        <v>2890</v>
      </c>
      <c r="E104" s="79">
        <v>4.6999999999999993</v>
      </c>
      <c r="F104" s="122">
        <v>5187965.4638297893</v>
      </c>
      <c r="G104" s="122">
        <v>6070730.8869680846</v>
      </c>
      <c r="H104" s="122">
        <v>845521.39454255335</v>
      </c>
      <c r="I104" s="123">
        <v>12104217.745340427</v>
      </c>
      <c r="J104" s="122">
        <v>2614805.4002127661</v>
      </c>
      <c r="K104" s="122">
        <v>2771314.0752553199</v>
      </c>
      <c r="L104" s="122">
        <v>421106.04219148943</v>
      </c>
      <c r="M104" s="123">
        <v>5807225.5176595747</v>
      </c>
      <c r="N104" s="123">
        <v>17911443.263</v>
      </c>
    </row>
    <row r="105" spans="1:14">
      <c r="A105" s="119">
        <v>6507</v>
      </c>
      <c r="B105" s="120" t="s">
        <v>1870</v>
      </c>
      <c r="C105" s="121" t="s">
        <v>2015</v>
      </c>
      <c r="D105" t="s">
        <v>2891</v>
      </c>
      <c r="E105" s="79">
        <v>5</v>
      </c>
      <c r="F105" s="122">
        <v>1495811.584</v>
      </c>
      <c r="G105" s="122">
        <v>1782580.3147600002</v>
      </c>
      <c r="H105" s="122">
        <v>227802.52665499999</v>
      </c>
      <c r="I105" s="123">
        <v>3506194.4254150004</v>
      </c>
      <c r="J105" s="122">
        <v>1395863.3764</v>
      </c>
      <c r="K105" s="122">
        <v>1468175.93301</v>
      </c>
      <c r="L105" s="122">
        <v>205597.16387999998</v>
      </c>
      <c r="M105" s="123">
        <v>3069636.4732899996</v>
      </c>
      <c r="N105" s="123">
        <v>6575830.8987050001</v>
      </c>
    </row>
    <row r="106" spans="1:14">
      <c r="A106" s="119">
        <v>6507</v>
      </c>
      <c r="B106" s="120" t="s">
        <v>1870</v>
      </c>
      <c r="C106" s="121" t="s">
        <v>2015</v>
      </c>
      <c r="D106" t="s">
        <v>2892</v>
      </c>
      <c r="E106" s="79">
        <v>6.6</v>
      </c>
      <c r="F106" s="122">
        <v>4098100.4113636371</v>
      </c>
      <c r="G106" s="122">
        <v>4998334.4873106061</v>
      </c>
      <c r="H106" s="122">
        <v>639236.52879545465</v>
      </c>
      <c r="I106" s="123">
        <v>9735671.4274696968</v>
      </c>
      <c r="J106" s="122">
        <v>3879913.2584848483</v>
      </c>
      <c r="K106" s="122">
        <v>4125328.2210303037</v>
      </c>
      <c r="L106" s="122">
        <v>585323.20325757575</v>
      </c>
      <c r="M106" s="123">
        <v>8590564.6827727258</v>
      </c>
      <c r="N106" s="123">
        <v>18326236.110242423</v>
      </c>
    </row>
    <row r="107" spans="1:14">
      <c r="A107" s="119">
        <v>6507</v>
      </c>
      <c r="B107" s="120" t="s">
        <v>1870</v>
      </c>
      <c r="C107" s="121" t="s">
        <v>2015</v>
      </c>
      <c r="D107" t="s">
        <v>2893</v>
      </c>
      <c r="E107" s="79">
        <v>18.000000000000004</v>
      </c>
      <c r="F107" s="122">
        <v>1540554.2011666663</v>
      </c>
      <c r="G107" s="122">
        <v>1864452.3956972216</v>
      </c>
      <c r="H107" s="122">
        <v>233509.44980972219</v>
      </c>
      <c r="I107" s="123">
        <v>3638516.0466736099</v>
      </c>
      <c r="J107" s="122">
        <v>1161801.564833333</v>
      </c>
      <c r="K107" s="122">
        <v>1204413.7217611109</v>
      </c>
      <c r="L107" s="122">
        <v>162999.218975</v>
      </c>
      <c r="M107" s="123">
        <v>2529214.505569444</v>
      </c>
      <c r="N107" s="123">
        <v>6167730.5522430539</v>
      </c>
    </row>
    <row r="108" spans="1:14">
      <c r="A108" s="119">
        <v>6507</v>
      </c>
      <c r="B108" s="120" t="s">
        <v>1870</v>
      </c>
      <c r="C108" s="121" t="s">
        <v>2015</v>
      </c>
      <c r="D108" t="s">
        <v>2894</v>
      </c>
      <c r="E108" s="79">
        <v>18</v>
      </c>
      <c r="F108" s="122">
        <v>3144399.3770000003</v>
      </c>
      <c r="G108" s="122">
        <v>4517794.9251472214</v>
      </c>
      <c r="H108" s="122">
        <v>570214.72215555562</v>
      </c>
      <c r="I108" s="123">
        <v>8232409.0243027769</v>
      </c>
      <c r="J108" s="122">
        <v>4043410.5291666663</v>
      </c>
      <c r="K108" s="122">
        <v>3925826.6346666673</v>
      </c>
      <c r="L108" s="122">
        <v>523852.18848333333</v>
      </c>
      <c r="M108" s="123">
        <v>8493089.3523166664</v>
      </c>
      <c r="N108" s="123">
        <v>16725498.376619445</v>
      </c>
    </row>
    <row r="109" spans="1:14">
      <c r="A109" s="119">
        <v>6507</v>
      </c>
      <c r="B109" s="120" t="s">
        <v>1870</v>
      </c>
      <c r="C109" s="121" t="s">
        <v>2015</v>
      </c>
      <c r="D109" t="s">
        <v>2895</v>
      </c>
      <c r="E109" s="79">
        <v>30.599999999999994</v>
      </c>
      <c r="F109" s="122">
        <v>261920.86758169942</v>
      </c>
      <c r="G109" s="122">
        <v>408787.27585947723</v>
      </c>
      <c r="H109" s="122">
        <v>59068.752446895436</v>
      </c>
      <c r="I109" s="123">
        <v>729776.89588807209</v>
      </c>
      <c r="J109" s="122">
        <v>517370.13287581707</v>
      </c>
      <c r="K109" s="122">
        <v>608714.01255882357</v>
      </c>
      <c r="L109" s="122">
        <v>81311.811892156868</v>
      </c>
      <c r="M109" s="123">
        <v>1207395.9573267975</v>
      </c>
      <c r="N109" s="123">
        <v>1937172.8532148697</v>
      </c>
    </row>
    <row r="110" spans="1:14">
      <c r="A110" s="119">
        <v>6507</v>
      </c>
      <c r="B110" s="120" t="s">
        <v>1870</v>
      </c>
      <c r="C110" s="121" t="s">
        <v>2015</v>
      </c>
      <c r="D110" t="s">
        <v>2896</v>
      </c>
      <c r="E110" s="79">
        <v>6.5</v>
      </c>
      <c r="F110" s="122">
        <v>4209122.4192307694</v>
      </c>
      <c r="G110" s="122">
        <v>5702365.1615461539</v>
      </c>
      <c r="H110" s="122">
        <v>775637.86695384618</v>
      </c>
      <c r="I110" s="123">
        <v>10687125.447730768</v>
      </c>
      <c r="J110" s="122">
        <v>4718891.9413846154</v>
      </c>
      <c r="K110" s="122">
        <v>5115865.9660769226</v>
      </c>
      <c r="L110" s="122">
        <v>719464.37658461544</v>
      </c>
      <c r="M110" s="123">
        <v>10554222.284046153</v>
      </c>
      <c r="N110" s="123">
        <v>21241347.731776919</v>
      </c>
    </row>
    <row r="111" spans="1:14">
      <c r="A111" s="119">
        <v>6507</v>
      </c>
      <c r="B111" s="120" t="s">
        <v>1870</v>
      </c>
      <c r="C111" s="121" t="s">
        <v>2015</v>
      </c>
      <c r="D111" t="s">
        <v>2897</v>
      </c>
      <c r="E111" s="79">
        <v>20.299999999999997</v>
      </c>
      <c r="F111" s="122">
        <v>4332632.3889162568</v>
      </c>
      <c r="G111" s="122">
        <v>5829062.9044827595</v>
      </c>
      <c r="H111" s="122">
        <v>776992.27519088681</v>
      </c>
      <c r="I111" s="123">
        <v>10938687.568589903</v>
      </c>
      <c r="J111" s="122">
        <v>4689282.3464039406</v>
      </c>
      <c r="K111" s="122">
        <v>5280946.8823349765</v>
      </c>
      <c r="L111" s="122">
        <v>719400.96767241391</v>
      </c>
      <c r="M111" s="123">
        <v>10689630.196411332</v>
      </c>
      <c r="N111" s="123">
        <v>21628317.765001234</v>
      </c>
    </row>
    <row r="112" spans="1:14">
      <c r="A112" s="119">
        <v>6330</v>
      </c>
      <c r="B112" s="120" t="s">
        <v>1831</v>
      </c>
      <c r="C112" s="121" t="s">
        <v>2898</v>
      </c>
      <c r="D112" t="s">
        <v>2899</v>
      </c>
      <c r="E112" s="79">
        <v>41.7</v>
      </c>
      <c r="F112" s="122">
        <v>4244.3421342925649</v>
      </c>
      <c r="G112" s="122">
        <v>125507.1391654676</v>
      </c>
      <c r="H112" s="122">
        <v>11262.550263788968</v>
      </c>
      <c r="I112" s="123">
        <v>141014.03156354913</v>
      </c>
      <c r="J112" s="122">
        <v>456367.00601918466</v>
      </c>
      <c r="K112" s="122">
        <v>129272.55695323741</v>
      </c>
      <c r="L112" s="122">
        <v>17412.689947242208</v>
      </c>
      <c r="M112" s="123">
        <v>603052.25291966426</v>
      </c>
      <c r="N112" s="123">
        <v>744066.28448321333</v>
      </c>
    </row>
    <row r="113" spans="1:14">
      <c r="A113" s="119">
        <v>6330</v>
      </c>
      <c r="B113" s="120" t="s">
        <v>1831</v>
      </c>
      <c r="C113" s="121" t="s">
        <v>2898</v>
      </c>
      <c r="D113" t="s">
        <v>2900</v>
      </c>
      <c r="E113" s="79">
        <v>40.200000000000003</v>
      </c>
      <c r="F113" s="122">
        <v>1299.8546019900496</v>
      </c>
      <c r="G113" s="122">
        <v>37523.192544776117</v>
      </c>
      <c r="H113" s="122">
        <v>3058.0751853233828</v>
      </c>
      <c r="I113" s="123">
        <v>41881.122332089551</v>
      </c>
      <c r="J113" s="122">
        <v>144014.36325870643</v>
      </c>
      <c r="K113" s="122">
        <v>39813.055087064669</v>
      </c>
      <c r="L113" s="122">
        <v>5460.3731467661692</v>
      </c>
      <c r="M113" s="123">
        <v>189287.79149253728</v>
      </c>
      <c r="N113" s="123">
        <v>231168.91382462683</v>
      </c>
    </row>
    <row r="114" spans="1:14">
      <c r="A114" s="119">
        <v>6330</v>
      </c>
      <c r="B114" s="120" t="s">
        <v>1831</v>
      </c>
      <c r="C114" s="121" t="s">
        <v>2898</v>
      </c>
      <c r="D114" t="s">
        <v>2901</v>
      </c>
      <c r="E114" s="79">
        <v>19</v>
      </c>
      <c r="F114" s="122">
        <v>0</v>
      </c>
      <c r="G114" s="122">
        <v>0</v>
      </c>
      <c r="H114" s="122">
        <v>0</v>
      </c>
      <c r="I114" s="123">
        <v>0</v>
      </c>
      <c r="J114" s="122">
        <v>0</v>
      </c>
      <c r="K114" s="122">
        <v>0</v>
      </c>
      <c r="L114" s="122">
        <v>0</v>
      </c>
      <c r="M114" s="123">
        <v>0</v>
      </c>
      <c r="N114" s="123">
        <v>0</v>
      </c>
    </row>
    <row r="115" spans="1:14">
      <c r="A115" s="119">
        <v>6330</v>
      </c>
      <c r="B115" s="120" t="s">
        <v>1831</v>
      </c>
      <c r="C115" s="121" t="s">
        <v>2898</v>
      </c>
      <c r="D115" t="s">
        <v>2902</v>
      </c>
      <c r="E115" s="79">
        <v>27.199999999999989</v>
      </c>
      <c r="F115" s="122">
        <v>2208.1847426470599</v>
      </c>
      <c r="G115" s="122">
        <v>869.25234375000036</v>
      </c>
      <c r="H115" s="122">
        <v>587.72977941176498</v>
      </c>
      <c r="I115" s="123">
        <v>3665.1668658088252</v>
      </c>
      <c r="J115" s="122">
        <v>2208.1847426470599</v>
      </c>
      <c r="K115" s="122">
        <v>935.16204044117694</v>
      </c>
      <c r="L115" s="122">
        <v>1890.0154411764713</v>
      </c>
      <c r="M115" s="123">
        <v>5033.3622242647089</v>
      </c>
      <c r="N115" s="123">
        <v>8698.5290900735345</v>
      </c>
    </row>
    <row r="116" spans="1:14">
      <c r="A116" s="119">
        <v>6330</v>
      </c>
      <c r="B116" s="120" t="s">
        <v>1831</v>
      </c>
      <c r="C116" s="121" t="s">
        <v>2898</v>
      </c>
      <c r="D116" t="s">
        <v>2903</v>
      </c>
      <c r="E116" s="79">
        <v>18.700000000000017</v>
      </c>
      <c r="F116" s="122">
        <v>168168.57556149716</v>
      </c>
      <c r="G116" s="122">
        <v>46582.847919786051</v>
      </c>
      <c r="H116" s="122">
        <v>7066.1276737967846</v>
      </c>
      <c r="I116" s="123">
        <v>221817.55115508</v>
      </c>
      <c r="J116" s="122">
        <v>1281.9603743315497</v>
      </c>
      <c r="K116" s="122">
        <v>46028.500569518685</v>
      </c>
      <c r="L116" s="122">
        <v>6294.4652673796727</v>
      </c>
      <c r="M116" s="123">
        <v>53604.926211229904</v>
      </c>
      <c r="N116" s="123">
        <v>275422.4773663099</v>
      </c>
    </row>
    <row r="117" spans="1:14">
      <c r="A117" s="119">
        <v>6325</v>
      </c>
      <c r="B117" s="120" t="s">
        <v>1831</v>
      </c>
      <c r="C117" s="121" t="s">
        <v>2904</v>
      </c>
      <c r="D117" t="s">
        <v>2905</v>
      </c>
      <c r="E117" s="79">
        <v>4.9000000000000004</v>
      </c>
      <c r="F117" s="122">
        <v>1026642.2693877551</v>
      </c>
      <c r="G117" s="122">
        <v>359578.2129795918</v>
      </c>
      <c r="H117" s="122">
        <v>50011.031020408162</v>
      </c>
      <c r="I117" s="123">
        <v>1436231.513387755</v>
      </c>
      <c r="J117" s="122">
        <v>7257.3355102040814</v>
      </c>
      <c r="K117" s="122">
        <v>353119.81297959184</v>
      </c>
      <c r="L117" s="122">
        <v>52980.171428571426</v>
      </c>
      <c r="M117" s="123">
        <v>413357.31991836731</v>
      </c>
      <c r="N117" s="123">
        <v>1849588.8333061221</v>
      </c>
    </row>
    <row r="118" spans="1:14">
      <c r="A118" s="119">
        <v>6518</v>
      </c>
      <c r="B118" s="120" t="s">
        <v>1870</v>
      </c>
      <c r="C118" s="121" t="s">
        <v>2028</v>
      </c>
      <c r="D118" t="s">
        <v>2906</v>
      </c>
      <c r="E118" s="79">
        <v>8.1999999999999993</v>
      </c>
      <c r="F118" s="122">
        <v>233595.92512195127</v>
      </c>
      <c r="G118" s="122">
        <v>251153.15876219515</v>
      </c>
      <c r="H118" s="122">
        <v>73227.866463414641</v>
      </c>
      <c r="I118" s="123">
        <v>557976.95034756104</v>
      </c>
      <c r="J118" s="122">
        <v>861083.49853658548</v>
      </c>
      <c r="K118" s="122">
        <v>695155.03299999994</v>
      </c>
      <c r="L118" s="122">
        <v>138883.34121951222</v>
      </c>
      <c r="M118" s="123">
        <v>1695121.8727560977</v>
      </c>
      <c r="N118" s="123">
        <v>2253098.8231036589</v>
      </c>
    </row>
    <row r="119" spans="1:14">
      <c r="A119" s="119">
        <v>6518</v>
      </c>
      <c r="B119" s="120" t="s">
        <v>1870</v>
      </c>
      <c r="C119" s="121" t="s">
        <v>2028</v>
      </c>
      <c r="D119" t="s">
        <v>2907</v>
      </c>
      <c r="E119" s="79">
        <v>16.899999999999999</v>
      </c>
      <c r="F119" s="122">
        <v>860626.01260355033</v>
      </c>
      <c r="G119" s="122">
        <v>915009.68698816572</v>
      </c>
      <c r="H119" s="122">
        <v>277483.09757396451</v>
      </c>
      <c r="I119" s="123">
        <v>2053118.7971656807</v>
      </c>
      <c r="J119" s="122">
        <v>1563492.7572781064</v>
      </c>
      <c r="K119" s="122">
        <v>1238746.7860088758</v>
      </c>
      <c r="L119" s="122">
        <v>257533.77414201185</v>
      </c>
      <c r="M119" s="123">
        <v>3059773.317428994</v>
      </c>
      <c r="N119" s="123">
        <v>5112892.1145946747</v>
      </c>
    </row>
    <row r="120" spans="1:14">
      <c r="A120" s="119">
        <v>6518</v>
      </c>
      <c r="B120" s="120" t="s">
        <v>1870</v>
      </c>
      <c r="C120" s="121" t="s">
        <v>2028</v>
      </c>
      <c r="D120" t="s">
        <v>2908</v>
      </c>
      <c r="E120" s="79">
        <v>20.200000000000003</v>
      </c>
      <c r="F120" s="122">
        <v>915723.92227722739</v>
      </c>
      <c r="G120" s="122">
        <v>1015843.4011782177</v>
      </c>
      <c r="H120" s="122">
        <v>295222.3004331683</v>
      </c>
      <c r="I120" s="123">
        <v>2226789.6238886132</v>
      </c>
      <c r="J120" s="122">
        <v>1868093.176633663</v>
      </c>
      <c r="K120" s="122">
        <v>1436261.8465965344</v>
      </c>
      <c r="L120" s="122">
        <v>287937.82308168313</v>
      </c>
      <c r="M120" s="123">
        <v>3592292.8463118807</v>
      </c>
      <c r="N120" s="123">
        <v>5819082.4702004939</v>
      </c>
    </row>
    <row r="121" spans="1:14">
      <c r="A121" s="119">
        <v>6518</v>
      </c>
      <c r="B121" s="120" t="s">
        <v>1870</v>
      </c>
      <c r="C121" s="121" t="s">
        <v>2028</v>
      </c>
      <c r="D121" t="s">
        <v>2909</v>
      </c>
      <c r="E121" s="79">
        <v>2.6000000000000014</v>
      </c>
      <c r="F121" s="122">
        <v>1033497.1988461533</v>
      </c>
      <c r="G121" s="122">
        <v>1248601.900038461</v>
      </c>
      <c r="H121" s="122">
        <v>265544.054903846</v>
      </c>
      <c r="I121" s="123">
        <v>2547643.1537884604</v>
      </c>
      <c r="J121" s="122">
        <v>2394461.7942307675</v>
      </c>
      <c r="K121" s="122">
        <v>1669584.9173846147</v>
      </c>
      <c r="L121" s="122">
        <v>280806.46596153831</v>
      </c>
      <c r="M121" s="123">
        <v>4344853.17757692</v>
      </c>
      <c r="N121" s="123">
        <v>6892496.3313653795</v>
      </c>
    </row>
    <row r="122" spans="1:14">
      <c r="A122" s="119">
        <v>6518</v>
      </c>
      <c r="B122" s="120" t="s">
        <v>1870</v>
      </c>
      <c r="C122" s="121" t="s">
        <v>2028</v>
      </c>
      <c r="D122" t="s">
        <v>2910</v>
      </c>
      <c r="E122" s="79">
        <v>16.899999999999999</v>
      </c>
      <c r="F122" s="122">
        <v>380918.28213017754</v>
      </c>
      <c r="G122" s="122">
        <v>484599.55704142019</v>
      </c>
      <c r="H122" s="122">
        <v>99260.31443786982</v>
      </c>
      <c r="I122" s="123">
        <v>964778.15360946755</v>
      </c>
      <c r="J122" s="122">
        <v>914696.35952662735</v>
      </c>
      <c r="K122" s="122">
        <v>666951.23868639069</v>
      </c>
      <c r="L122" s="122">
        <v>100292.71526627219</v>
      </c>
      <c r="M122" s="123">
        <v>1681940.3134792901</v>
      </c>
      <c r="N122" s="123">
        <v>2646718.4670887575</v>
      </c>
    </row>
    <row r="123" spans="1:14">
      <c r="A123" s="119">
        <v>6362</v>
      </c>
      <c r="B123" s="120" t="s">
        <v>1853</v>
      </c>
      <c r="C123" s="121" t="s">
        <v>2911</v>
      </c>
      <c r="D123" t="s">
        <v>2912</v>
      </c>
      <c r="E123" s="79">
        <v>62.2</v>
      </c>
      <c r="F123" s="122">
        <v>8359139.5209967839</v>
      </c>
      <c r="G123" s="122">
        <v>3947886.8328488749</v>
      </c>
      <c r="H123" s="122">
        <v>496980.04162299028</v>
      </c>
      <c r="I123" s="123">
        <v>12804006.39546865</v>
      </c>
      <c r="J123" s="122">
        <v>3372549.8189871381</v>
      </c>
      <c r="K123" s="122">
        <v>2954303.8718794212</v>
      </c>
      <c r="L123" s="122">
        <v>370820.12281270098</v>
      </c>
      <c r="M123" s="123">
        <v>6697673.8136792602</v>
      </c>
      <c r="N123" s="123">
        <v>19501680.209147912</v>
      </c>
    </row>
    <row r="124" spans="1:14">
      <c r="A124" s="119">
        <v>6362</v>
      </c>
      <c r="B124" s="120" t="s">
        <v>1853</v>
      </c>
      <c r="C124" s="121" t="s">
        <v>2911</v>
      </c>
      <c r="D124" t="s">
        <v>2913</v>
      </c>
      <c r="E124" s="79">
        <v>2.7999999999999972</v>
      </c>
      <c r="F124" s="122">
        <v>8875109.0642857235</v>
      </c>
      <c r="G124" s="122">
        <v>4128693.6523571466</v>
      </c>
      <c r="H124" s="122">
        <v>505264.50531250052</v>
      </c>
      <c r="I124" s="123">
        <v>13509067.221955372</v>
      </c>
      <c r="J124" s="122">
        <v>3438631.7382142888</v>
      </c>
      <c r="K124" s="122">
        <v>3097905.5083214315</v>
      </c>
      <c r="L124" s="122">
        <v>372831.01008928608</v>
      </c>
      <c r="M124" s="123">
        <v>6909368.256625005</v>
      </c>
      <c r="N124" s="123">
        <v>20418435.478580378</v>
      </c>
    </row>
    <row r="125" spans="1:14">
      <c r="A125" s="119">
        <v>6362</v>
      </c>
      <c r="B125" s="120" t="s">
        <v>2002</v>
      </c>
      <c r="C125" s="121" t="s">
        <v>2911</v>
      </c>
      <c r="D125" t="s">
        <v>2914</v>
      </c>
      <c r="E125" s="79">
        <v>31</v>
      </c>
      <c r="F125" s="122">
        <v>8918987.7323870976</v>
      </c>
      <c r="G125" s="122">
        <v>4098498.90101129</v>
      </c>
      <c r="H125" s="122">
        <v>497965.46985161293</v>
      </c>
      <c r="I125" s="123">
        <v>13515452.103250001</v>
      </c>
      <c r="J125" s="122">
        <v>3350835.6014838708</v>
      </c>
      <c r="K125" s="122">
        <v>3089043.1940790317</v>
      </c>
      <c r="L125" s="122">
        <v>368667.10167016124</v>
      </c>
      <c r="M125" s="123">
        <v>6808545.8972330643</v>
      </c>
      <c r="N125" s="123">
        <v>20323998.000483062</v>
      </c>
    </row>
    <row r="126" spans="1:14">
      <c r="A126" s="119">
        <v>6362</v>
      </c>
      <c r="B126" s="120" t="s">
        <v>2002</v>
      </c>
      <c r="C126" s="121" t="s">
        <v>2911</v>
      </c>
      <c r="D126" t="s">
        <v>2915</v>
      </c>
      <c r="E126" s="79">
        <v>35.400000000000006</v>
      </c>
      <c r="F126" s="122">
        <v>9066732.3558757044</v>
      </c>
      <c r="G126" s="122">
        <v>3921918.9354604511</v>
      </c>
      <c r="H126" s="122">
        <v>485573.18321257056</v>
      </c>
      <c r="I126" s="123">
        <v>13474224.474548725</v>
      </c>
      <c r="J126" s="122">
        <v>2885067.9591807905</v>
      </c>
      <c r="K126" s="122">
        <v>2908399.3553163833</v>
      </c>
      <c r="L126" s="122">
        <v>354843.02746751416</v>
      </c>
      <c r="M126" s="123">
        <v>6148310.3419646882</v>
      </c>
      <c r="N126" s="123">
        <v>19622534.816513415</v>
      </c>
    </row>
    <row r="127" spans="1:14">
      <c r="A127" s="119">
        <v>6210</v>
      </c>
      <c r="B127" s="120" t="s">
        <v>1853</v>
      </c>
      <c r="C127" s="121" t="s">
        <v>2916</v>
      </c>
      <c r="D127" t="s">
        <v>2917</v>
      </c>
      <c r="E127" s="79">
        <v>16.5</v>
      </c>
      <c r="F127" s="122">
        <v>0</v>
      </c>
      <c r="G127" s="122">
        <v>0</v>
      </c>
      <c r="H127" s="122">
        <v>0</v>
      </c>
      <c r="I127" s="123">
        <v>0</v>
      </c>
      <c r="J127" s="122">
        <v>0</v>
      </c>
      <c r="K127" s="122">
        <v>0</v>
      </c>
      <c r="L127" s="122">
        <v>0</v>
      </c>
      <c r="M127" s="123">
        <v>0</v>
      </c>
      <c r="N127" s="123">
        <v>0</v>
      </c>
    </row>
    <row r="128" spans="1:14">
      <c r="A128" s="119">
        <v>6503</v>
      </c>
      <c r="B128" s="120" t="s">
        <v>1870</v>
      </c>
      <c r="C128" s="121" t="s">
        <v>2918</v>
      </c>
      <c r="D128" t="s">
        <v>2919</v>
      </c>
      <c r="E128" s="79">
        <v>24.299999999999997</v>
      </c>
      <c r="F128" s="122">
        <v>119473.62502057615</v>
      </c>
      <c r="G128" s="122">
        <v>108403.16374485599</v>
      </c>
      <c r="H128" s="122">
        <v>63817.044115226345</v>
      </c>
      <c r="I128" s="123">
        <v>291693.83288065851</v>
      </c>
      <c r="J128" s="122">
        <v>295046.78131687245</v>
      </c>
      <c r="K128" s="122">
        <v>110221.66719341566</v>
      </c>
      <c r="L128" s="122">
        <v>64382.993497942385</v>
      </c>
      <c r="M128" s="123">
        <v>469651.44200823049</v>
      </c>
      <c r="N128" s="123">
        <v>761345.27488888893</v>
      </c>
    </row>
    <row r="129" spans="1:14">
      <c r="A129" s="119">
        <v>6503</v>
      </c>
      <c r="B129" s="120" t="s">
        <v>1870</v>
      </c>
      <c r="C129" s="121" t="s">
        <v>2918</v>
      </c>
      <c r="D129" t="s">
        <v>2920</v>
      </c>
      <c r="E129" s="79">
        <v>60</v>
      </c>
      <c r="F129" s="122">
        <v>433052.98193333333</v>
      </c>
      <c r="G129" s="122">
        <v>156942.23144416668</v>
      </c>
      <c r="H129" s="122">
        <v>91495.544891666665</v>
      </c>
      <c r="I129" s="123">
        <v>681490.75826916669</v>
      </c>
      <c r="J129" s="122">
        <v>161207.37813333335</v>
      </c>
      <c r="K129" s="122">
        <v>113662.97756166666</v>
      </c>
      <c r="L129" s="122">
        <v>66229.98043333333</v>
      </c>
      <c r="M129" s="123">
        <v>341100.33612833335</v>
      </c>
      <c r="N129" s="123">
        <v>1022591.0943975</v>
      </c>
    </row>
    <row r="130" spans="1:14">
      <c r="A130" s="119">
        <v>6415</v>
      </c>
      <c r="B130" s="120" t="s">
        <v>1870</v>
      </c>
      <c r="C130" s="121" t="s">
        <v>1867</v>
      </c>
      <c r="D130" t="s">
        <v>2921</v>
      </c>
      <c r="E130" s="79">
        <v>33.5</v>
      </c>
      <c r="F130" s="122">
        <v>4225392.0731343292</v>
      </c>
      <c r="G130" s="122">
        <v>3549486.5040253736</v>
      </c>
      <c r="H130" s="122">
        <v>593379.71408074629</v>
      </c>
      <c r="I130" s="123">
        <v>8368258.2912404481</v>
      </c>
      <c r="J130" s="122">
        <v>6596809.964686567</v>
      </c>
      <c r="K130" s="122">
        <v>4166585.2416776116</v>
      </c>
      <c r="L130" s="122">
        <v>624128.77797297016</v>
      </c>
      <c r="M130" s="123">
        <v>11387523.984337151</v>
      </c>
      <c r="N130" s="123">
        <v>19755782.275577597</v>
      </c>
    </row>
    <row r="131" spans="1:14">
      <c r="A131" s="119">
        <v>6415</v>
      </c>
      <c r="B131" s="120" t="s">
        <v>1870</v>
      </c>
      <c r="C131" s="121" t="s">
        <v>1867</v>
      </c>
      <c r="D131" t="s">
        <v>2922</v>
      </c>
      <c r="E131" s="79">
        <v>84.8</v>
      </c>
      <c r="F131" s="122">
        <v>8799620.7205542456</v>
      </c>
      <c r="G131" s="122">
        <v>6882294.3642411549</v>
      </c>
      <c r="H131" s="122">
        <v>1123467.1286699765</v>
      </c>
      <c r="I131" s="123">
        <v>16805382.213465378</v>
      </c>
      <c r="J131" s="122">
        <v>11487523.285825472</v>
      </c>
      <c r="K131" s="122">
        <v>7582865.3700347897</v>
      </c>
      <c r="L131" s="122">
        <v>1158870.4039156958</v>
      </c>
      <c r="M131" s="123">
        <v>20229259.059775956</v>
      </c>
      <c r="N131" s="123">
        <v>37034641.273241334</v>
      </c>
    </row>
    <row r="132" spans="1:14">
      <c r="A132" s="119">
        <v>6227</v>
      </c>
      <c r="B132" s="120" t="s">
        <v>2002</v>
      </c>
      <c r="C132" s="121" t="s">
        <v>2923</v>
      </c>
      <c r="D132" t="s">
        <v>2924</v>
      </c>
      <c r="E132" s="79">
        <v>34.6</v>
      </c>
      <c r="F132" s="122">
        <v>23376.757803468208</v>
      </c>
      <c r="G132" s="122">
        <v>174604.33940606934</v>
      </c>
      <c r="H132" s="122">
        <v>55885.022789017334</v>
      </c>
      <c r="I132" s="123">
        <v>253866.11999855487</v>
      </c>
      <c r="J132" s="122">
        <v>220611.50150289017</v>
      </c>
      <c r="K132" s="122">
        <v>178761.74774421964</v>
      </c>
      <c r="L132" s="122">
        <v>61500.895014450871</v>
      </c>
      <c r="M132" s="123">
        <v>460874.14426156075</v>
      </c>
      <c r="N132" s="123">
        <v>714740.26426011568</v>
      </c>
    </row>
    <row r="133" spans="1:14">
      <c r="A133" s="119">
        <v>6227</v>
      </c>
      <c r="B133" s="120" t="s">
        <v>2002</v>
      </c>
      <c r="C133" s="121" t="s">
        <v>2923</v>
      </c>
      <c r="D133" t="s">
        <v>2925</v>
      </c>
      <c r="E133" s="79">
        <v>8</v>
      </c>
      <c r="F133" s="122">
        <v>0</v>
      </c>
      <c r="G133" s="122">
        <v>162790.17778124998</v>
      </c>
      <c r="H133" s="122">
        <v>53637.035625000004</v>
      </c>
      <c r="I133" s="123">
        <v>216427.21340625</v>
      </c>
      <c r="J133" s="122">
        <v>215552.34</v>
      </c>
      <c r="K133" s="122">
        <v>165376.90012499999</v>
      </c>
      <c r="L133" s="122">
        <v>56409.159375000003</v>
      </c>
      <c r="M133" s="123">
        <v>437338.3995</v>
      </c>
      <c r="N133" s="123">
        <v>653765.61290624994</v>
      </c>
    </row>
    <row r="134" spans="1:14">
      <c r="A134" s="119">
        <v>6315</v>
      </c>
      <c r="B134" s="120" t="s">
        <v>1870</v>
      </c>
      <c r="C134" s="121" t="s">
        <v>2926</v>
      </c>
      <c r="D134" t="s">
        <v>2927</v>
      </c>
      <c r="E134" s="79">
        <v>146.19999999999999</v>
      </c>
      <c r="F134" s="122">
        <v>7175345.7795759244</v>
      </c>
      <c r="G134" s="122">
        <v>7916692.7560253087</v>
      </c>
      <c r="H134" s="122">
        <v>1156308.0428101919</v>
      </c>
      <c r="I134" s="123">
        <v>16248346.578411425</v>
      </c>
      <c r="J134" s="122">
        <v>18159260.57744186</v>
      </c>
      <c r="K134" s="122">
        <v>8962184.2113430239</v>
      </c>
      <c r="L134" s="122">
        <v>1213185.6717095072</v>
      </c>
      <c r="M134" s="123">
        <v>28334630.460494392</v>
      </c>
      <c r="N134" s="123">
        <v>44582977.038905814</v>
      </c>
    </row>
    <row r="135" spans="1:14">
      <c r="A135" s="119">
        <v>4014</v>
      </c>
      <c r="B135" s="120" t="s">
        <v>1853</v>
      </c>
      <c r="C135" s="121" t="s">
        <v>2928</v>
      </c>
      <c r="D135" t="s">
        <v>2929</v>
      </c>
      <c r="E135" s="79">
        <v>3.8</v>
      </c>
      <c r="F135" s="122">
        <v>32591.270526315795</v>
      </c>
      <c r="G135" s="122">
        <v>413146.57415789482</v>
      </c>
      <c r="H135" s="122">
        <v>233060.10328947371</v>
      </c>
      <c r="I135" s="123">
        <v>678797.94797368429</v>
      </c>
      <c r="J135" s="122">
        <v>3359950.0705263158</v>
      </c>
      <c r="K135" s="122">
        <v>931750.20163157908</v>
      </c>
      <c r="L135" s="122">
        <v>241151.14605263158</v>
      </c>
      <c r="M135" s="123">
        <v>4532851.418210526</v>
      </c>
      <c r="N135" s="123">
        <v>5211649.3661842104</v>
      </c>
    </row>
    <row r="136" spans="1:14">
      <c r="A136" s="119">
        <v>4014</v>
      </c>
      <c r="B136" s="120" t="s">
        <v>1853</v>
      </c>
      <c r="C136" s="121" t="s">
        <v>2928</v>
      </c>
      <c r="D136" t="s">
        <v>2930</v>
      </c>
      <c r="E136" s="79">
        <v>2.7</v>
      </c>
      <c r="F136" s="122">
        <v>2805.9074074074074</v>
      </c>
      <c r="G136" s="122">
        <v>51507.799166666664</v>
      </c>
      <c r="H136" s="122">
        <v>9640.115277777777</v>
      </c>
      <c r="I136" s="123">
        <v>63953.821851851855</v>
      </c>
      <c r="J136" s="122">
        <v>124757.53148148146</v>
      </c>
      <c r="K136" s="122">
        <v>50301.765462962961</v>
      </c>
      <c r="L136" s="122">
        <v>13696.525462962964</v>
      </c>
      <c r="M136" s="123">
        <v>188755.8224074074</v>
      </c>
      <c r="N136" s="123">
        <v>252709.64425925922</v>
      </c>
    </row>
    <row r="137" spans="1:14">
      <c r="A137" s="119">
        <v>6333</v>
      </c>
      <c r="B137" s="120" t="s">
        <v>1853</v>
      </c>
      <c r="C137" s="121" t="s">
        <v>2190</v>
      </c>
      <c r="D137" t="s">
        <v>2931</v>
      </c>
      <c r="E137" s="79">
        <v>88.7</v>
      </c>
      <c r="F137" s="122">
        <v>9748005.7646561433</v>
      </c>
      <c r="G137" s="122">
        <v>6819461.6717074392</v>
      </c>
      <c r="H137" s="122">
        <v>1095237.7999068208</v>
      </c>
      <c r="I137" s="123">
        <v>17662705.236270402</v>
      </c>
      <c r="J137" s="122">
        <v>13143200.981995489</v>
      </c>
      <c r="K137" s="122">
        <v>7790319.5650473498</v>
      </c>
      <c r="L137" s="122">
        <v>1155286.4399441939</v>
      </c>
      <c r="M137" s="123">
        <v>22088806.986987032</v>
      </c>
      <c r="N137" s="123">
        <v>39751512.223257437</v>
      </c>
    </row>
    <row r="138" spans="1:14">
      <c r="A138" s="119">
        <v>6333</v>
      </c>
      <c r="B138" s="120" t="s">
        <v>1853</v>
      </c>
      <c r="C138" s="121" t="s">
        <v>2190</v>
      </c>
      <c r="D138" t="s">
        <v>2932</v>
      </c>
      <c r="E138" s="79">
        <v>4.7999999999999972</v>
      </c>
      <c r="F138" s="122">
        <v>10233649.733958339</v>
      </c>
      <c r="G138" s="122">
        <v>6993515.3460729206</v>
      </c>
      <c r="H138" s="122">
        <v>1110386.1220583341</v>
      </c>
      <c r="I138" s="123">
        <v>18337551.202089593</v>
      </c>
      <c r="J138" s="122">
        <v>13145282.038958341</v>
      </c>
      <c r="K138" s="122">
        <v>7975748.6060000043</v>
      </c>
      <c r="L138" s="122">
        <v>1177197.299708334</v>
      </c>
      <c r="M138" s="123">
        <v>22298227.94466668</v>
      </c>
      <c r="N138" s="123">
        <v>40635779.146756269</v>
      </c>
    </row>
    <row r="139" spans="1:14">
      <c r="A139" s="119">
        <v>6333</v>
      </c>
      <c r="B139" s="120" t="s">
        <v>1853</v>
      </c>
      <c r="C139" s="121" t="s">
        <v>2190</v>
      </c>
      <c r="D139" t="s">
        <v>2933</v>
      </c>
      <c r="E139" s="79">
        <v>24.299999999999997</v>
      </c>
      <c r="F139" s="122">
        <v>17083984.249835394</v>
      </c>
      <c r="G139" s="122">
        <v>9058979.4985493831</v>
      </c>
      <c r="H139" s="122">
        <v>1436499.6605866258</v>
      </c>
      <c r="I139" s="123">
        <v>27579463.408971399</v>
      </c>
      <c r="J139" s="122">
        <v>12820735.976296296</v>
      </c>
      <c r="K139" s="122">
        <v>10956225.74900206</v>
      </c>
      <c r="L139" s="122">
        <v>1596860.9338127575</v>
      </c>
      <c r="M139" s="123">
        <v>25373822.659111116</v>
      </c>
      <c r="N139" s="123">
        <v>52953286.068082511</v>
      </c>
    </row>
    <row r="140" spans="1:14">
      <c r="A140" s="119">
        <v>6333</v>
      </c>
      <c r="B140" s="120" t="s">
        <v>1853</v>
      </c>
      <c r="C140" s="121" t="s">
        <v>2190</v>
      </c>
      <c r="D140" t="s">
        <v>2934</v>
      </c>
      <c r="E140" s="79">
        <v>11.299999999999997</v>
      </c>
      <c r="F140" s="122">
        <v>16573741.420884959</v>
      </c>
      <c r="G140" s="122">
        <v>7975113.7991548702</v>
      </c>
      <c r="H140" s="122">
        <v>1350078.5597026553</v>
      </c>
      <c r="I140" s="123">
        <v>25898933.779742487</v>
      </c>
      <c r="J140" s="122">
        <v>9935175.1697345152</v>
      </c>
      <c r="K140" s="122">
        <v>9905911.7015707996</v>
      </c>
      <c r="L140" s="122">
        <v>1492018.3968650447</v>
      </c>
      <c r="M140" s="123">
        <v>21333105.26817036</v>
      </c>
      <c r="N140" s="123">
        <v>47232039.047912844</v>
      </c>
    </row>
    <row r="141" spans="1:14">
      <c r="A141" s="119">
        <v>6333</v>
      </c>
      <c r="B141" s="120" t="s">
        <v>1853</v>
      </c>
      <c r="C141" s="121" t="s">
        <v>2190</v>
      </c>
      <c r="D141" t="s">
        <v>2935</v>
      </c>
      <c r="E141" s="79">
        <v>6</v>
      </c>
      <c r="F141" s="122">
        <v>43789045.995666668</v>
      </c>
      <c r="G141" s="122">
        <v>23570573.851191666</v>
      </c>
      <c r="H141" s="122">
        <v>3259819.9537359998</v>
      </c>
      <c r="I141" s="123">
        <v>70619439.80059433</v>
      </c>
      <c r="J141" s="122">
        <v>28010456.253999997</v>
      </c>
      <c r="K141" s="122">
        <v>25311167.426016662</v>
      </c>
      <c r="L141" s="122">
        <v>3453015.700964334</v>
      </c>
      <c r="M141" s="123">
        <v>56774639.380980991</v>
      </c>
      <c r="N141" s="123">
        <v>127394079.18157531</v>
      </c>
    </row>
    <row r="142" spans="1:14">
      <c r="A142" s="119">
        <v>6314</v>
      </c>
      <c r="B142" s="120" t="s">
        <v>1870</v>
      </c>
      <c r="C142" s="121" t="s">
        <v>2022</v>
      </c>
      <c r="D142" t="s">
        <v>2936</v>
      </c>
      <c r="E142" s="79">
        <v>147.19999999999999</v>
      </c>
      <c r="F142" s="122">
        <v>7031642.1041983692</v>
      </c>
      <c r="G142" s="122">
        <v>7871387.4766671211</v>
      </c>
      <c r="H142" s="122">
        <v>1147761.813543275</v>
      </c>
      <c r="I142" s="123">
        <v>16050791.394408764</v>
      </c>
      <c r="J142" s="122">
        <v>18261767.55533288</v>
      </c>
      <c r="K142" s="122">
        <v>8927860.6097819321</v>
      </c>
      <c r="L142" s="122">
        <v>1202437.7162124666</v>
      </c>
      <c r="M142" s="123">
        <v>28392065.881327283</v>
      </c>
      <c r="N142" s="123">
        <v>44442857.275736049</v>
      </c>
    </row>
    <row r="143" spans="1:14">
      <c r="A143" s="119">
        <v>6316</v>
      </c>
      <c r="B143" s="120" t="s">
        <v>2937</v>
      </c>
      <c r="C143" s="121" t="s">
        <v>2938</v>
      </c>
      <c r="D143" t="s">
        <v>2939</v>
      </c>
      <c r="E143" s="79">
        <v>90.1</v>
      </c>
      <c r="F143" s="122">
        <v>7142401.200077693</v>
      </c>
      <c r="G143" s="122">
        <v>7743091.6085793581</v>
      </c>
      <c r="H143" s="122">
        <v>1121018.0200395114</v>
      </c>
      <c r="I143" s="123">
        <v>16006510.828696564</v>
      </c>
      <c r="J143" s="122">
        <v>17623063.836514983</v>
      </c>
      <c r="K143" s="122">
        <v>8754428.9403429516</v>
      </c>
      <c r="L143" s="122">
        <v>1174933.4889988904</v>
      </c>
      <c r="M143" s="123">
        <v>27552426.265856821</v>
      </c>
      <c r="N143" s="123">
        <v>43558937.094553389</v>
      </c>
    </row>
    <row r="144" spans="1:14">
      <c r="A144" s="119">
        <v>6316</v>
      </c>
      <c r="B144" s="120" t="s">
        <v>1831</v>
      </c>
      <c r="C144" s="121" t="s">
        <v>2938</v>
      </c>
      <c r="D144" t="s">
        <v>2940</v>
      </c>
      <c r="E144" s="79">
        <v>29.100000000000009</v>
      </c>
      <c r="F144" s="122">
        <v>7903076.6440893458</v>
      </c>
      <c r="G144" s="122">
        <v>8555828.4803247377</v>
      </c>
      <c r="H144" s="122">
        <v>1240228.833162199</v>
      </c>
      <c r="I144" s="123">
        <v>17699133.957576282</v>
      </c>
      <c r="J144" s="122">
        <v>19471548.561271477</v>
      </c>
      <c r="K144" s="122">
        <v>9675838.9384072125</v>
      </c>
      <c r="L144" s="122">
        <v>1299928.245501718</v>
      </c>
      <c r="M144" s="123">
        <v>30447315.745180409</v>
      </c>
      <c r="N144" s="123">
        <v>48146449.702756695</v>
      </c>
    </row>
    <row r="145" spans="1:14">
      <c r="A145" s="119">
        <v>6316</v>
      </c>
      <c r="B145" s="120" t="s">
        <v>1831</v>
      </c>
      <c r="C145" s="121" t="s">
        <v>2938</v>
      </c>
      <c r="D145" t="s">
        <v>2941</v>
      </c>
      <c r="E145" s="79">
        <v>5.2999999999999972</v>
      </c>
      <c r="F145" s="122">
        <v>7257246.6530188723</v>
      </c>
      <c r="G145" s="122">
        <v>7855871.0261886837</v>
      </c>
      <c r="H145" s="122">
        <v>1138721.9326943404</v>
      </c>
      <c r="I145" s="123">
        <v>16251839.611901894</v>
      </c>
      <c r="J145" s="122">
        <v>16857454.295471709</v>
      </c>
      <c r="K145" s="122">
        <v>8299215.997698117</v>
      </c>
      <c r="L145" s="122">
        <v>1092489.2111603778</v>
      </c>
      <c r="M145" s="123">
        <v>26249159.504330199</v>
      </c>
      <c r="N145" s="123">
        <v>42500999.11623209</v>
      </c>
    </row>
    <row r="146" spans="1:14">
      <c r="A146" s="119">
        <v>6316</v>
      </c>
      <c r="B146" s="120" t="s">
        <v>1831</v>
      </c>
      <c r="C146" s="121" t="s">
        <v>2938</v>
      </c>
      <c r="D146" t="s">
        <v>2942</v>
      </c>
      <c r="E146" s="79">
        <v>1.2000000000000028</v>
      </c>
      <c r="F146" s="122">
        <v>9074545.1933333129</v>
      </c>
      <c r="G146" s="122">
        <v>11785006.620791638</v>
      </c>
      <c r="H146" s="122">
        <v>1515690.6637816632</v>
      </c>
      <c r="I146" s="123">
        <v>22375242.477906615</v>
      </c>
      <c r="J146" s="122">
        <v>26397674.967499938</v>
      </c>
      <c r="K146" s="122">
        <v>12771621.707208304</v>
      </c>
      <c r="L146" s="122">
        <v>1572896.4871995796</v>
      </c>
      <c r="M146" s="123">
        <v>40742193.161907822</v>
      </c>
      <c r="N146" s="123">
        <v>63117435.639814436</v>
      </c>
    </row>
    <row r="147" spans="1:14">
      <c r="A147" s="119">
        <v>4016</v>
      </c>
      <c r="B147" s="120" t="s">
        <v>1831</v>
      </c>
      <c r="C147" s="121" t="s">
        <v>2943</v>
      </c>
      <c r="D147" t="s">
        <v>2944</v>
      </c>
      <c r="E147" s="79">
        <v>3.4</v>
      </c>
      <c r="F147" s="122">
        <v>209713.28794117647</v>
      </c>
      <c r="G147" s="122">
        <v>213504.81920588235</v>
      </c>
      <c r="H147" s="122">
        <v>46420.509323529412</v>
      </c>
      <c r="I147" s="123">
        <v>469638.61647058825</v>
      </c>
      <c r="J147" s="122">
        <v>204682.50588235294</v>
      </c>
      <c r="K147" s="122">
        <v>359166.81300000002</v>
      </c>
      <c r="L147" s="122">
        <v>81442.898135294119</v>
      </c>
      <c r="M147" s="123">
        <v>645292.21701764711</v>
      </c>
      <c r="N147" s="123">
        <v>1114930.8334882353</v>
      </c>
    </row>
    <row r="148" spans="1:14">
      <c r="A148" s="119">
        <v>6367</v>
      </c>
      <c r="B148" s="120" t="s">
        <v>1853</v>
      </c>
      <c r="C148" s="121" t="s">
        <v>2945</v>
      </c>
      <c r="D148" t="s">
        <v>2946</v>
      </c>
      <c r="E148" s="79">
        <v>29.299999999999997</v>
      </c>
      <c r="F148" s="122">
        <v>64935.598976109228</v>
      </c>
      <c r="G148" s="122">
        <v>20149.885750853242</v>
      </c>
      <c r="H148" s="122">
        <v>3175.7713310580211</v>
      </c>
      <c r="I148" s="123">
        <v>88261.256058020488</v>
      </c>
      <c r="J148" s="122">
        <v>3436.6254266211608</v>
      </c>
      <c r="K148" s="122">
        <v>18996.302687713312</v>
      </c>
      <c r="L148" s="122">
        <v>1615.7754906143346</v>
      </c>
      <c r="M148" s="123">
        <v>24048.703604948809</v>
      </c>
      <c r="N148" s="123">
        <v>112309.9596629693</v>
      </c>
    </row>
    <row r="149" spans="1:14">
      <c r="A149" s="119">
        <v>6367</v>
      </c>
      <c r="B149" s="120" t="s">
        <v>1853</v>
      </c>
      <c r="C149" s="121" t="s">
        <v>2945</v>
      </c>
      <c r="D149" t="s">
        <v>2947</v>
      </c>
      <c r="E149" s="79">
        <v>11.5</v>
      </c>
      <c r="F149" s="122">
        <v>216294.08556521739</v>
      </c>
      <c r="G149" s="122">
        <v>67117.285147826085</v>
      </c>
      <c r="H149" s="122">
        <v>10578.18156521739</v>
      </c>
      <c r="I149" s="123">
        <v>293989.55227826088</v>
      </c>
      <c r="J149" s="122">
        <v>11447.060869565219</v>
      </c>
      <c r="K149" s="122">
        <v>63274.813565217395</v>
      </c>
      <c r="L149" s="122">
        <v>5381.9890434782601</v>
      </c>
      <c r="M149" s="123">
        <v>80103.863478260871</v>
      </c>
      <c r="N149" s="123">
        <v>374093.41575652175</v>
      </c>
    </row>
    <row r="150" spans="1:14">
      <c r="A150" s="119">
        <v>6324</v>
      </c>
      <c r="B150" s="120" t="s">
        <v>1831</v>
      </c>
      <c r="C150" s="121" t="s">
        <v>2948</v>
      </c>
      <c r="D150" t="s">
        <v>2949</v>
      </c>
      <c r="E150" s="79">
        <v>54.2</v>
      </c>
      <c r="F150" s="122">
        <v>51176.557730627304</v>
      </c>
      <c r="G150" s="122">
        <v>520299.46336439112</v>
      </c>
      <c r="H150" s="122">
        <v>74875.612476983399</v>
      </c>
      <c r="I150" s="123">
        <v>646351.63357200183</v>
      </c>
      <c r="J150" s="122">
        <v>1510056.9601476016</v>
      </c>
      <c r="K150" s="122">
        <v>516918.2825415128</v>
      </c>
      <c r="L150" s="122">
        <v>80307.796467813649</v>
      </c>
      <c r="M150" s="123">
        <v>2107283.0391569282</v>
      </c>
      <c r="N150" s="123">
        <v>2753634.6727289297</v>
      </c>
    </row>
    <row r="151" spans="1:14">
      <c r="A151" s="119">
        <v>6324</v>
      </c>
      <c r="B151" s="120" t="s">
        <v>1831</v>
      </c>
      <c r="C151" s="121" t="s">
        <v>2948</v>
      </c>
      <c r="D151" t="s">
        <v>2950</v>
      </c>
      <c r="E151" s="79">
        <v>23.799999999999997</v>
      </c>
      <c r="F151" s="122">
        <v>138.86941176470592</v>
      </c>
      <c r="G151" s="122">
        <v>81503.050500000012</v>
      </c>
      <c r="H151" s="122">
        <v>7572.9978088235312</v>
      </c>
      <c r="I151" s="123">
        <v>89214.917720588244</v>
      </c>
      <c r="J151" s="122">
        <v>268122.96352941176</v>
      </c>
      <c r="K151" s="122">
        <v>76281.586155462181</v>
      </c>
      <c r="L151" s="122">
        <v>9269.5306985294119</v>
      </c>
      <c r="M151" s="123">
        <v>353674.0803834034</v>
      </c>
      <c r="N151" s="123">
        <v>442888.99810399162</v>
      </c>
    </row>
    <row r="152" spans="1:14">
      <c r="A152" s="119">
        <v>6619</v>
      </c>
      <c r="B152" s="120" t="s">
        <v>2779</v>
      </c>
      <c r="C152" s="121" t="s">
        <v>2951</v>
      </c>
      <c r="D152" t="s">
        <v>2952</v>
      </c>
      <c r="E152" s="79">
        <v>27.1</v>
      </c>
      <c r="F152" s="122">
        <v>281297.29162361618</v>
      </c>
      <c r="G152" s="122">
        <v>1174197.9340313654</v>
      </c>
      <c r="H152" s="122">
        <v>146836.00839483397</v>
      </c>
      <c r="I152" s="123">
        <v>1602331.2340498155</v>
      </c>
      <c r="J152" s="122">
        <v>2516127.7416236158</v>
      </c>
      <c r="K152" s="122">
        <v>1157289.9917416973</v>
      </c>
      <c r="L152" s="122">
        <v>137113.79039594095</v>
      </c>
      <c r="M152" s="123">
        <v>3810531.5237612543</v>
      </c>
      <c r="N152" s="123">
        <v>5412862.7578110695</v>
      </c>
    </row>
    <row r="153" spans="1:14">
      <c r="A153" s="119">
        <v>6225</v>
      </c>
      <c r="B153" s="120" t="s">
        <v>2002</v>
      </c>
      <c r="C153" s="121" t="s">
        <v>2953</v>
      </c>
      <c r="D153" t="s">
        <v>2954</v>
      </c>
      <c r="E153" s="79">
        <v>43.7</v>
      </c>
      <c r="F153" s="122">
        <v>486900.4071167048</v>
      </c>
      <c r="G153" s="122">
        <v>196882.43370823801</v>
      </c>
      <c r="H153" s="122">
        <v>29027.6656264302</v>
      </c>
      <c r="I153" s="123">
        <v>712810.50645137299</v>
      </c>
      <c r="J153" s="122">
        <v>71266.951052631572</v>
      </c>
      <c r="K153" s="122">
        <v>193884.17599542328</v>
      </c>
      <c r="L153" s="122">
        <v>44448.885157322649</v>
      </c>
      <c r="M153" s="123">
        <v>309600.01220537751</v>
      </c>
      <c r="N153" s="123">
        <v>1022410.5186567504</v>
      </c>
    </row>
    <row r="154" spans="1:14">
      <c r="A154" s="119">
        <v>6201</v>
      </c>
      <c r="B154" s="120" t="s">
        <v>2002</v>
      </c>
      <c r="C154" s="121" t="s">
        <v>1998</v>
      </c>
      <c r="D154" t="s">
        <v>2955</v>
      </c>
      <c r="E154" s="79">
        <v>9.6</v>
      </c>
      <c r="F154" s="122">
        <v>34536148.93531251</v>
      </c>
      <c r="G154" s="122">
        <v>14974920.196265625</v>
      </c>
      <c r="H154" s="122">
        <v>2465975.7305078125</v>
      </c>
      <c r="I154" s="123">
        <v>51977044.862085946</v>
      </c>
      <c r="J154" s="122">
        <v>10301124.271875</v>
      </c>
      <c r="K154" s="122">
        <v>14914190.340166669</v>
      </c>
      <c r="L154" s="122">
        <v>2541743.8670156254</v>
      </c>
      <c r="M154" s="123">
        <v>27757058.479057293</v>
      </c>
      <c r="N154" s="123">
        <v>79734103.34114325</v>
      </c>
    </row>
    <row r="155" spans="1:14">
      <c r="A155" s="119">
        <v>6201</v>
      </c>
      <c r="B155" s="120" t="s">
        <v>2002</v>
      </c>
      <c r="C155" s="121" t="s">
        <v>1998</v>
      </c>
      <c r="D155" t="s">
        <v>2956</v>
      </c>
      <c r="E155" s="79">
        <v>17.600000000000001</v>
      </c>
      <c r="F155" s="122">
        <v>34412120.218977265</v>
      </c>
      <c r="G155" s="122">
        <v>14936817.563176136</v>
      </c>
      <c r="H155" s="122">
        <v>2450495.7273082389</v>
      </c>
      <c r="I155" s="123">
        <v>51799433.509461641</v>
      </c>
      <c r="J155" s="122">
        <v>10316852.85380682</v>
      </c>
      <c r="K155" s="122">
        <v>14915045.459071022</v>
      </c>
      <c r="L155" s="122">
        <v>2521713.9374715909</v>
      </c>
      <c r="M155" s="123">
        <v>27753612.250349432</v>
      </c>
      <c r="N155" s="123">
        <v>79553045.759811074</v>
      </c>
    </row>
    <row r="156" spans="1:14">
      <c r="A156" s="119">
        <v>6201</v>
      </c>
      <c r="B156" s="120" t="s">
        <v>2002</v>
      </c>
      <c r="C156" s="121" t="s">
        <v>1998</v>
      </c>
      <c r="D156" t="s">
        <v>2957</v>
      </c>
      <c r="E156" s="79">
        <v>9.0000000000000036</v>
      </c>
      <c r="F156" s="122">
        <v>2401093.5086666658</v>
      </c>
      <c r="G156" s="122">
        <v>1041895.8869333329</v>
      </c>
      <c r="H156" s="122">
        <v>171141.4154166666</v>
      </c>
      <c r="I156" s="123">
        <v>3614130.8110166653</v>
      </c>
      <c r="J156" s="122">
        <v>719017.77399999974</v>
      </c>
      <c r="K156" s="122">
        <v>1041416.3408666663</v>
      </c>
      <c r="L156" s="122">
        <v>177303.79516666659</v>
      </c>
      <c r="M156" s="123">
        <v>1937737.9100333324</v>
      </c>
      <c r="N156" s="123">
        <v>5551868.721049998</v>
      </c>
    </row>
    <row r="157" spans="1:14">
      <c r="A157" s="119">
        <v>6201</v>
      </c>
      <c r="B157" s="120" t="s">
        <v>2002</v>
      </c>
      <c r="C157" s="121" t="s">
        <v>1998</v>
      </c>
      <c r="D157" t="s">
        <v>2958</v>
      </c>
      <c r="E157" s="79">
        <v>19.899999999999999</v>
      </c>
      <c r="F157" s="122">
        <v>48719233.068844222</v>
      </c>
      <c r="G157" s="122">
        <v>21145702.407927137</v>
      </c>
      <c r="H157" s="122">
        <v>3473418.4030841715</v>
      </c>
      <c r="I157" s="123">
        <v>73338353.879855528</v>
      </c>
      <c r="J157" s="122">
        <v>14589551.205226133</v>
      </c>
      <c r="K157" s="122">
        <v>21124980.261806536</v>
      </c>
      <c r="L157" s="122">
        <v>3594336.212351759</v>
      </c>
      <c r="M157" s="123">
        <v>39308867.679384425</v>
      </c>
      <c r="N157" s="123">
        <v>112647221.55923997</v>
      </c>
    </row>
    <row r="158" spans="1:14">
      <c r="A158" s="119">
        <v>6201</v>
      </c>
      <c r="B158" s="120" t="s">
        <v>2002</v>
      </c>
      <c r="C158" s="121" t="s">
        <v>1998</v>
      </c>
      <c r="D158" t="s">
        <v>2959</v>
      </c>
      <c r="E158" s="79">
        <v>80.5</v>
      </c>
      <c r="F158" s="122">
        <v>33837774.761652179</v>
      </c>
      <c r="G158" s="122">
        <v>14409075.601408698</v>
      </c>
      <c r="H158" s="122">
        <v>2351787.0500850929</v>
      </c>
      <c r="I158" s="123">
        <v>50598637.413145967</v>
      </c>
      <c r="J158" s="122">
        <v>9174205.5764720477</v>
      </c>
      <c r="K158" s="122">
        <v>14391111.58849317</v>
      </c>
      <c r="L158" s="122">
        <v>2436939.4963956517</v>
      </c>
      <c r="M158" s="123">
        <v>26002256.661360864</v>
      </c>
      <c r="N158" s="123">
        <v>76600894.074506834</v>
      </c>
    </row>
    <row r="159" spans="1:14">
      <c r="A159" s="119">
        <v>4030</v>
      </c>
      <c r="B159" s="120" t="s">
        <v>2002</v>
      </c>
      <c r="C159" s="121" t="s">
        <v>2960</v>
      </c>
      <c r="D159" t="s">
        <v>2961</v>
      </c>
      <c r="E159" s="79">
        <v>8.4</v>
      </c>
      <c r="F159" s="122">
        <v>29266.113809523809</v>
      </c>
      <c r="G159" s="122">
        <v>12345.44319047619</v>
      </c>
      <c r="H159" s="122">
        <v>8781.1780952380941</v>
      </c>
      <c r="I159" s="123">
        <v>50392.735095238095</v>
      </c>
      <c r="J159" s="122">
        <v>3099.3609523809523</v>
      </c>
      <c r="K159" s="122">
        <v>22015.542404761902</v>
      </c>
      <c r="L159" s="122">
        <v>22504.999523809522</v>
      </c>
      <c r="M159" s="123">
        <v>47619.902880952381</v>
      </c>
      <c r="N159" s="123">
        <v>98012.637976190468</v>
      </c>
    </row>
    <row r="160" spans="1:14">
      <c r="A160" s="119">
        <v>6353</v>
      </c>
      <c r="B160" s="120" t="s">
        <v>1853</v>
      </c>
      <c r="C160" s="121" t="s">
        <v>2962</v>
      </c>
      <c r="D160" t="s">
        <v>2963</v>
      </c>
      <c r="E160" s="79">
        <v>42.4</v>
      </c>
      <c r="F160" s="122">
        <v>219038.21235849062</v>
      </c>
      <c r="G160" s="122">
        <v>2726543.9970070752</v>
      </c>
      <c r="H160" s="122">
        <v>335083.72664799524</v>
      </c>
      <c r="I160" s="123">
        <v>3280665.9360135607</v>
      </c>
      <c r="J160" s="122">
        <v>6424306.103349058</v>
      </c>
      <c r="K160" s="122">
        <v>1765384.2536615566</v>
      </c>
      <c r="L160" s="122">
        <v>258369.28225530669</v>
      </c>
      <c r="M160" s="123">
        <v>8448059.639265921</v>
      </c>
      <c r="N160" s="123">
        <v>11728725.575279482</v>
      </c>
    </row>
    <row r="161" spans="1:14">
      <c r="A161" s="119">
        <v>6353</v>
      </c>
      <c r="B161" s="120" t="s">
        <v>1853</v>
      </c>
      <c r="C161" s="121" t="s">
        <v>2962</v>
      </c>
      <c r="D161" t="s">
        <v>2964</v>
      </c>
      <c r="E161" s="79">
        <v>62.000000000000007</v>
      </c>
      <c r="F161" s="122">
        <v>221048.3890322581</v>
      </c>
      <c r="G161" s="122">
        <v>2535281.1537298383</v>
      </c>
      <c r="H161" s="122">
        <v>297249.20111088705</v>
      </c>
      <c r="I161" s="123">
        <v>3053578.7438729834</v>
      </c>
      <c r="J161" s="122">
        <v>5829116.4515322568</v>
      </c>
      <c r="K161" s="122">
        <v>1584647.3472306454</v>
      </c>
      <c r="L161" s="122">
        <v>216731.94923387092</v>
      </c>
      <c r="M161" s="123">
        <v>7630495.7479967726</v>
      </c>
      <c r="N161" s="123">
        <v>10684074.491869757</v>
      </c>
    </row>
    <row r="162" spans="1:14">
      <c r="A162" s="119">
        <v>6224</v>
      </c>
      <c r="B162" s="120" t="s">
        <v>2002</v>
      </c>
      <c r="C162" s="121" t="s">
        <v>2054</v>
      </c>
      <c r="D162" t="s">
        <v>2965</v>
      </c>
      <c r="E162" s="79">
        <v>7.6000000000000005</v>
      </c>
      <c r="F162" s="122">
        <v>4639729.5843421044</v>
      </c>
      <c r="G162" s="122">
        <v>10344382.836578947</v>
      </c>
      <c r="H162" s="122">
        <v>1630769.7238098681</v>
      </c>
      <c r="I162" s="123">
        <v>16614882.144730918</v>
      </c>
      <c r="J162" s="122">
        <v>26406981.138421047</v>
      </c>
      <c r="K162" s="122">
        <v>11545149.763197366</v>
      </c>
      <c r="L162" s="122">
        <v>1811441.5871822366</v>
      </c>
      <c r="M162" s="123">
        <v>39763572.488800652</v>
      </c>
      <c r="N162" s="123">
        <v>56378454.633531563</v>
      </c>
    </row>
    <row r="163" spans="1:14">
      <c r="A163" s="119">
        <v>6224</v>
      </c>
      <c r="B163" s="120" t="s">
        <v>2002</v>
      </c>
      <c r="C163" s="121" t="s">
        <v>2054</v>
      </c>
      <c r="D163" t="s">
        <v>2966</v>
      </c>
      <c r="E163" s="79">
        <v>5.7000000000000011</v>
      </c>
      <c r="F163" s="122">
        <v>3064526.0192982447</v>
      </c>
      <c r="G163" s="122">
        <v>6690784.3039122801</v>
      </c>
      <c r="H163" s="122">
        <v>1073248.6890736842</v>
      </c>
      <c r="I163" s="123">
        <v>10828559.012284208</v>
      </c>
      <c r="J163" s="122">
        <v>17040492.868421048</v>
      </c>
      <c r="K163" s="122">
        <v>7477114.7175789466</v>
      </c>
      <c r="L163" s="122">
        <v>1178069.1340789471</v>
      </c>
      <c r="M163" s="123">
        <v>25695676.720078938</v>
      </c>
      <c r="N163" s="123">
        <v>36524235.73236315</v>
      </c>
    </row>
    <row r="164" spans="1:14">
      <c r="A164" s="119">
        <v>6224</v>
      </c>
      <c r="B164" s="120" t="s">
        <v>2002</v>
      </c>
      <c r="C164" s="121" t="s">
        <v>2054</v>
      </c>
      <c r="D164" t="s">
        <v>2967</v>
      </c>
      <c r="E164" s="79">
        <v>1.8999999999999986</v>
      </c>
      <c r="F164" s="122">
        <v>3942055.7136842138</v>
      </c>
      <c r="G164" s="122">
        <v>8468050.5618947428</v>
      </c>
      <c r="H164" s="122">
        <v>1326805.6015789486</v>
      </c>
      <c r="I164" s="123">
        <v>13736911.877157904</v>
      </c>
      <c r="J164" s="122">
        <v>21824657.494736858</v>
      </c>
      <c r="K164" s="122">
        <v>9483071.4473684281</v>
      </c>
      <c r="L164" s="122">
        <v>1457313.2336842115</v>
      </c>
      <c r="M164" s="123">
        <v>32765042.175789502</v>
      </c>
      <c r="N164" s="123">
        <v>46501954.052947402</v>
      </c>
    </row>
    <row r="165" spans="1:14">
      <c r="A165" s="119">
        <v>6224</v>
      </c>
      <c r="B165" s="120" t="s">
        <v>2002</v>
      </c>
      <c r="C165" s="121" t="s">
        <v>2054</v>
      </c>
      <c r="D165" t="s">
        <v>2968</v>
      </c>
      <c r="E165" s="79">
        <v>39.4</v>
      </c>
      <c r="F165" s="122">
        <v>3776455.2347461926</v>
      </c>
      <c r="G165" s="122">
        <v>7726786.9406865491</v>
      </c>
      <c r="H165" s="122">
        <v>1164014.5197366748</v>
      </c>
      <c r="I165" s="123">
        <v>12667256.695169415</v>
      </c>
      <c r="J165" s="122">
        <v>20262502.806573607</v>
      </c>
      <c r="K165" s="122">
        <v>8730928.4469847716</v>
      </c>
      <c r="L165" s="122">
        <v>1295375.2760755075</v>
      </c>
      <c r="M165" s="123">
        <v>30288806.529633883</v>
      </c>
      <c r="N165" s="123">
        <v>42956063.224803299</v>
      </c>
    </row>
    <row r="166" spans="1:14">
      <c r="A166" s="119">
        <v>6224</v>
      </c>
      <c r="B166" s="120" t="s">
        <v>2002</v>
      </c>
      <c r="C166" s="121" t="s">
        <v>2054</v>
      </c>
      <c r="D166" t="s">
        <v>2969</v>
      </c>
      <c r="E166" s="79">
        <v>21.699999999999996</v>
      </c>
      <c r="F166" s="122">
        <v>3366536.1548387106</v>
      </c>
      <c r="G166" s="122">
        <v>5516553.1225783424</v>
      </c>
      <c r="H166" s="122">
        <v>792810.6979262674</v>
      </c>
      <c r="I166" s="123">
        <v>9675899.9753433205</v>
      </c>
      <c r="J166" s="122">
        <v>9575088.9410138279</v>
      </c>
      <c r="K166" s="122">
        <v>5517956.0373364082</v>
      </c>
      <c r="L166" s="122">
        <v>800116.35907834128</v>
      </c>
      <c r="M166" s="123">
        <v>15893161.337428574</v>
      </c>
      <c r="N166" s="123">
        <v>25569061.312771894</v>
      </c>
    </row>
    <row r="167" spans="1:14">
      <c r="A167" s="119">
        <v>6224</v>
      </c>
      <c r="B167" s="120" t="s">
        <v>2002</v>
      </c>
      <c r="C167" s="121" t="s">
        <v>2054</v>
      </c>
      <c r="D167" t="s">
        <v>2970</v>
      </c>
      <c r="E167" s="79">
        <v>15.900000000000006</v>
      </c>
      <c r="F167" s="122">
        <v>3054014.3137735841</v>
      </c>
      <c r="G167" s="122">
        <v>5298022.8318113182</v>
      </c>
      <c r="H167" s="122">
        <v>792823.78363207518</v>
      </c>
      <c r="I167" s="123">
        <v>9144860.9292169772</v>
      </c>
      <c r="J167" s="122">
        <v>9417443.9622012507</v>
      </c>
      <c r="K167" s="122">
        <v>5328538.5192672936</v>
      </c>
      <c r="L167" s="122">
        <v>811935.16293238988</v>
      </c>
      <c r="M167" s="123">
        <v>15557917.644400936</v>
      </c>
      <c r="N167" s="123">
        <v>24702778.573617913</v>
      </c>
    </row>
    <row r="168" spans="1:14">
      <c r="A168" s="119">
        <v>6224</v>
      </c>
      <c r="B168" s="120" t="s">
        <v>2002</v>
      </c>
      <c r="C168" s="121" t="s">
        <v>2054</v>
      </c>
      <c r="D168" t="s">
        <v>2971</v>
      </c>
      <c r="E168" s="79">
        <v>1.9000000000000057</v>
      </c>
      <c r="F168" s="122">
        <v>2.8578947368420966</v>
      </c>
      <c r="G168" s="122">
        <v>2.3057894736842037</v>
      </c>
      <c r="H168" s="122">
        <v>6.4473684210526123</v>
      </c>
      <c r="I168" s="123">
        <v>11.611052631578913</v>
      </c>
      <c r="J168" s="122">
        <v>8.7736842105262909</v>
      </c>
      <c r="K168" s="122">
        <v>6.3902631578947178</v>
      </c>
      <c r="L168" s="122">
        <v>9.2105263157894459</v>
      </c>
      <c r="M168" s="123">
        <v>24.374473684210454</v>
      </c>
      <c r="N168" s="123">
        <v>35.985526315789365</v>
      </c>
    </row>
    <row r="169" spans="1:14">
      <c r="A169" s="119">
        <v>6363</v>
      </c>
      <c r="B169" s="120" t="s">
        <v>1853</v>
      </c>
      <c r="C169" s="121" t="s">
        <v>2972</v>
      </c>
      <c r="D169" t="s">
        <v>2973</v>
      </c>
      <c r="E169" s="79">
        <v>65.099999999999994</v>
      </c>
      <c r="F169" s="122">
        <v>18437.11158218126</v>
      </c>
      <c r="G169" s="122">
        <v>431036.24298924732</v>
      </c>
      <c r="H169" s="122">
        <v>123137.65810675886</v>
      </c>
      <c r="I169" s="123">
        <v>572611.01267818734</v>
      </c>
      <c r="J169" s="122">
        <v>1046272.4787403995</v>
      </c>
      <c r="K169" s="122">
        <v>422777.75798310305</v>
      </c>
      <c r="L169" s="122">
        <v>126654.71290322582</v>
      </c>
      <c r="M169" s="123">
        <v>1595704.9496267282</v>
      </c>
      <c r="N169" s="123">
        <v>2168315.9623049153</v>
      </c>
    </row>
    <row r="170" spans="1:14">
      <c r="A170" s="119">
        <v>6363</v>
      </c>
      <c r="B170" s="120" t="s">
        <v>1853</v>
      </c>
      <c r="C170" s="121" t="s">
        <v>2972</v>
      </c>
      <c r="D170" t="s">
        <v>2974</v>
      </c>
      <c r="E170" s="79">
        <v>37.900000000000006</v>
      </c>
      <c r="F170" s="122">
        <v>15891.080343007914</v>
      </c>
      <c r="G170" s="122">
        <v>422226.51240105537</v>
      </c>
      <c r="H170" s="122">
        <v>119821.53367744062</v>
      </c>
      <c r="I170" s="123">
        <v>557939.12642150396</v>
      </c>
      <c r="J170" s="122">
        <v>1023760.9521372031</v>
      </c>
      <c r="K170" s="122">
        <v>414338.88402506593</v>
      </c>
      <c r="L170" s="122">
        <v>123279.58005277043</v>
      </c>
      <c r="M170" s="123">
        <v>1561379.4162150396</v>
      </c>
      <c r="N170" s="123">
        <v>2119318.5426365435</v>
      </c>
    </row>
    <row r="171" spans="1:14">
      <c r="A171" s="119">
        <v>6617</v>
      </c>
      <c r="B171" s="120" t="s">
        <v>2779</v>
      </c>
      <c r="C171" s="121" t="s">
        <v>2975</v>
      </c>
      <c r="D171" t="s">
        <v>2976</v>
      </c>
      <c r="E171" s="79">
        <v>16.5</v>
      </c>
      <c r="F171" s="122">
        <v>0</v>
      </c>
      <c r="G171" s="122">
        <v>0</v>
      </c>
      <c r="H171" s="122">
        <v>0</v>
      </c>
      <c r="I171" s="123">
        <v>0</v>
      </c>
      <c r="J171" s="122">
        <v>0</v>
      </c>
      <c r="K171" s="122">
        <v>0</v>
      </c>
      <c r="L171" s="122">
        <v>0</v>
      </c>
      <c r="M171" s="123">
        <v>0</v>
      </c>
      <c r="N171" s="123">
        <v>0</v>
      </c>
    </row>
    <row r="172" spans="1:14">
      <c r="A172" s="119">
        <v>6365</v>
      </c>
      <c r="B172" s="120" t="s">
        <v>1853</v>
      </c>
      <c r="C172" s="121" t="s">
        <v>2977</v>
      </c>
      <c r="D172" t="s">
        <v>2978</v>
      </c>
      <c r="E172" s="79">
        <v>1</v>
      </c>
      <c r="F172" s="122">
        <v>252965.50200000001</v>
      </c>
      <c r="G172" s="122">
        <v>79482.666100000002</v>
      </c>
      <c r="H172" s="122">
        <v>23666.344250000002</v>
      </c>
      <c r="I172" s="123">
        <v>356114.51235000003</v>
      </c>
      <c r="J172" s="122">
        <v>46279.493999999999</v>
      </c>
      <c r="K172" s="122">
        <v>71795.460800000001</v>
      </c>
      <c r="L172" s="122">
        <v>18038.385249999999</v>
      </c>
      <c r="M172" s="123">
        <v>136113.34005</v>
      </c>
      <c r="N172" s="123">
        <v>492227.85240000003</v>
      </c>
    </row>
    <row r="173" spans="1:14">
      <c r="A173" s="119">
        <v>6365</v>
      </c>
      <c r="B173" s="120" t="s">
        <v>1853</v>
      </c>
      <c r="C173" s="121" t="s">
        <v>2977</v>
      </c>
      <c r="D173" t="s">
        <v>2979</v>
      </c>
      <c r="E173" s="79">
        <v>0.5</v>
      </c>
      <c r="F173" s="122">
        <v>262074.33600000001</v>
      </c>
      <c r="G173" s="122">
        <v>83191.239199999996</v>
      </c>
      <c r="H173" s="122">
        <v>19543.132000000001</v>
      </c>
      <c r="I173" s="123">
        <v>364808.7072</v>
      </c>
      <c r="J173" s="122">
        <v>49970.471999999994</v>
      </c>
      <c r="K173" s="122">
        <v>77603.613600000012</v>
      </c>
      <c r="L173" s="122">
        <v>9573.6059999999998</v>
      </c>
      <c r="M173" s="123">
        <v>137147.69160000002</v>
      </c>
      <c r="N173" s="123">
        <v>501956.39880000002</v>
      </c>
    </row>
    <row r="174" spans="1:14">
      <c r="A174" s="119">
        <v>6365</v>
      </c>
      <c r="B174" s="120" t="s">
        <v>1853</v>
      </c>
      <c r="C174" s="121" t="s">
        <v>2977</v>
      </c>
      <c r="D174" t="s">
        <v>2980</v>
      </c>
      <c r="E174" s="79">
        <v>44.9</v>
      </c>
      <c r="F174" s="122">
        <v>282404.83913140313</v>
      </c>
      <c r="G174" s="122">
        <v>86908.227251670382</v>
      </c>
      <c r="H174" s="122">
        <v>18356.066815144764</v>
      </c>
      <c r="I174" s="123">
        <v>387669.1331982183</v>
      </c>
      <c r="J174" s="122">
        <v>15883.547149220492</v>
      </c>
      <c r="K174" s="122">
        <v>75037.020807349661</v>
      </c>
      <c r="L174" s="122">
        <v>11102.619905345211</v>
      </c>
      <c r="M174" s="123">
        <v>102023.18786191537</v>
      </c>
      <c r="N174" s="123">
        <v>489692.32106013363</v>
      </c>
    </row>
    <row r="175" spans="1:14">
      <c r="A175" s="119">
        <v>6501</v>
      </c>
      <c r="B175" s="120" t="s">
        <v>1870</v>
      </c>
      <c r="C175" s="121" t="s">
        <v>1991</v>
      </c>
      <c r="D175" t="s">
        <v>2981</v>
      </c>
      <c r="E175" s="79">
        <v>14.8</v>
      </c>
      <c r="F175" s="122">
        <v>3093365.4041891894</v>
      </c>
      <c r="G175" s="122">
        <v>3777595.9919425673</v>
      </c>
      <c r="H175" s="122">
        <v>821560.14831959456</v>
      </c>
      <c r="I175" s="123">
        <v>7692521.5444513513</v>
      </c>
      <c r="J175" s="122">
        <v>8419363.7424999997</v>
      </c>
      <c r="K175" s="122">
        <v>6014255.6806858098</v>
      </c>
      <c r="L175" s="122">
        <v>1065037.1742586149</v>
      </c>
      <c r="M175" s="123">
        <v>15498656.597444424</v>
      </c>
      <c r="N175" s="123">
        <v>23191178.141895778</v>
      </c>
    </row>
    <row r="176" spans="1:14">
      <c r="A176" s="119">
        <v>6501</v>
      </c>
      <c r="B176" s="120" t="s">
        <v>1870</v>
      </c>
      <c r="C176" s="121" t="s">
        <v>1991</v>
      </c>
      <c r="D176" t="s">
        <v>2982</v>
      </c>
      <c r="E176" s="79">
        <v>29.900000000000002</v>
      </c>
      <c r="F176" s="122">
        <v>8288682.0362541787</v>
      </c>
      <c r="G176" s="122">
        <v>7385665.2767107021</v>
      </c>
      <c r="H176" s="122">
        <v>1141664.8330764717</v>
      </c>
      <c r="I176" s="123">
        <v>16816012.146041352</v>
      </c>
      <c r="J176" s="122">
        <v>10694698.428829432</v>
      </c>
      <c r="K176" s="122">
        <v>7748370.6590518393</v>
      </c>
      <c r="L176" s="122">
        <v>1141151.3450652678</v>
      </c>
      <c r="M176" s="123">
        <v>19584220.432946537</v>
      </c>
      <c r="N176" s="123">
        <v>36400232.578987889</v>
      </c>
    </row>
    <row r="177" spans="1:14">
      <c r="A177" s="119">
        <v>6501</v>
      </c>
      <c r="B177" s="120" t="s">
        <v>1870</v>
      </c>
      <c r="C177" s="121" t="s">
        <v>1991</v>
      </c>
      <c r="D177" t="s">
        <v>2983</v>
      </c>
      <c r="E177" s="79">
        <v>45.7</v>
      </c>
      <c r="F177" s="122">
        <v>7093589.186301969</v>
      </c>
      <c r="G177" s="122">
        <v>6059576.2179004373</v>
      </c>
      <c r="H177" s="122">
        <v>995886.06389781169</v>
      </c>
      <c r="I177" s="123">
        <v>14149051.468100216</v>
      </c>
      <c r="J177" s="122">
        <v>11459666.255142232</v>
      </c>
      <c r="K177" s="122">
        <v>7062584.0626225369</v>
      </c>
      <c r="L177" s="122">
        <v>1043077.3219688621</v>
      </c>
      <c r="M177" s="123">
        <v>19565327.639733631</v>
      </c>
      <c r="N177" s="123">
        <v>33714379.107833847</v>
      </c>
    </row>
    <row r="178" spans="1:14">
      <c r="A178" s="119">
        <v>6501</v>
      </c>
      <c r="B178" s="120" t="s">
        <v>1870</v>
      </c>
      <c r="C178" s="121" t="s">
        <v>1991</v>
      </c>
      <c r="D178" t="s">
        <v>2984</v>
      </c>
      <c r="E178" s="79">
        <v>37.900000000000006</v>
      </c>
      <c r="F178" s="122">
        <v>6854144.1168601569</v>
      </c>
      <c r="G178" s="122">
        <v>5851488.9454591013</v>
      </c>
      <c r="H178" s="122">
        <v>956364.17233113456</v>
      </c>
      <c r="I178" s="123">
        <v>13661997.234650392</v>
      </c>
      <c r="J178" s="122">
        <v>11065646.409155671</v>
      </c>
      <c r="K178" s="122">
        <v>6814106.8487875983</v>
      </c>
      <c r="L178" s="122">
        <v>1001474.1411072558</v>
      </c>
      <c r="M178" s="123">
        <v>18881227.399050523</v>
      </c>
      <c r="N178" s="123">
        <v>32543224.633700911</v>
      </c>
    </row>
    <row r="179" spans="1:14">
      <c r="A179" s="119">
        <v>6208</v>
      </c>
      <c r="B179" s="120" t="s">
        <v>1853</v>
      </c>
      <c r="C179" s="121" t="s">
        <v>2104</v>
      </c>
      <c r="D179" t="s">
        <v>2985</v>
      </c>
      <c r="E179" s="79">
        <v>6</v>
      </c>
      <c r="F179" s="122">
        <v>29778194.472333331</v>
      </c>
      <c r="G179" s="122">
        <v>15894795.748049999</v>
      </c>
      <c r="H179" s="122">
        <v>2041335.4216733333</v>
      </c>
      <c r="I179" s="123">
        <v>47714325.642056666</v>
      </c>
      <c r="J179" s="122">
        <v>16630513.459833333</v>
      </c>
      <c r="K179" s="122">
        <v>16860977.184616666</v>
      </c>
      <c r="L179" s="122">
        <v>2138668.6253416669</v>
      </c>
      <c r="M179" s="123">
        <v>35630159.26979167</v>
      </c>
      <c r="N179" s="123">
        <v>83344484.911848322</v>
      </c>
    </row>
    <row r="180" spans="1:14">
      <c r="A180" s="119">
        <v>6208</v>
      </c>
      <c r="B180" s="120" t="s">
        <v>1853</v>
      </c>
      <c r="C180" s="121" t="s">
        <v>2104</v>
      </c>
      <c r="D180" t="s">
        <v>2986</v>
      </c>
      <c r="E180" s="79">
        <v>97.3</v>
      </c>
      <c r="F180" s="122">
        <v>32170367.619270295</v>
      </c>
      <c r="G180" s="122">
        <v>16642912.672962999</v>
      </c>
      <c r="H180" s="122">
        <v>2113177.4993379242</v>
      </c>
      <c r="I180" s="123">
        <v>50926457.791571222</v>
      </c>
      <c r="J180" s="122">
        <v>17089797.201963004</v>
      </c>
      <c r="K180" s="122">
        <v>17641134.068235353</v>
      </c>
      <c r="L180" s="122">
        <v>2225057.2885118192</v>
      </c>
      <c r="M180" s="123">
        <v>36955988.55871018</v>
      </c>
      <c r="N180" s="123">
        <v>87882446.350281402</v>
      </c>
    </row>
    <row r="181" spans="1:14">
      <c r="A181" s="119">
        <v>6208</v>
      </c>
      <c r="B181" s="120" t="s">
        <v>2987</v>
      </c>
      <c r="C181" s="121" t="s">
        <v>2104</v>
      </c>
      <c r="D181" t="s">
        <v>2988</v>
      </c>
      <c r="E181" s="79">
        <v>35.500000000000014</v>
      </c>
      <c r="F181" s="122">
        <v>33442556.882197171</v>
      </c>
      <c r="G181" s="122">
        <v>17252213.650890134</v>
      </c>
      <c r="H181" s="122">
        <v>2191608.4738187315</v>
      </c>
      <c r="I181" s="123">
        <v>52886379.00690604</v>
      </c>
      <c r="J181" s="122">
        <v>17615641.115915485</v>
      </c>
      <c r="K181" s="122">
        <v>18275318.41250281</v>
      </c>
      <c r="L181" s="122">
        <v>2309103.8343795766</v>
      </c>
      <c r="M181" s="123">
        <v>38200063.362797879</v>
      </c>
      <c r="N181" s="123">
        <v>91086442.369703919</v>
      </c>
    </row>
    <row r="182" spans="1:14">
      <c r="A182" s="119">
        <v>6208</v>
      </c>
      <c r="B182" s="120" t="s">
        <v>2002</v>
      </c>
      <c r="C182" s="121" t="s">
        <v>2104</v>
      </c>
      <c r="D182" t="s">
        <v>2989</v>
      </c>
      <c r="E182" s="79">
        <v>8.5999999999999943</v>
      </c>
      <c r="F182" s="122">
        <v>21069157.373837221</v>
      </c>
      <c r="G182" s="122">
        <v>12159198.787872102</v>
      </c>
      <c r="H182" s="122">
        <v>1880356.6327151177</v>
      </c>
      <c r="I182" s="123">
        <v>35108712.794424444</v>
      </c>
      <c r="J182" s="122">
        <v>13693567.055232566</v>
      </c>
      <c r="K182" s="122">
        <v>12764188.909197683</v>
      </c>
      <c r="L182" s="122">
        <v>2020998.2605523269</v>
      </c>
      <c r="M182" s="123">
        <v>28478754.224982575</v>
      </c>
      <c r="N182" s="123">
        <v>63587467.019407012</v>
      </c>
    </row>
    <row r="183" spans="1:14">
      <c r="A183" s="119">
        <v>6010</v>
      </c>
      <c r="B183" s="120" t="s">
        <v>1928</v>
      </c>
      <c r="C183" s="121" t="s">
        <v>2990</v>
      </c>
      <c r="D183" t="s">
        <v>2991</v>
      </c>
      <c r="E183" s="79">
        <v>8.5</v>
      </c>
      <c r="F183" s="122">
        <v>120.072</v>
      </c>
      <c r="G183" s="122">
        <v>46.934470588235293</v>
      </c>
      <c r="H183" s="122">
        <v>201.4084705882353</v>
      </c>
      <c r="I183" s="123">
        <v>368.41494117647062</v>
      </c>
      <c r="J183" s="122">
        <v>0</v>
      </c>
      <c r="K183" s="122">
        <v>51.785717647058824</v>
      </c>
      <c r="L183" s="122">
        <v>339.53064705882349</v>
      </c>
      <c r="M183" s="123">
        <v>391.31636470588234</v>
      </c>
      <c r="N183" s="123">
        <v>759.7313058823529</v>
      </c>
    </row>
    <row r="184" spans="1:14">
      <c r="A184" s="119">
        <v>6356</v>
      </c>
      <c r="B184" s="120" t="s">
        <v>1853</v>
      </c>
      <c r="C184" s="121" t="s">
        <v>2992</v>
      </c>
      <c r="D184" t="s">
        <v>2993</v>
      </c>
      <c r="E184" s="79">
        <v>49.3</v>
      </c>
      <c r="F184" s="122">
        <v>2350.4113590263692</v>
      </c>
      <c r="G184" s="122">
        <v>61158.140270791082</v>
      </c>
      <c r="H184" s="122">
        <v>5273.8745943204867</v>
      </c>
      <c r="I184" s="123">
        <v>68782.426224137933</v>
      </c>
      <c r="J184" s="122">
        <v>10842.540669371198</v>
      </c>
      <c r="K184" s="122">
        <v>3641.8496277890467</v>
      </c>
      <c r="L184" s="122">
        <v>1126.3815821501014</v>
      </c>
      <c r="M184" s="123">
        <v>15610.771879310343</v>
      </c>
      <c r="N184" s="123">
        <v>84393.198103448289</v>
      </c>
    </row>
    <row r="185" spans="1:14">
      <c r="A185" s="119">
        <v>6322</v>
      </c>
      <c r="B185" s="120" t="s">
        <v>1831</v>
      </c>
      <c r="C185" s="121" t="s">
        <v>2994</v>
      </c>
      <c r="D185" t="s">
        <v>2995</v>
      </c>
      <c r="E185" s="79">
        <v>77.900000000000006</v>
      </c>
      <c r="F185" s="122">
        <v>730936.62088575086</v>
      </c>
      <c r="G185" s="122">
        <v>3392526.6312708589</v>
      </c>
      <c r="H185" s="122">
        <v>505399.37748532725</v>
      </c>
      <c r="I185" s="123">
        <v>4628862.6296419371</v>
      </c>
      <c r="J185" s="122">
        <v>7955600.2926700898</v>
      </c>
      <c r="K185" s="122">
        <v>3272820.1880808733</v>
      </c>
      <c r="L185" s="122">
        <v>474952.75519874197</v>
      </c>
      <c r="M185" s="123">
        <v>11703373.235949704</v>
      </c>
      <c r="N185" s="123">
        <v>16332235.86559164</v>
      </c>
    </row>
    <row r="186" spans="1:14">
      <c r="A186" s="119">
        <v>6004</v>
      </c>
      <c r="B186" s="120" t="s">
        <v>1928</v>
      </c>
      <c r="C186" s="121" t="s">
        <v>2996</v>
      </c>
      <c r="D186" t="s">
        <v>2997</v>
      </c>
      <c r="E186" s="79">
        <v>1</v>
      </c>
      <c r="F186" s="122">
        <v>26634554.491</v>
      </c>
      <c r="G186" s="122">
        <v>13948676.58615</v>
      </c>
      <c r="H186" s="122">
        <v>2365707.7594999997</v>
      </c>
      <c r="I186" s="123">
        <v>42948938.836649999</v>
      </c>
      <c r="J186" s="122">
        <v>436464.90999999992</v>
      </c>
      <c r="K186" s="122">
        <v>263812.86365000001</v>
      </c>
      <c r="L186" s="122">
        <v>105710.6575</v>
      </c>
      <c r="M186" s="123">
        <v>805988.43114999984</v>
      </c>
      <c r="N186" s="123">
        <v>43754927.267799996</v>
      </c>
    </row>
    <row r="187" spans="1:14">
      <c r="A187" s="119">
        <v>6004</v>
      </c>
      <c r="B187" s="120" t="s">
        <v>1928</v>
      </c>
      <c r="C187" s="121" t="s">
        <v>2996</v>
      </c>
      <c r="D187" t="s">
        <v>2998</v>
      </c>
      <c r="E187" s="79">
        <v>0.39999999999999991</v>
      </c>
      <c r="F187" s="122">
        <v>24085517.900000006</v>
      </c>
      <c r="G187" s="122">
        <v>11323537.818500001</v>
      </c>
      <c r="H187" s="122">
        <v>1816509.2362500003</v>
      </c>
      <c r="I187" s="123">
        <v>37225564.954750009</v>
      </c>
      <c r="J187" s="122">
        <v>433848.65000000008</v>
      </c>
      <c r="K187" s="122">
        <v>262231.53400000004</v>
      </c>
      <c r="L187" s="122">
        <v>105076.83750000002</v>
      </c>
      <c r="M187" s="123">
        <v>801157.02150000015</v>
      </c>
      <c r="N187" s="123">
        <v>38026721.976250008</v>
      </c>
    </row>
    <row r="188" spans="1:14">
      <c r="A188" s="119">
        <v>6004</v>
      </c>
      <c r="B188" s="120" t="s">
        <v>1928</v>
      </c>
      <c r="C188" s="121" t="s">
        <v>2996</v>
      </c>
      <c r="D188" t="s">
        <v>2999</v>
      </c>
      <c r="E188" s="79">
        <v>8.6999999999999993</v>
      </c>
      <c r="F188" s="122">
        <v>93583.175057471279</v>
      </c>
      <c r="G188" s="122">
        <v>150400.37620689656</v>
      </c>
      <c r="H188" s="122">
        <v>84814.909137931056</v>
      </c>
      <c r="I188" s="123">
        <v>328798.46040229895</v>
      </c>
      <c r="J188" s="122">
        <v>370060.80977011495</v>
      </c>
      <c r="K188" s="122">
        <v>163727.51250000004</v>
      </c>
      <c r="L188" s="122">
        <v>77648.814741379319</v>
      </c>
      <c r="M188" s="123">
        <v>611437.13701149437</v>
      </c>
      <c r="N188" s="123">
        <v>940235.59741379321</v>
      </c>
    </row>
    <row r="189" spans="1:14">
      <c r="A189" s="119">
        <v>6217</v>
      </c>
      <c r="B189" s="120" t="s">
        <v>2002</v>
      </c>
      <c r="C189" s="121" t="s">
        <v>2313</v>
      </c>
      <c r="D189" t="s">
        <v>3000</v>
      </c>
      <c r="E189" s="79">
        <v>47.2</v>
      </c>
      <c r="F189" s="122">
        <v>860790.88552966097</v>
      </c>
      <c r="G189" s="122">
        <v>1317531.8456864406</v>
      </c>
      <c r="H189" s="122">
        <v>244212.24255826269</v>
      </c>
      <c r="I189" s="123">
        <v>2422534.9737743642</v>
      </c>
      <c r="J189" s="122">
        <v>2044408.8329025423</v>
      </c>
      <c r="K189" s="122">
        <v>957621.45469809312</v>
      </c>
      <c r="L189" s="122">
        <v>198113.78732256353</v>
      </c>
      <c r="M189" s="123">
        <v>3200144.0749231991</v>
      </c>
      <c r="N189" s="123">
        <v>5622679.0486975629</v>
      </c>
    </row>
    <row r="190" spans="1:14">
      <c r="A190" s="119">
        <v>6217</v>
      </c>
      <c r="B190" s="120" t="s">
        <v>2002</v>
      </c>
      <c r="C190" s="121" t="s">
        <v>2313</v>
      </c>
      <c r="D190" t="s">
        <v>3001</v>
      </c>
      <c r="E190" s="79">
        <v>17.599999999999994</v>
      </c>
      <c r="F190" s="122">
        <v>461315.14732954564</v>
      </c>
      <c r="G190" s="122">
        <v>659099.82602272741</v>
      </c>
      <c r="H190" s="122">
        <v>125877.10804687504</v>
      </c>
      <c r="I190" s="123">
        <v>1246292.0813991481</v>
      </c>
      <c r="J190" s="122">
        <v>1406122.8589772731</v>
      </c>
      <c r="K190" s="122">
        <v>631342.7134943183</v>
      </c>
      <c r="L190" s="122">
        <v>131248.48584943189</v>
      </c>
      <c r="M190" s="123">
        <v>2168714.0583210234</v>
      </c>
      <c r="N190" s="123">
        <v>3415006.1397201712</v>
      </c>
    </row>
    <row r="191" spans="1:14">
      <c r="A191" s="119">
        <v>6524</v>
      </c>
      <c r="B191" s="120" t="s">
        <v>1870</v>
      </c>
      <c r="C191" s="121" t="s">
        <v>3002</v>
      </c>
      <c r="D191" t="s">
        <v>3003</v>
      </c>
      <c r="E191" s="79">
        <v>4</v>
      </c>
      <c r="F191" s="122">
        <v>6129.3975</v>
      </c>
      <c r="G191" s="122">
        <v>3982.9991999999997</v>
      </c>
      <c r="H191" s="122">
        <v>8270.5874999999996</v>
      </c>
      <c r="I191" s="123">
        <v>18382.984199999999</v>
      </c>
      <c r="J191" s="122">
        <v>7910.7725000000009</v>
      </c>
      <c r="K191" s="122">
        <v>4395.4551000000001</v>
      </c>
      <c r="L191" s="122">
        <v>11568.213</v>
      </c>
      <c r="M191" s="123">
        <v>23874.440600000002</v>
      </c>
      <c r="N191" s="123">
        <v>42257.424800000001</v>
      </c>
    </row>
    <row r="192" spans="1:14">
      <c r="A192" s="119">
        <v>6524</v>
      </c>
      <c r="B192" s="120" t="s">
        <v>1870</v>
      </c>
      <c r="C192" s="121" t="s">
        <v>3002</v>
      </c>
      <c r="D192" t="s">
        <v>3004</v>
      </c>
      <c r="E192" s="79">
        <v>9.4</v>
      </c>
      <c r="F192" s="122">
        <v>438725.40191489359</v>
      </c>
      <c r="G192" s="122">
        <v>350340.78744148929</v>
      </c>
      <c r="H192" s="122">
        <v>93490.949095744698</v>
      </c>
      <c r="I192" s="123">
        <v>882557.13845212758</v>
      </c>
      <c r="J192" s="122">
        <v>44758.814361702127</v>
      </c>
      <c r="K192" s="122">
        <v>30163.042021276597</v>
      </c>
      <c r="L192" s="122">
        <v>30842.809840425536</v>
      </c>
      <c r="M192" s="123">
        <v>105764.66622340426</v>
      </c>
      <c r="N192" s="123">
        <v>988321.80467553181</v>
      </c>
    </row>
    <row r="193" spans="1:14">
      <c r="A193" s="119">
        <v>6628</v>
      </c>
      <c r="B193" s="120" t="s">
        <v>2779</v>
      </c>
      <c r="C193" s="121" t="s">
        <v>3005</v>
      </c>
      <c r="D193" t="s">
        <v>3006</v>
      </c>
      <c r="E193" s="79">
        <v>15.299999999999997</v>
      </c>
      <c r="F193" s="122">
        <v>1451515.4003921573</v>
      </c>
      <c r="G193" s="122">
        <v>1027378.687764706</v>
      </c>
      <c r="H193" s="122">
        <v>193021.07490196082</v>
      </c>
      <c r="I193" s="123">
        <v>2671915.1630588239</v>
      </c>
      <c r="J193" s="122">
        <v>800670.34784313745</v>
      </c>
      <c r="K193" s="122">
        <v>1005006.6618431375</v>
      </c>
      <c r="L193" s="122">
        <v>178812.79215686279</v>
      </c>
      <c r="M193" s="123">
        <v>1984489.8018431375</v>
      </c>
      <c r="N193" s="123">
        <v>4656404.9649019614</v>
      </c>
    </row>
    <row r="194" spans="1:14">
      <c r="A194" s="119">
        <v>6103</v>
      </c>
      <c r="B194" s="120" t="s">
        <v>1928</v>
      </c>
      <c r="C194" s="121" t="s">
        <v>1939</v>
      </c>
      <c r="D194" t="s">
        <v>3007</v>
      </c>
      <c r="E194" s="79">
        <v>36.700000000000003</v>
      </c>
      <c r="F194" s="122">
        <v>34325375.241416886</v>
      </c>
      <c r="G194" s="122">
        <v>14607449.094708445</v>
      </c>
      <c r="H194" s="122">
        <v>2420713.2199250679</v>
      </c>
      <c r="I194" s="123">
        <v>51353537.556050405</v>
      </c>
      <c r="J194" s="122">
        <v>9251591.5068119876</v>
      </c>
      <c r="K194" s="122">
        <v>14583773.55155177</v>
      </c>
      <c r="L194" s="122">
        <v>2512323.1541839233</v>
      </c>
      <c r="M194" s="123">
        <v>26347688.212547679</v>
      </c>
      <c r="N194" s="123">
        <v>77701225.768598095</v>
      </c>
    </row>
    <row r="195" spans="1:14">
      <c r="A195" s="119">
        <v>6103</v>
      </c>
      <c r="B195" s="120" t="s">
        <v>1928</v>
      </c>
      <c r="C195" s="121" t="s">
        <v>1939</v>
      </c>
      <c r="D195" t="s">
        <v>3008</v>
      </c>
      <c r="E195" s="79">
        <v>89</v>
      </c>
      <c r="F195" s="122">
        <v>60707952.487247176</v>
      </c>
      <c r="G195" s="122">
        <v>19483020.481734276</v>
      </c>
      <c r="H195" s="122">
        <v>3715182.1891643251</v>
      </c>
      <c r="I195" s="123">
        <v>83906155.15814577</v>
      </c>
      <c r="J195" s="122">
        <v>9294259.1303707864</v>
      </c>
      <c r="K195" s="122">
        <v>19460530.465235956</v>
      </c>
      <c r="L195" s="122">
        <v>3763206.3851393261</v>
      </c>
      <c r="M195" s="123">
        <v>32517995.980746072</v>
      </c>
      <c r="N195" s="123">
        <v>116424151.13889185</v>
      </c>
    </row>
    <row r="196" spans="1:14">
      <c r="A196" s="119">
        <v>6327</v>
      </c>
      <c r="B196" s="120" t="s">
        <v>1831</v>
      </c>
      <c r="C196" s="121" t="s">
        <v>3009</v>
      </c>
      <c r="D196" t="s">
        <v>3010</v>
      </c>
      <c r="E196" s="79">
        <v>36.900000000000006</v>
      </c>
      <c r="F196" s="122">
        <v>562644.01162601612</v>
      </c>
      <c r="G196" s="122">
        <v>163881.26957723577</v>
      </c>
      <c r="H196" s="122">
        <v>30056.564837398368</v>
      </c>
      <c r="I196" s="123">
        <v>756581.84604065027</v>
      </c>
      <c r="J196" s="122">
        <v>8767.0681300812994</v>
      </c>
      <c r="K196" s="122">
        <v>161475.56742953925</v>
      </c>
      <c r="L196" s="122">
        <v>25099.787127371266</v>
      </c>
      <c r="M196" s="123">
        <v>195342.42268699183</v>
      </c>
      <c r="N196" s="123">
        <v>951924.26872764225</v>
      </c>
    </row>
    <row r="197" spans="1:14">
      <c r="A197" s="119">
        <v>6327</v>
      </c>
      <c r="B197" s="120" t="s">
        <v>1831</v>
      </c>
      <c r="C197" s="121" t="s">
        <v>3009</v>
      </c>
      <c r="D197" t="s">
        <v>3011</v>
      </c>
      <c r="E197" s="79">
        <v>18.599999999999994</v>
      </c>
      <c r="F197" s="122">
        <v>690830.11666666681</v>
      </c>
      <c r="G197" s="122">
        <v>200474.57850000006</v>
      </c>
      <c r="H197" s="122">
        <v>35564.153333333343</v>
      </c>
      <c r="I197" s="123">
        <v>926868.84850000008</v>
      </c>
      <c r="J197" s="122">
        <v>8983.1415053763467</v>
      </c>
      <c r="K197" s="122">
        <v>199395.07387634419</v>
      </c>
      <c r="L197" s="122">
        <v>29296.680967741948</v>
      </c>
      <c r="M197" s="123">
        <v>237674.89634946248</v>
      </c>
      <c r="N197" s="123">
        <v>1164543.7448494625</v>
      </c>
    </row>
    <row r="198" spans="1:14">
      <c r="A198" s="119">
        <v>6108</v>
      </c>
      <c r="B198" s="120" t="s">
        <v>1928</v>
      </c>
      <c r="C198" s="121" t="s">
        <v>3012</v>
      </c>
      <c r="D198" t="s">
        <v>3013</v>
      </c>
      <c r="E198" s="79">
        <v>95.200000000000017</v>
      </c>
      <c r="F198" s="122">
        <v>408763.80039915961</v>
      </c>
      <c r="G198" s="122">
        <v>439656.1111391806</v>
      </c>
      <c r="H198" s="122">
        <v>144385.99546743691</v>
      </c>
      <c r="I198" s="123">
        <v>992805.90700577712</v>
      </c>
      <c r="J198" s="122">
        <v>782069.67535714258</v>
      </c>
      <c r="K198" s="122">
        <v>434766.12389810913</v>
      </c>
      <c r="L198" s="122">
        <v>160211.57613970587</v>
      </c>
      <c r="M198" s="123">
        <v>1377047.3753949574</v>
      </c>
      <c r="N198" s="123">
        <v>2369853.2824007347</v>
      </c>
    </row>
    <row r="199" spans="1:14">
      <c r="A199" s="119">
        <v>6412</v>
      </c>
      <c r="B199" s="120" t="s">
        <v>1870</v>
      </c>
      <c r="C199" s="121" t="s">
        <v>1932</v>
      </c>
      <c r="D199" t="s">
        <v>3014</v>
      </c>
      <c r="E199" s="79">
        <v>70.7</v>
      </c>
      <c r="F199" s="122">
        <v>6876546.9088118812</v>
      </c>
      <c r="G199" s="122">
        <v>5818450.3988161255</v>
      </c>
      <c r="H199" s="122">
        <v>957492.59472680325</v>
      </c>
      <c r="I199" s="123">
        <v>13652489.90235481</v>
      </c>
      <c r="J199" s="122">
        <v>10813359.056265913</v>
      </c>
      <c r="K199" s="122">
        <v>6808099.8958041007</v>
      </c>
      <c r="L199" s="122">
        <v>1007552.4075273904</v>
      </c>
      <c r="M199" s="123">
        <v>18629011.359597404</v>
      </c>
      <c r="N199" s="123">
        <v>32281501.261952214</v>
      </c>
    </row>
    <row r="200" spans="1:14">
      <c r="A200" s="119">
        <v>6412</v>
      </c>
      <c r="B200" s="120" t="s">
        <v>1870</v>
      </c>
      <c r="C200" s="121" t="s">
        <v>1932</v>
      </c>
      <c r="D200" t="s">
        <v>3015</v>
      </c>
      <c r="E200" s="79">
        <v>65.7</v>
      </c>
      <c r="F200" s="122">
        <v>6897262.4886453561</v>
      </c>
      <c r="G200" s="122">
        <v>5835781.259523591</v>
      </c>
      <c r="H200" s="122">
        <v>961016.78497678845</v>
      </c>
      <c r="I200" s="123">
        <v>13694060.533145737</v>
      </c>
      <c r="J200" s="122">
        <v>10848845.256818874</v>
      </c>
      <c r="K200" s="122">
        <v>6829951.8683280051</v>
      </c>
      <c r="L200" s="122">
        <v>1011978.6181313165</v>
      </c>
      <c r="M200" s="123">
        <v>18690775.743278194</v>
      </c>
      <c r="N200" s="123">
        <v>32384836.276423931</v>
      </c>
    </row>
    <row r="201" spans="1:14">
      <c r="A201" s="119">
        <v>6506</v>
      </c>
      <c r="B201" s="120" t="s">
        <v>1870</v>
      </c>
      <c r="C201" s="121" t="s">
        <v>3016</v>
      </c>
      <c r="D201" t="s">
        <v>3017</v>
      </c>
      <c r="E201" s="79">
        <v>20</v>
      </c>
      <c r="F201" s="122">
        <v>15488.266500000002</v>
      </c>
      <c r="G201" s="122">
        <v>48403.372905000011</v>
      </c>
      <c r="H201" s="122">
        <v>38289.060449999997</v>
      </c>
      <c r="I201" s="123">
        <v>102180.69985500001</v>
      </c>
      <c r="J201" s="122">
        <v>188560.55775000001</v>
      </c>
      <c r="K201" s="122">
        <v>49210.961600000002</v>
      </c>
      <c r="L201" s="122">
        <v>40935.375</v>
      </c>
      <c r="M201" s="123">
        <v>278706.89435000002</v>
      </c>
      <c r="N201" s="123">
        <v>380887.59420500003</v>
      </c>
    </row>
    <row r="202" spans="1:14">
      <c r="A202" s="119">
        <v>6608</v>
      </c>
      <c r="B202" s="120" t="s">
        <v>2779</v>
      </c>
      <c r="C202" s="121" t="s">
        <v>3018</v>
      </c>
      <c r="D202" t="s">
        <v>3019</v>
      </c>
      <c r="E202" s="79">
        <v>26.3</v>
      </c>
      <c r="F202" s="122">
        <v>12060.788593155892</v>
      </c>
      <c r="G202" s="122">
        <v>30103.808882129277</v>
      </c>
      <c r="H202" s="122">
        <v>19404.691102661596</v>
      </c>
      <c r="I202" s="123">
        <v>61569.288577946769</v>
      </c>
      <c r="J202" s="122">
        <v>60196.94650190114</v>
      </c>
      <c r="K202" s="122">
        <v>30368.217134980991</v>
      </c>
      <c r="L202" s="122">
        <v>18594.311463878326</v>
      </c>
      <c r="M202" s="123">
        <v>109159.47510076045</v>
      </c>
      <c r="N202" s="123">
        <v>170728.76367870721</v>
      </c>
    </row>
    <row r="203" spans="1:14">
      <c r="A203" s="119">
        <v>6410</v>
      </c>
      <c r="B203" s="120" t="s">
        <v>1870</v>
      </c>
      <c r="C203" s="121" t="s">
        <v>1961</v>
      </c>
      <c r="D203" t="s">
        <v>3020</v>
      </c>
      <c r="E203" s="79">
        <v>68.3</v>
      </c>
      <c r="F203" s="122">
        <v>6857507.1318448037</v>
      </c>
      <c r="G203" s="122">
        <v>5765147.9580131769</v>
      </c>
      <c r="H203" s="122">
        <v>966678.79682489019</v>
      </c>
      <c r="I203" s="123">
        <v>13589333.886682872</v>
      </c>
      <c r="J203" s="122">
        <v>10720509.275168374</v>
      </c>
      <c r="K203" s="122">
        <v>6775018.4773865314</v>
      </c>
      <c r="L203" s="122">
        <v>1017544.0115915081</v>
      </c>
      <c r="M203" s="123">
        <v>18513071.764146414</v>
      </c>
      <c r="N203" s="123">
        <v>32102405.650829285</v>
      </c>
    </row>
    <row r="204" spans="1:14">
      <c r="A204" s="119">
        <v>6410</v>
      </c>
      <c r="B204" s="120" t="s">
        <v>1870</v>
      </c>
      <c r="C204" s="121" t="s">
        <v>1961</v>
      </c>
      <c r="D204" t="s">
        <v>3021</v>
      </c>
      <c r="E204" s="79">
        <v>58.3</v>
      </c>
      <c r="F204" s="122">
        <v>6860295.8210977707</v>
      </c>
      <c r="G204" s="122">
        <v>5767527.9812667239</v>
      </c>
      <c r="H204" s="122">
        <v>966962.49805557472</v>
      </c>
      <c r="I204" s="123">
        <v>13594786.300420068</v>
      </c>
      <c r="J204" s="122">
        <v>10723808.100274444</v>
      </c>
      <c r="K204" s="122">
        <v>6777362.76341681</v>
      </c>
      <c r="L204" s="122">
        <v>1018245.0181723844</v>
      </c>
      <c r="M204" s="123">
        <v>18519415.881863639</v>
      </c>
      <c r="N204" s="123">
        <v>32114202.182283707</v>
      </c>
    </row>
    <row r="205" spans="1:14">
      <c r="A205" s="119">
        <v>6410</v>
      </c>
      <c r="B205" s="120" t="s">
        <v>1870</v>
      </c>
      <c r="C205" s="121" t="s">
        <v>1961</v>
      </c>
      <c r="D205" t="s">
        <v>3022</v>
      </c>
      <c r="E205" s="79">
        <v>6.3000000000000114</v>
      </c>
      <c r="F205" s="122">
        <v>6704367.8692063382</v>
      </c>
      <c r="G205" s="122">
        <v>5642368.9314523712</v>
      </c>
      <c r="H205" s="122">
        <v>940078.02843333152</v>
      </c>
      <c r="I205" s="123">
        <v>13286814.829092039</v>
      </c>
      <c r="J205" s="122">
        <v>10329351.525238078</v>
      </c>
      <c r="K205" s="122">
        <v>6544301.494277765</v>
      </c>
      <c r="L205" s="122">
        <v>978430.67875396658</v>
      </c>
      <c r="M205" s="123">
        <v>17852083.698269807</v>
      </c>
      <c r="N205" s="123">
        <v>31138898.527361847</v>
      </c>
    </row>
    <row r="206" spans="1:14">
      <c r="A206" s="119">
        <v>6531</v>
      </c>
      <c r="B206" s="120" t="s">
        <v>1870</v>
      </c>
      <c r="C206" s="121" t="s">
        <v>3023</v>
      </c>
      <c r="D206" t="s">
        <v>3024</v>
      </c>
      <c r="E206" s="79">
        <v>5.9</v>
      </c>
      <c r="F206" s="122">
        <v>9763392.3096610177</v>
      </c>
      <c r="G206" s="122">
        <v>11105112.844881354</v>
      </c>
      <c r="H206" s="122">
        <v>1882979.5894137288</v>
      </c>
      <c r="I206" s="123">
        <v>22751484.7439561</v>
      </c>
      <c r="J206" s="122">
        <v>12940802.204067795</v>
      </c>
      <c r="K206" s="122">
        <v>10862828.044813558</v>
      </c>
      <c r="L206" s="122">
        <v>1730424.8882288132</v>
      </c>
      <c r="M206" s="123">
        <v>25534055.13711017</v>
      </c>
      <c r="N206" s="123">
        <v>48285539.881066263</v>
      </c>
    </row>
    <row r="207" spans="1:14">
      <c r="A207" s="119">
        <v>6339</v>
      </c>
      <c r="B207" s="120" t="s">
        <v>1853</v>
      </c>
      <c r="C207" s="121" t="s">
        <v>3025</v>
      </c>
      <c r="D207" t="s">
        <v>3026</v>
      </c>
      <c r="E207" s="79">
        <v>15.200000000000001</v>
      </c>
      <c r="F207" s="122">
        <v>25940.018092105263</v>
      </c>
      <c r="G207" s="122">
        <v>103472.99309868419</v>
      </c>
      <c r="H207" s="122">
        <v>19666.300493421051</v>
      </c>
      <c r="I207" s="123">
        <v>149079.31168421052</v>
      </c>
      <c r="J207" s="122">
        <v>272920.45618421055</v>
      </c>
      <c r="K207" s="122">
        <v>89438.05855263157</v>
      </c>
      <c r="L207" s="122">
        <v>18604.100674342102</v>
      </c>
      <c r="M207" s="123">
        <v>380962.6154111842</v>
      </c>
      <c r="N207" s="123">
        <v>530041.9270953947</v>
      </c>
    </row>
    <row r="208" spans="1:14">
      <c r="A208" s="119">
        <v>6339</v>
      </c>
      <c r="B208" s="120" t="s">
        <v>1853</v>
      </c>
      <c r="C208" s="121" t="s">
        <v>3025</v>
      </c>
      <c r="D208" t="s">
        <v>3027</v>
      </c>
      <c r="E208" s="79">
        <v>29.3</v>
      </c>
      <c r="F208" s="122">
        <v>1584.7566894197953</v>
      </c>
      <c r="G208" s="122">
        <v>79171.311215017064</v>
      </c>
      <c r="H208" s="122">
        <v>13784.516296928328</v>
      </c>
      <c r="I208" s="123">
        <v>94540.584201365185</v>
      </c>
      <c r="J208" s="122">
        <v>262664.73075085325</v>
      </c>
      <c r="K208" s="122">
        <v>78786.166047781575</v>
      </c>
      <c r="L208" s="122">
        <v>15066.143950511945</v>
      </c>
      <c r="M208" s="123">
        <v>356517.04074914678</v>
      </c>
      <c r="N208" s="123">
        <v>451057.62495051196</v>
      </c>
    </row>
    <row r="209" spans="1:14">
      <c r="A209" s="119">
        <v>6339</v>
      </c>
      <c r="B209" s="120" t="s">
        <v>1853</v>
      </c>
      <c r="C209" s="121" t="s">
        <v>3025</v>
      </c>
      <c r="D209" t="s">
        <v>3028</v>
      </c>
      <c r="E209" s="79">
        <v>40.999999999999993</v>
      </c>
      <c r="F209" s="122">
        <v>1582.8119512195126</v>
      </c>
      <c r="G209" s="122">
        <v>75207.11558658538</v>
      </c>
      <c r="H209" s="122">
        <v>13232.835170731709</v>
      </c>
      <c r="I209" s="123">
        <v>90022.762708536597</v>
      </c>
      <c r="J209" s="122">
        <v>262071.34463414637</v>
      </c>
      <c r="K209" s="122">
        <v>75134.449746341474</v>
      </c>
      <c r="L209" s="122">
        <v>14645.165792682928</v>
      </c>
      <c r="M209" s="123">
        <v>351850.96017317078</v>
      </c>
      <c r="N209" s="123">
        <v>441873.72288170736</v>
      </c>
    </row>
    <row r="210" spans="1:14">
      <c r="A210" s="119">
        <v>6339</v>
      </c>
      <c r="B210" s="120" t="s">
        <v>1853</v>
      </c>
      <c r="C210" s="121" t="s">
        <v>3025</v>
      </c>
      <c r="D210" t="s">
        <v>3029</v>
      </c>
      <c r="E210" s="79">
        <v>5.7000000000000028</v>
      </c>
      <c r="F210" s="122">
        <v>1039.6968421052627</v>
      </c>
      <c r="G210" s="122">
        <v>55556.688842105235</v>
      </c>
      <c r="H210" s="122">
        <v>5281.3810526315765</v>
      </c>
      <c r="I210" s="123">
        <v>61877.766736842073</v>
      </c>
      <c r="J210" s="122">
        <v>195976.65684210518</v>
      </c>
      <c r="K210" s="122">
        <v>55532.555789473648</v>
      </c>
      <c r="L210" s="122">
        <v>5566.4842105263133</v>
      </c>
      <c r="M210" s="123">
        <v>257075.69684210516</v>
      </c>
      <c r="N210" s="123">
        <v>318953.46357894724</v>
      </c>
    </row>
    <row r="211" spans="1:14">
      <c r="A211" s="119">
        <v>6623</v>
      </c>
      <c r="B211" s="120" t="s">
        <v>2779</v>
      </c>
      <c r="C211" s="121" t="s">
        <v>3030</v>
      </c>
      <c r="D211" t="s">
        <v>3031</v>
      </c>
      <c r="E211" s="79">
        <v>2.1</v>
      </c>
      <c r="F211" s="122">
        <v>560749.31714285712</v>
      </c>
      <c r="G211" s="122">
        <v>344583.99052380951</v>
      </c>
      <c r="H211" s="122">
        <v>44264.198209523805</v>
      </c>
      <c r="I211" s="123">
        <v>949597.50587619049</v>
      </c>
      <c r="J211" s="122">
        <v>511047.71714285715</v>
      </c>
      <c r="K211" s="122">
        <v>259796.06683333337</v>
      </c>
      <c r="L211" s="122">
        <v>14732.609047619047</v>
      </c>
      <c r="M211" s="123">
        <v>785576.39302380953</v>
      </c>
      <c r="N211" s="123">
        <v>1735173.8988999999</v>
      </c>
    </row>
    <row r="212" spans="1:14">
      <c r="A212" s="119">
        <v>6623</v>
      </c>
      <c r="B212" s="120" t="s">
        <v>2779</v>
      </c>
      <c r="C212" s="121" t="s">
        <v>3030</v>
      </c>
      <c r="D212" t="s">
        <v>3032</v>
      </c>
      <c r="E212" s="79">
        <v>4.3000000000000007</v>
      </c>
      <c r="F212" s="122">
        <v>1588482.638372093</v>
      </c>
      <c r="G212" s="122">
        <v>946452.69761627889</v>
      </c>
      <c r="H212" s="122">
        <v>348684.65819767438</v>
      </c>
      <c r="I212" s="123">
        <v>2883619.9941860461</v>
      </c>
      <c r="J212" s="122">
        <v>1530735.3697674416</v>
      </c>
      <c r="K212" s="122">
        <v>779120.28680232551</v>
      </c>
      <c r="L212" s="122">
        <v>261095.67223837206</v>
      </c>
      <c r="M212" s="123">
        <v>2570951.3288081391</v>
      </c>
      <c r="N212" s="123">
        <v>5454571.3229941847</v>
      </c>
    </row>
    <row r="213" spans="1:14">
      <c r="A213" s="119">
        <v>6005</v>
      </c>
      <c r="B213" s="120" t="s">
        <v>1928</v>
      </c>
      <c r="C213" s="121" t="s">
        <v>3033</v>
      </c>
      <c r="D213" t="s">
        <v>3034</v>
      </c>
      <c r="E213" s="79">
        <v>2</v>
      </c>
      <c r="F213" s="122">
        <v>0</v>
      </c>
      <c r="G213" s="122">
        <v>0</v>
      </c>
      <c r="H213" s="122">
        <v>0</v>
      </c>
      <c r="I213" s="123">
        <v>0</v>
      </c>
      <c r="J213" s="122">
        <v>0</v>
      </c>
      <c r="K213" s="122">
        <v>0</v>
      </c>
      <c r="L213" s="122">
        <v>0</v>
      </c>
      <c r="M213" s="123">
        <v>0</v>
      </c>
      <c r="N213" s="123">
        <v>0</v>
      </c>
    </row>
    <row r="214" spans="1:14">
      <c r="A214" s="119">
        <v>6005</v>
      </c>
      <c r="B214" s="120" t="s">
        <v>1928</v>
      </c>
      <c r="C214" s="121" t="s">
        <v>3033</v>
      </c>
      <c r="D214" t="s">
        <v>3035</v>
      </c>
      <c r="E214" s="79">
        <v>42.2</v>
      </c>
      <c r="F214" s="122">
        <v>7069942.7211848348</v>
      </c>
      <c r="G214" s="122">
        <v>2526848.9919952601</v>
      </c>
      <c r="H214" s="122">
        <v>531844.05143364938</v>
      </c>
      <c r="I214" s="123">
        <v>10128635.764613744</v>
      </c>
      <c r="J214" s="122">
        <v>2430451.9870379148</v>
      </c>
      <c r="K214" s="122">
        <v>2567530.4664822267</v>
      </c>
      <c r="L214" s="122">
        <v>573084.53678317531</v>
      </c>
      <c r="M214" s="123">
        <v>5571066.9903033171</v>
      </c>
      <c r="N214" s="123">
        <v>15699702.754917061</v>
      </c>
    </row>
    <row r="215" spans="1:14">
      <c r="A215" s="119">
        <v>6611</v>
      </c>
      <c r="B215" s="120" t="s">
        <v>2779</v>
      </c>
      <c r="C215" s="121" t="s">
        <v>3036</v>
      </c>
      <c r="D215" t="s">
        <v>3037</v>
      </c>
      <c r="E215" s="79">
        <v>28.500000000000004</v>
      </c>
      <c r="F215" s="122">
        <v>0</v>
      </c>
      <c r="G215" s="122">
        <v>0</v>
      </c>
      <c r="H215" s="122">
        <v>0</v>
      </c>
      <c r="I215" s="123">
        <v>0</v>
      </c>
      <c r="J215" s="122">
        <v>0</v>
      </c>
      <c r="K215" s="122">
        <v>0</v>
      </c>
      <c r="L215" s="122">
        <v>0</v>
      </c>
      <c r="M215" s="123">
        <v>0</v>
      </c>
      <c r="N215" s="123">
        <v>0</v>
      </c>
    </row>
    <row r="216" spans="1:14">
      <c r="A216" s="119">
        <v>6408</v>
      </c>
      <c r="B216" s="120" t="s">
        <v>1870</v>
      </c>
      <c r="C216" s="121" t="s">
        <v>3038</v>
      </c>
      <c r="D216" t="s">
        <v>3039</v>
      </c>
      <c r="E216" s="79">
        <v>120.3</v>
      </c>
      <c r="F216" s="122">
        <v>7089254.478329177</v>
      </c>
      <c r="G216" s="122">
        <v>6052667.8755839579</v>
      </c>
      <c r="H216" s="122">
        <v>984695.90025357448</v>
      </c>
      <c r="I216" s="123">
        <v>14126618.254166709</v>
      </c>
      <c r="J216" s="122">
        <v>2643558.0550540322</v>
      </c>
      <c r="K216" s="122">
        <v>1626907.6881741481</v>
      </c>
      <c r="L216" s="122">
        <v>239219.47207129677</v>
      </c>
      <c r="M216" s="123">
        <v>4509685.2152994778</v>
      </c>
      <c r="N216" s="123">
        <v>18636303.469466187</v>
      </c>
    </row>
    <row r="217" spans="1:14">
      <c r="A217" s="119">
        <v>6219</v>
      </c>
      <c r="B217" s="120" t="s">
        <v>2002</v>
      </c>
      <c r="C217" s="121" t="s">
        <v>3040</v>
      </c>
      <c r="D217" t="s">
        <v>3041</v>
      </c>
      <c r="E217" s="79">
        <v>29.3</v>
      </c>
      <c r="F217" s="122">
        <v>307650.53679180885</v>
      </c>
      <c r="G217" s="122">
        <v>79926.983290102391</v>
      </c>
      <c r="H217" s="122">
        <v>22625.264846416383</v>
      </c>
      <c r="I217" s="123">
        <v>410202.78492832766</v>
      </c>
      <c r="J217" s="122">
        <v>2138.6244368600683</v>
      </c>
      <c r="K217" s="122">
        <v>80125.026320819103</v>
      </c>
      <c r="L217" s="122">
        <v>21294.131331058019</v>
      </c>
      <c r="M217" s="123">
        <v>103557.78208873719</v>
      </c>
      <c r="N217" s="123">
        <v>513760.56701706484</v>
      </c>
    </row>
    <row r="218" spans="1:14">
      <c r="A218" s="119">
        <v>6350</v>
      </c>
      <c r="B218" s="120" t="s">
        <v>1853</v>
      </c>
      <c r="C218" s="121" t="s">
        <v>3042</v>
      </c>
      <c r="D218" t="s">
        <v>3043</v>
      </c>
      <c r="E218" s="79">
        <v>25.6</v>
      </c>
      <c r="F218" s="122">
        <v>0</v>
      </c>
      <c r="G218" s="122">
        <v>14931.657562499999</v>
      </c>
      <c r="H218" s="122">
        <v>905.69500000000005</v>
      </c>
      <c r="I218" s="123">
        <v>15837.3525625</v>
      </c>
      <c r="J218" s="122">
        <v>0</v>
      </c>
      <c r="K218" s="122">
        <v>11724.0536875</v>
      </c>
      <c r="L218" s="122">
        <v>628.84499999999991</v>
      </c>
      <c r="M218" s="123">
        <v>12352.898687499997</v>
      </c>
      <c r="N218" s="123">
        <v>28190.251250000001</v>
      </c>
    </row>
    <row r="219" spans="1:14">
      <c r="A219" s="119">
        <v>6223</v>
      </c>
      <c r="B219" s="120" t="s">
        <v>2002</v>
      </c>
      <c r="C219" s="121" t="s">
        <v>2047</v>
      </c>
      <c r="D219" t="s">
        <v>3044</v>
      </c>
      <c r="E219" s="79">
        <v>11.7</v>
      </c>
      <c r="F219" s="122">
        <v>4199152.4550427357</v>
      </c>
      <c r="G219" s="122">
        <v>9870087.1322649587</v>
      </c>
      <c r="H219" s="122">
        <v>1332465.1979978634</v>
      </c>
      <c r="I219" s="123">
        <v>15401704.785305558</v>
      </c>
      <c r="J219" s="122">
        <v>25372081.155128207</v>
      </c>
      <c r="K219" s="122">
        <v>10903697.238572652</v>
      </c>
      <c r="L219" s="122">
        <v>1464724.8855662395</v>
      </c>
      <c r="M219" s="123">
        <v>37740503.279267095</v>
      </c>
      <c r="N219" s="123">
        <v>53142208.064572655</v>
      </c>
    </row>
    <row r="220" spans="1:14">
      <c r="A220" s="119">
        <v>6223</v>
      </c>
      <c r="B220" s="120" t="s">
        <v>2002</v>
      </c>
      <c r="C220" s="121" t="s">
        <v>2047</v>
      </c>
      <c r="D220" t="s">
        <v>3045</v>
      </c>
      <c r="E220" s="79">
        <v>16.100000000000001</v>
      </c>
      <c r="F220" s="122">
        <v>4143220.4732919256</v>
      </c>
      <c r="G220" s="122">
        <v>9799658.1661832314</v>
      </c>
      <c r="H220" s="122">
        <v>1320326.8355944098</v>
      </c>
      <c r="I220" s="123">
        <v>15263205.475069566</v>
      </c>
      <c r="J220" s="122">
        <v>25163374.376149066</v>
      </c>
      <c r="K220" s="122">
        <v>10831575.947279504</v>
      </c>
      <c r="L220" s="122">
        <v>1450237.7414829191</v>
      </c>
      <c r="M220" s="123">
        <v>37445188.064911485</v>
      </c>
      <c r="N220" s="123">
        <v>52708393.539981052</v>
      </c>
    </row>
    <row r="221" spans="1:14">
      <c r="A221" s="119">
        <v>6223</v>
      </c>
      <c r="B221" s="120" t="s">
        <v>2002</v>
      </c>
      <c r="C221" s="121" t="s">
        <v>2047</v>
      </c>
      <c r="D221" t="s">
        <v>3046</v>
      </c>
      <c r="E221" s="79">
        <v>19.2</v>
      </c>
      <c r="F221" s="122">
        <v>3993185.7938020835</v>
      </c>
      <c r="G221" s="122">
        <v>9358818.9234088548</v>
      </c>
      <c r="H221" s="122">
        <v>1253594.9801148439</v>
      </c>
      <c r="I221" s="123">
        <v>14605599.697325783</v>
      </c>
      <c r="J221" s="122">
        <v>24170283.578333333</v>
      </c>
      <c r="K221" s="122">
        <v>10403947.136299478</v>
      </c>
      <c r="L221" s="122">
        <v>1369200.6841536458</v>
      </c>
      <c r="M221" s="123">
        <v>35943431.398786463</v>
      </c>
      <c r="N221" s="123">
        <v>50549031.096112244</v>
      </c>
    </row>
    <row r="222" spans="1:14">
      <c r="A222" s="119">
        <v>6223</v>
      </c>
      <c r="B222" s="120" t="s">
        <v>2002</v>
      </c>
      <c r="C222" s="121" t="s">
        <v>2047</v>
      </c>
      <c r="D222" t="s">
        <v>3047</v>
      </c>
      <c r="E222" s="79">
        <v>21.099999999999994</v>
      </c>
      <c r="F222" s="122">
        <v>4209460.761232228</v>
      </c>
      <c r="G222" s="122">
        <v>9583122.8621042669</v>
      </c>
      <c r="H222" s="122">
        <v>1236095.3811789101</v>
      </c>
      <c r="I222" s="123">
        <v>15028679.004515406</v>
      </c>
      <c r="J222" s="122">
        <v>24767552.343270149</v>
      </c>
      <c r="K222" s="122">
        <v>10658857.557030808</v>
      </c>
      <c r="L222" s="122">
        <v>1360658.40082346</v>
      </c>
      <c r="M222" s="123">
        <v>36787068.301124416</v>
      </c>
      <c r="N222" s="123">
        <v>51815747.305639818</v>
      </c>
    </row>
    <row r="223" spans="1:14">
      <c r="A223" s="119">
        <v>6223</v>
      </c>
      <c r="B223" s="120" t="s">
        <v>2002</v>
      </c>
      <c r="C223" s="121" t="s">
        <v>2047</v>
      </c>
      <c r="D223" t="s">
        <v>3048</v>
      </c>
      <c r="E223" s="79">
        <v>27.5</v>
      </c>
      <c r="F223" s="122">
        <v>4033235.4284727271</v>
      </c>
      <c r="G223" s="122">
        <v>9076273.7867745459</v>
      </c>
      <c r="H223" s="122">
        <v>1180329.2757438181</v>
      </c>
      <c r="I223" s="123">
        <v>14289838.490991089</v>
      </c>
      <c r="J223" s="122">
        <v>23427230.657636367</v>
      </c>
      <c r="K223" s="122">
        <v>10100751.111247273</v>
      </c>
      <c r="L223" s="122">
        <v>1303558.0389727273</v>
      </c>
      <c r="M223" s="123">
        <v>34831539.807856366</v>
      </c>
      <c r="N223" s="123">
        <v>49121378.298847459</v>
      </c>
    </row>
    <row r="224" spans="1:14">
      <c r="A224" s="119">
        <v>6364</v>
      </c>
      <c r="B224" s="120" t="s">
        <v>1853</v>
      </c>
      <c r="C224" s="121" t="s">
        <v>3049</v>
      </c>
      <c r="D224" t="s">
        <v>3050</v>
      </c>
      <c r="E224" s="79">
        <v>42.8</v>
      </c>
      <c r="F224" s="122">
        <v>40308.033504672901</v>
      </c>
      <c r="G224" s="122">
        <v>14334.831766355142</v>
      </c>
      <c r="H224" s="122">
        <v>7945.8157067757011</v>
      </c>
      <c r="I224" s="123">
        <v>62588.68097780375</v>
      </c>
      <c r="J224" s="122">
        <v>2015.7633878504676</v>
      </c>
      <c r="K224" s="122">
        <v>12280.146050233647</v>
      </c>
      <c r="L224" s="122">
        <v>11343.684646612151</v>
      </c>
      <c r="M224" s="123">
        <v>25639.594084696262</v>
      </c>
      <c r="N224" s="123">
        <v>88228.275062500019</v>
      </c>
    </row>
    <row r="225" spans="1:14">
      <c r="A225" s="119">
        <v>6320</v>
      </c>
      <c r="B225" s="120" t="s">
        <v>1831</v>
      </c>
      <c r="C225" s="121" t="s">
        <v>3051</v>
      </c>
      <c r="D225" t="s">
        <v>3052</v>
      </c>
      <c r="E225" s="79">
        <v>41.5</v>
      </c>
      <c r="F225" s="122">
        <v>1329.3952771084339</v>
      </c>
      <c r="G225" s="122">
        <v>58338.219089156635</v>
      </c>
      <c r="H225" s="122">
        <v>25739.384192771082</v>
      </c>
      <c r="I225" s="123">
        <v>85406.998559036147</v>
      </c>
      <c r="J225" s="122">
        <v>362705.44308433734</v>
      </c>
      <c r="K225" s="122">
        <v>96221.257387951802</v>
      </c>
      <c r="L225" s="122">
        <v>25182.095228915663</v>
      </c>
      <c r="M225" s="123">
        <v>484108.79570120486</v>
      </c>
      <c r="N225" s="123">
        <v>569515.79426024097</v>
      </c>
    </row>
    <row r="226" spans="1:14">
      <c r="A226" s="119">
        <v>6320</v>
      </c>
      <c r="B226" s="120" t="s">
        <v>1853</v>
      </c>
      <c r="C226" s="121" t="s">
        <v>3051</v>
      </c>
      <c r="D226" t="s">
        <v>3053</v>
      </c>
      <c r="E226" s="79">
        <v>9.2999999999999972</v>
      </c>
      <c r="F226" s="122">
        <v>17322.418924731188</v>
      </c>
      <c r="G226" s="122">
        <v>113782.42434408607</v>
      </c>
      <c r="H226" s="122">
        <v>45375.238870967754</v>
      </c>
      <c r="I226" s="123">
        <v>176480.08213978502</v>
      </c>
      <c r="J226" s="122">
        <v>771387.82591397862</v>
      </c>
      <c r="K226" s="122">
        <v>209813.41672043016</v>
      </c>
      <c r="L226" s="122">
        <v>47118.835483870986</v>
      </c>
      <c r="M226" s="123">
        <v>1028320.0781182798</v>
      </c>
      <c r="N226" s="123">
        <v>1204800.1602580647</v>
      </c>
    </row>
    <row r="227" spans="1:14">
      <c r="A227" s="119">
        <v>6231</v>
      </c>
      <c r="B227" s="120" t="s">
        <v>2002</v>
      </c>
      <c r="C227" s="121" t="s">
        <v>3054</v>
      </c>
      <c r="D227" t="s">
        <v>3055</v>
      </c>
      <c r="E227" s="79">
        <v>6</v>
      </c>
      <c r="F227" s="122">
        <v>4301836.6991666658</v>
      </c>
      <c r="G227" s="122">
        <v>2573182.8988916664</v>
      </c>
      <c r="H227" s="122">
        <v>441062.99362500006</v>
      </c>
      <c r="I227" s="123">
        <v>7316082.5916833328</v>
      </c>
      <c r="J227" s="122">
        <v>1142879.7918333334</v>
      </c>
      <c r="K227" s="122">
        <v>2552766.4205333334</v>
      </c>
      <c r="L227" s="122">
        <v>404938.42883333337</v>
      </c>
      <c r="M227" s="123">
        <v>4100584.6412</v>
      </c>
      <c r="N227" s="123">
        <v>11416667.232883334</v>
      </c>
    </row>
    <row r="228" spans="1:14">
      <c r="A228" s="119">
        <v>6231</v>
      </c>
      <c r="B228" s="120" t="s">
        <v>2002</v>
      </c>
      <c r="C228" s="121" t="s">
        <v>3054</v>
      </c>
      <c r="D228" t="s">
        <v>3056</v>
      </c>
      <c r="E228" s="79">
        <v>29.5</v>
      </c>
      <c r="F228" s="122">
        <v>4844095.1069491534</v>
      </c>
      <c r="G228" s="122">
        <v>2708334.0814576275</v>
      </c>
      <c r="H228" s="122">
        <v>457967.04261864407</v>
      </c>
      <c r="I228" s="123">
        <v>8010396.2310254248</v>
      </c>
      <c r="J228" s="122">
        <v>1332654.8481355931</v>
      </c>
      <c r="K228" s="122">
        <v>3094700.2717559328</v>
      </c>
      <c r="L228" s="122">
        <v>502078.83515254233</v>
      </c>
      <c r="M228" s="123">
        <v>4929433.9550440684</v>
      </c>
      <c r="N228" s="123">
        <v>12939830.186069492</v>
      </c>
    </row>
    <row r="229" spans="1:14">
      <c r="A229" s="119">
        <v>6232</v>
      </c>
      <c r="B229" s="120" t="s">
        <v>2002</v>
      </c>
      <c r="C229" s="121" t="s">
        <v>3057</v>
      </c>
      <c r="D229" t="s">
        <v>3058</v>
      </c>
      <c r="E229" s="79">
        <v>14.1</v>
      </c>
      <c r="F229" s="122">
        <v>34379.82595744681</v>
      </c>
      <c r="G229" s="122">
        <v>79463.496617021287</v>
      </c>
      <c r="H229" s="122">
        <v>18331.418404255321</v>
      </c>
      <c r="I229" s="123">
        <v>132174.74097872342</v>
      </c>
      <c r="J229" s="122">
        <v>395916.04638297873</v>
      </c>
      <c r="K229" s="122">
        <v>70804.966574468082</v>
      </c>
      <c r="L229" s="122">
        <v>20151.134680851064</v>
      </c>
      <c r="M229" s="123">
        <v>486872.14763829781</v>
      </c>
      <c r="N229" s="123">
        <v>619046.88861702126</v>
      </c>
    </row>
    <row r="230" spans="1:14">
      <c r="A230" s="119">
        <v>6601</v>
      </c>
      <c r="B230" s="120" t="s">
        <v>2779</v>
      </c>
      <c r="C230" s="121" t="s">
        <v>3059</v>
      </c>
      <c r="D230" t="s">
        <v>3060</v>
      </c>
      <c r="E230" s="79">
        <v>129.9</v>
      </c>
      <c r="F230" s="122">
        <v>1599634.6436104693</v>
      </c>
      <c r="G230" s="122">
        <v>1101614.3343987681</v>
      </c>
      <c r="H230" s="122">
        <v>218011.28439145492</v>
      </c>
      <c r="I230" s="123">
        <v>2919260.2624006928</v>
      </c>
      <c r="J230" s="122">
        <v>828487.19577367231</v>
      </c>
      <c r="K230" s="122">
        <v>1076391.3647378755</v>
      </c>
      <c r="L230" s="122">
        <v>205045.38296574293</v>
      </c>
      <c r="M230" s="123">
        <v>2109923.9434772907</v>
      </c>
      <c r="N230" s="123">
        <v>5029184.2058779839</v>
      </c>
    </row>
    <row r="231" spans="1:14">
      <c r="A231" s="119">
        <v>6101</v>
      </c>
      <c r="B231" s="120" t="s">
        <v>1928</v>
      </c>
      <c r="C231" s="121" t="s">
        <v>2288</v>
      </c>
      <c r="D231" t="s">
        <v>3061</v>
      </c>
      <c r="E231" s="79">
        <v>5</v>
      </c>
      <c r="F231" s="122">
        <v>60416559.08640001</v>
      </c>
      <c r="G231" s="122">
        <v>19395894.933580004</v>
      </c>
      <c r="H231" s="122">
        <v>3743915.4505500002</v>
      </c>
      <c r="I231" s="123">
        <v>83556369.470530003</v>
      </c>
      <c r="J231" s="122">
        <v>9268111.4063999988</v>
      </c>
      <c r="K231" s="122">
        <v>19234029.303280003</v>
      </c>
      <c r="L231" s="122">
        <v>3719634.95695</v>
      </c>
      <c r="M231" s="123">
        <v>32221775.666630007</v>
      </c>
      <c r="N231" s="123">
        <v>115778145.13716002</v>
      </c>
    </row>
    <row r="232" spans="1:14">
      <c r="A232" s="119">
        <v>6101</v>
      </c>
      <c r="B232" s="120" t="s">
        <v>1928</v>
      </c>
      <c r="C232" s="121" t="s">
        <v>2288</v>
      </c>
      <c r="D232" t="s">
        <v>3062</v>
      </c>
      <c r="E232" s="79">
        <v>1.5999999999999996</v>
      </c>
      <c r="F232" s="122">
        <v>60989217.283125013</v>
      </c>
      <c r="G232" s="122">
        <v>19577975.588093754</v>
      </c>
      <c r="H232" s="122">
        <v>3776801.0224218755</v>
      </c>
      <c r="I232" s="123">
        <v>84343993.893640637</v>
      </c>
      <c r="J232" s="122">
        <v>9352809.7031250019</v>
      </c>
      <c r="K232" s="122">
        <v>19413990.422468752</v>
      </c>
      <c r="L232" s="122">
        <v>3752369.0214218753</v>
      </c>
      <c r="M232" s="123">
        <v>32519169.147015631</v>
      </c>
      <c r="N232" s="123">
        <v>116863163.04065627</v>
      </c>
    </row>
    <row r="233" spans="1:14">
      <c r="A233" s="119">
        <v>6101</v>
      </c>
      <c r="B233" s="120" t="s">
        <v>1928</v>
      </c>
      <c r="C233" s="121" t="s">
        <v>2288</v>
      </c>
      <c r="D233" t="s">
        <v>3063</v>
      </c>
      <c r="E233" s="79">
        <v>22.799999999999997</v>
      </c>
      <c r="F233" s="122">
        <v>60530751.928947389</v>
      </c>
      <c r="G233" s="122">
        <v>19430612.950673249</v>
      </c>
      <c r="H233" s="122">
        <v>3747990.2154331142</v>
      </c>
      <c r="I233" s="123">
        <v>83709355.095053747</v>
      </c>
      <c r="J233" s="122">
        <v>9282720.2984649148</v>
      </c>
      <c r="K233" s="122">
        <v>19268470.925609648</v>
      </c>
      <c r="L233" s="122">
        <v>3724887.6335032899</v>
      </c>
      <c r="M233" s="123">
        <v>32276078.857577857</v>
      </c>
      <c r="N233" s="123">
        <v>115985433.95263161</v>
      </c>
    </row>
    <row r="234" spans="1:14">
      <c r="A234" s="119">
        <v>6101</v>
      </c>
      <c r="B234" s="120" t="s">
        <v>1928</v>
      </c>
      <c r="C234" s="121" t="s">
        <v>2288</v>
      </c>
      <c r="D234" t="s">
        <v>3064</v>
      </c>
      <c r="E234" s="79">
        <v>8.6000000000000014</v>
      </c>
      <c r="F234" s="122">
        <v>62307256.055813931</v>
      </c>
      <c r="G234" s="122">
        <v>20000487.844156973</v>
      </c>
      <c r="H234" s="122">
        <v>3858297.6289098831</v>
      </c>
      <c r="I234" s="123">
        <v>86166041.52888079</v>
      </c>
      <c r="J234" s="122">
        <v>9555666.9715116285</v>
      </c>
      <c r="K234" s="122">
        <v>19834912.310040694</v>
      </c>
      <c r="L234" s="122">
        <v>3834521.5947354645</v>
      </c>
      <c r="M234" s="123">
        <v>33225100.876287784</v>
      </c>
      <c r="N234" s="123">
        <v>119391142.40516858</v>
      </c>
    </row>
    <row r="235" spans="1:14">
      <c r="A235" s="119">
        <v>6101</v>
      </c>
      <c r="B235" s="120" t="s">
        <v>1928</v>
      </c>
      <c r="C235" s="121" t="s">
        <v>2288</v>
      </c>
      <c r="D235" t="s">
        <v>3065</v>
      </c>
      <c r="E235" s="79">
        <v>7</v>
      </c>
      <c r="F235" s="122">
        <v>60753080.154285714</v>
      </c>
      <c r="G235" s="122">
        <v>19500715.086299997</v>
      </c>
      <c r="H235" s="122">
        <v>3758301.0691607143</v>
      </c>
      <c r="I235" s="123">
        <v>84012096.309746414</v>
      </c>
      <c r="J235" s="122">
        <v>9314147.1414285712</v>
      </c>
      <c r="K235" s="122">
        <v>19337501.222028572</v>
      </c>
      <c r="L235" s="122">
        <v>3738676.7162178573</v>
      </c>
      <c r="M235" s="123">
        <v>32390325.079675</v>
      </c>
      <c r="N235" s="123">
        <v>116402421.38942143</v>
      </c>
    </row>
    <row r="236" spans="1:14">
      <c r="A236" s="119">
        <v>6101</v>
      </c>
      <c r="B236" s="120" t="s">
        <v>1928</v>
      </c>
      <c r="C236" s="121" t="s">
        <v>2288</v>
      </c>
      <c r="D236" t="s">
        <v>3066</v>
      </c>
      <c r="E236" s="79">
        <v>12</v>
      </c>
      <c r="F236" s="122">
        <v>56903737.792333335</v>
      </c>
      <c r="G236" s="122">
        <v>18260638.918949999</v>
      </c>
      <c r="H236" s="122">
        <v>3520676.9825729169</v>
      </c>
      <c r="I236" s="123">
        <v>78685053.693856254</v>
      </c>
      <c r="J236" s="122">
        <v>8732643.3396666665</v>
      </c>
      <c r="K236" s="122">
        <v>18122445.257479165</v>
      </c>
      <c r="L236" s="122">
        <v>3504747.1138229165</v>
      </c>
      <c r="M236" s="123">
        <v>30359835.710968748</v>
      </c>
      <c r="N236" s="123">
        <v>109044889.40482499</v>
      </c>
    </row>
    <row r="237" spans="1:14">
      <c r="A237" s="119">
        <v>6101</v>
      </c>
      <c r="B237" s="120" t="s">
        <v>1928</v>
      </c>
      <c r="C237" s="121" t="s">
        <v>2288</v>
      </c>
      <c r="D237" t="s">
        <v>3067</v>
      </c>
      <c r="E237" s="79">
        <v>71.5</v>
      </c>
      <c r="F237" s="122">
        <v>55984726.134223782</v>
      </c>
      <c r="G237" s="122">
        <v>19010304.067366432</v>
      </c>
      <c r="H237" s="122">
        <v>3535160.206687063</v>
      </c>
      <c r="I237" s="123">
        <v>78530190.408277273</v>
      </c>
      <c r="J237" s="122">
        <v>9777386.2302377615</v>
      </c>
      <c r="K237" s="122">
        <v>20220519.111651752</v>
      </c>
      <c r="L237" s="122">
        <v>3843654.4150318182</v>
      </c>
      <c r="M237" s="123">
        <v>33841559.756921329</v>
      </c>
      <c r="N237" s="123">
        <v>112371750.16519859</v>
      </c>
    </row>
    <row r="238" spans="1:14">
      <c r="A238" s="119">
        <v>4000</v>
      </c>
      <c r="B238" s="120" t="s">
        <v>2779</v>
      </c>
      <c r="C238" s="121" t="s">
        <v>3068</v>
      </c>
      <c r="D238" t="s">
        <v>3069</v>
      </c>
      <c r="E238" s="79">
        <v>2.1</v>
      </c>
      <c r="F238" s="122">
        <v>1082144.4409523809</v>
      </c>
      <c r="G238" s="122">
        <v>827201.36778571433</v>
      </c>
      <c r="H238" s="122">
        <v>225884.61109999998</v>
      </c>
      <c r="I238" s="123">
        <v>2135230.4198380955</v>
      </c>
      <c r="J238" s="122">
        <v>4493536.5861904761</v>
      </c>
      <c r="K238" s="122">
        <v>5379497.9945476195</v>
      </c>
      <c r="L238" s="122">
        <v>939925.93574285705</v>
      </c>
      <c r="M238" s="123">
        <v>10812960.516480953</v>
      </c>
      <c r="N238" s="123">
        <v>12948190.936319048</v>
      </c>
    </row>
    <row r="239" spans="1:14">
      <c r="A239" s="119">
        <v>6550</v>
      </c>
      <c r="B239" s="120" t="s">
        <v>1870</v>
      </c>
      <c r="C239" s="121" t="s">
        <v>3070</v>
      </c>
      <c r="D239" t="s">
        <v>3071</v>
      </c>
      <c r="E239" s="79">
        <v>17</v>
      </c>
      <c r="F239" s="122">
        <v>141050.26482352943</v>
      </c>
      <c r="G239" s="122">
        <v>223750.13901764704</v>
      </c>
      <c r="H239" s="122">
        <v>64395.848794117635</v>
      </c>
      <c r="I239" s="123">
        <v>429196.25263529411</v>
      </c>
      <c r="J239" s="122">
        <v>278528.0721764706</v>
      </c>
      <c r="K239" s="122">
        <v>278856.54065294116</v>
      </c>
      <c r="L239" s="122">
        <v>44866.363279411766</v>
      </c>
      <c r="M239" s="123">
        <v>602250.97610882355</v>
      </c>
      <c r="N239" s="123">
        <v>1031447.2287441177</v>
      </c>
    </row>
    <row r="240" spans="1:14">
      <c r="A240" s="119">
        <v>6520</v>
      </c>
      <c r="B240" s="120" t="s">
        <v>1870</v>
      </c>
      <c r="C240" s="121" t="s">
        <v>3072</v>
      </c>
      <c r="D240" t="s">
        <v>3073</v>
      </c>
      <c r="E240" s="79">
        <v>6.6</v>
      </c>
      <c r="F240" s="122">
        <v>1314206.9325757578</v>
      </c>
      <c r="G240" s="122">
        <v>1535105.9639999999</v>
      </c>
      <c r="H240" s="122">
        <v>386738.88977272727</v>
      </c>
      <c r="I240" s="123">
        <v>3236051.7863484845</v>
      </c>
      <c r="J240" s="122">
        <v>2833936.314242424</v>
      </c>
      <c r="K240" s="122">
        <v>2284663.5658560605</v>
      </c>
      <c r="L240" s="122">
        <v>382867.44200757582</v>
      </c>
      <c r="M240" s="123">
        <v>5501467.3221060615</v>
      </c>
      <c r="N240" s="123">
        <v>8737519.108454546</v>
      </c>
    </row>
    <row r="241" spans="1:14">
      <c r="A241" s="119">
        <v>6351</v>
      </c>
      <c r="B241" s="120" t="s">
        <v>1853</v>
      </c>
      <c r="C241" s="121" t="s">
        <v>3074</v>
      </c>
      <c r="D241" t="s">
        <v>3075</v>
      </c>
      <c r="E241" s="79">
        <v>37.700000000000003</v>
      </c>
      <c r="F241" s="122">
        <v>5254746.3298408492</v>
      </c>
      <c r="G241" s="122">
        <v>3583965.2821498672</v>
      </c>
      <c r="H241" s="122">
        <v>403720.54439588852</v>
      </c>
      <c r="I241" s="123">
        <v>9242432.1563866045</v>
      </c>
      <c r="J241" s="122">
        <v>4523266.1628912464</v>
      </c>
      <c r="K241" s="122">
        <v>3413039.2631684346</v>
      </c>
      <c r="L241" s="122">
        <v>359157.5060702918</v>
      </c>
      <c r="M241" s="123">
        <v>8295462.9321299726</v>
      </c>
      <c r="N241" s="123">
        <v>17537895.088516578</v>
      </c>
    </row>
    <row r="242" spans="1:14">
      <c r="A242" s="119">
        <v>6351</v>
      </c>
      <c r="B242" s="120" t="s">
        <v>1853</v>
      </c>
      <c r="C242" s="121" t="s">
        <v>3074</v>
      </c>
      <c r="D242" t="s">
        <v>3076</v>
      </c>
      <c r="E242" s="79">
        <v>6.6999999999999957</v>
      </c>
      <c r="F242" s="122">
        <v>3373057.5164179127</v>
      </c>
      <c r="G242" s="122">
        <v>6260000.0206119437</v>
      </c>
      <c r="H242" s="122">
        <v>776391.33182089601</v>
      </c>
      <c r="I242" s="123">
        <v>10409448.868850753</v>
      </c>
      <c r="J242" s="122">
        <v>9548450.657910455</v>
      </c>
      <c r="K242" s="122">
        <v>5065119.6925298544</v>
      </c>
      <c r="L242" s="122">
        <v>588097.50553358241</v>
      </c>
      <c r="M242" s="123">
        <v>15201667.855973892</v>
      </c>
      <c r="N242" s="123">
        <v>25611116.724824645</v>
      </c>
    </row>
    <row r="243" spans="1:14">
      <c r="A243" s="119">
        <v>6351</v>
      </c>
      <c r="B243" s="120" t="s">
        <v>1853</v>
      </c>
      <c r="C243" s="121" t="s">
        <v>3074</v>
      </c>
      <c r="D243" t="s">
        <v>3077</v>
      </c>
      <c r="E243" s="79">
        <v>25.800000000000004</v>
      </c>
      <c r="F243" s="122">
        <v>2858094.3233333328</v>
      </c>
      <c r="G243" s="122">
        <v>3480513.4551511616</v>
      </c>
      <c r="H243" s="122">
        <v>444385.59040310065</v>
      </c>
      <c r="I243" s="123">
        <v>6782993.3688875949</v>
      </c>
      <c r="J243" s="122">
        <v>4853382.1838759687</v>
      </c>
      <c r="K243" s="122">
        <v>2645084.8320620148</v>
      </c>
      <c r="L243" s="122">
        <v>314728.84134302317</v>
      </c>
      <c r="M243" s="123">
        <v>7813195.8572810069</v>
      </c>
      <c r="N243" s="123">
        <v>14596189.226168603</v>
      </c>
    </row>
    <row r="244" spans="1:14">
      <c r="A244" s="119">
        <v>6351</v>
      </c>
      <c r="B244" s="120" t="s">
        <v>1853</v>
      </c>
      <c r="C244" s="121" t="s">
        <v>3074</v>
      </c>
      <c r="D244" t="s">
        <v>3078</v>
      </c>
      <c r="E244" s="79">
        <v>13.200000000000003</v>
      </c>
      <c r="F244" s="122">
        <v>3877934.5751515147</v>
      </c>
      <c r="G244" s="122">
        <v>3848211.4731856054</v>
      </c>
      <c r="H244" s="122">
        <v>545954.99787121196</v>
      </c>
      <c r="I244" s="123">
        <v>8272101.0462083323</v>
      </c>
      <c r="J244" s="122">
        <v>5214772.8433333319</v>
      </c>
      <c r="K244" s="122">
        <v>3031150.8202121202</v>
      </c>
      <c r="L244" s="122">
        <v>386656.52217992418</v>
      </c>
      <c r="M244" s="123">
        <v>8632580.185725376</v>
      </c>
      <c r="N244" s="123">
        <v>16904681.231933709</v>
      </c>
    </row>
    <row r="245" spans="1:14">
      <c r="A245" s="119">
        <v>6351</v>
      </c>
      <c r="B245" s="120" t="s">
        <v>1853</v>
      </c>
      <c r="C245" s="121" t="s">
        <v>3074</v>
      </c>
      <c r="D245" t="s">
        <v>3079</v>
      </c>
      <c r="E245" s="79">
        <v>13.699999999999989</v>
      </c>
      <c r="F245" s="122">
        <v>5473160.8869343121</v>
      </c>
      <c r="G245" s="122">
        <v>4067572.1469233604</v>
      </c>
      <c r="H245" s="122">
        <v>598536.27487226343</v>
      </c>
      <c r="I245" s="123">
        <v>10139269.308729935</v>
      </c>
      <c r="J245" s="122">
        <v>5244675.6479562093</v>
      </c>
      <c r="K245" s="122">
        <v>3066469.665164236</v>
      </c>
      <c r="L245" s="122">
        <v>401910.72479927039</v>
      </c>
      <c r="M245" s="123">
        <v>8713056.037919715</v>
      </c>
      <c r="N245" s="123">
        <v>18852325.34664965</v>
      </c>
    </row>
    <row r="246" spans="1:14">
      <c r="A246" s="119">
        <v>6351</v>
      </c>
      <c r="B246" s="120" t="s">
        <v>1853</v>
      </c>
      <c r="C246" s="121" t="s">
        <v>3074</v>
      </c>
      <c r="D246" t="s">
        <v>3080</v>
      </c>
      <c r="E246" s="79">
        <v>12.600000000000009</v>
      </c>
      <c r="F246" s="122">
        <v>6159153.6664285669</v>
      </c>
      <c r="G246" s="122">
        <v>4217139.0107619017</v>
      </c>
      <c r="H246" s="122">
        <v>667184.08088690438</v>
      </c>
      <c r="I246" s="123">
        <v>11043476.758077374</v>
      </c>
      <c r="J246" s="122">
        <v>5335311.9894444412</v>
      </c>
      <c r="K246" s="122">
        <v>3241846.5514404741</v>
      </c>
      <c r="L246" s="122">
        <v>485501.55487499962</v>
      </c>
      <c r="M246" s="123">
        <v>9062660.0957599152</v>
      </c>
      <c r="N246" s="123">
        <v>20106136.853837289</v>
      </c>
    </row>
    <row r="247" spans="1:14">
      <c r="A247" s="119">
        <v>6351</v>
      </c>
      <c r="B247" s="120" t="s">
        <v>1853</v>
      </c>
      <c r="C247" s="121" t="s">
        <v>3074</v>
      </c>
      <c r="D247" t="s">
        <v>3081</v>
      </c>
      <c r="E247" s="79">
        <v>3.7999999999999972</v>
      </c>
      <c r="F247" s="122">
        <v>5978691.3473684248</v>
      </c>
      <c r="G247" s="122">
        <v>3809480.7447368451</v>
      </c>
      <c r="H247" s="122">
        <v>523376.66184210562</v>
      </c>
      <c r="I247" s="123">
        <v>10311548.753947373</v>
      </c>
      <c r="J247" s="122">
        <v>4263656.6684210561</v>
      </c>
      <c r="K247" s="122">
        <v>2758591.3626315808</v>
      </c>
      <c r="L247" s="122">
        <v>414546.10394736874</v>
      </c>
      <c r="M247" s="123">
        <v>7436794.1350000054</v>
      </c>
      <c r="N247" s="123">
        <v>17748342.888947379</v>
      </c>
    </row>
    <row r="248" spans="1:14">
      <c r="A248" s="119">
        <v>4011</v>
      </c>
      <c r="B248" s="120" t="s">
        <v>1853</v>
      </c>
      <c r="C248" s="121" t="s">
        <v>3082</v>
      </c>
      <c r="D248" t="s">
        <v>3083</v>
      </c>
      <c r="E248" s="79">
        <v>4.2</v>
      </c>
      <c r="F248" s="122">
        <v>1566610.13</v>
      </c>
      <c r="G248" s="122">
        <v>394487.13200000004</v>
      </c>
      <c r="H248" s="122">
        <v>43244.796249999999</v>
      </c>
      <c r="I248" s="123">
        <v>2004342.0582500002</v>
      </c>
      <c r="J248" s="122">
        <v>12361.689999999999</v>
      </c>
      <c r="K248" s="122">
        <v>35231.742999999995</v>
      </c>
      <c r="L248" s="122">
        <v>4912.63</v>
      </c>
      <c r="M248" s="123">
        <v>52506.062999999995</v>
      </c>
      <c r="N248" s="123">
        <v>2056848.1212500003</v>
      </c>
    </row>
    <row r="249" spans="1:14">
      <c r="A249" s="119">
        <v>4046</v>
      </c>
      <c r="B249" s="120" t="s">
        <v>1853</v>
      </c>
      <c r="C249" s="121" t="s">
        <v>3084</v>
      </c>
      <c r="D249" t="s">
        <v>3085</v>
      </c>
      <c r="E249" s="79">
        <v>1.0999999999999999</v>
      </c>
      <c r="F249" s="122">
        <v>10376.475454545456</v>
      </c>
      <c r="G249" s="122">
        <v>32141.287954545463</v>
      </c>
      <c r="H249" s="122">
        <v>11722.136363636366</v>
      </c>
      <c r="I249" s="123">
        <v>54239.89977272728</v>
      </c>
      <c r="J249" s="122">
        <v>5264.2009090909096</v>
      </c>
      <c r="K249" s="122">
        <v>2237771.7131363638</v>
      </c>
      <c r="L249" s="122">
        <v>66617.503181818189</v>
      </c>
      <c r="M249" s="123">
        <v>2309653.4172272729</v>
      </c>
      <c r="N249" s="123">
        <v>2363893.3170000003</v>
      </c>
    </row>
    <row r="250" spans="1:14">
      <c r="A250" s="119">
        <v>4048</v>
      </c>
      <c r="B250" s="120" t="s">
        <v>1853</v>
      </c>
      <c r="C250" s="121" t="s">
        <v>3086</v>
      </c>
      <c r="D250" t="s">
        <v>3087</v>
      </c>
      <c r="E250" s="79">
        <v>0.99999999999999989</v>
      </c>
      <c r="F250" s="122">
        <v>941102.37900000007</v>
      </c>
      <c r="G250" s="122">
        <v>266824.05100000004</v>
      </c>
      <c r="H250" s="122">
        <v>12977.157500000001</v>
      </c>
      <c r="I250" s="123">
        <v>1220903.5875000001</v>
      </c>
      <c r="J250" s="122">
        <v>108078.36000000002</v>
      </c>
      <c r="K250" s="122">
        <v>264639.44210000004</v>
      </c>
      <c r="L250" s="122">
        <v>17841.275750000004</v>
      </c>
      <c r="M250" s="123">
        <v>390559.07785000006</v>
      </c>
      <c r="N250" s="123">
        <v>1611462.6653500001</v>
      </c>
    </row>
    <row r="251" spans="1:14">
      <c r="A251" s="119">
        <v>4045</v>
      </c>
      <c r="B251" s="120" t="s">
        <v>1853</v>
      </c>
      <c r="C251" s="121" t="s">
        <v>3088</v>
      </c>
      <c r="D251" t="s">
        <v>3089</v>
      </c>
      <c r="E251" s="79">
        <v>3.6</v>
      </c>
      <c r="F251" s="122">
        <v>16120.968333333334</v>
      </c>
      <c r="G251" s="122">
        <v>21227.544611111112</v>
      </c>
      <c r="H251" s="122">
        <v>1344.6470833333335</v>
      </c>
      <c r="I251" s="123">
        <v>38693.160027777776</v>
      </c>
      <c r="J251" s="122">
        <v>8807.0908333333318</v>
      </c>
      <c r="K251" s="122">
        <v>8907.5368194444436</v>
      </c>
      <c r="L251" s="122">
        <v>431.56944444444446</v>
      </c>
      <c r="M251" s="123">
        <v>18146.197097222223</v>
      </c>
      <c r="N251" s="123">
        <v>56839.357124999995</v>
      </c>
    </row>
    <row r="252" spans="1:14">
      <c r="A252" s="119">
        <v>6332</v>
      </c>
      <c r="B252" s="120" t="s">
        <v>1853</v>
      </c>
      <c r="C252" s="121" t="s">
        <v>3090</v>
      </c>
      <c r="D252" t="s">
        <v>3091</v>
      </c>
      <c r="E252" s="79">
        <v>2.2999999999999998</v>
      </c>
      <c r="F252" s="122">
        <v>22723220.552173913</v>
      </c>
      <c r="G252" s="122">
        <v>12370206.103478262</v>
      </c>
      <c r="H252" s="122">
        <v>1575811.0782130437</v>
      </c>
      <c r="I252" s="123">
        <v>36669237.733865224</v>
      </c>
      <c r="J252" s="122">
        <v>14072833.881739132</v>
      </c>
      <c r="K252" s="122">
        <v>13260348.945739131</v>
      </c>
      <c r="L252" s="122">
        <v>1670382.8968913043</v>
      </c>
      <c r="M252" s="123">
        <v>29003565.724369567</v>
      </c>
      <c r="N252" s="123">
        <v>65672803.458234787</v>
      </c>
    </row>
    <row r="253" spans="1:14">
      <c r="A253" s="119">
        <v>6332</v>
      </c>
      <c r="B253" s="120" t="s">
        <v>1853</v>
      </c>
      <c r="C253" s="121" t="s">
        <v>3090</v>
      </c>
      <c r="D253" t="s">
        <v>3092</v>
      </c>
      <c r="E253" s="79">
        <v>108.10000000000001</v>
      </c>
      <c r="F253" s="122">
        <v>30883762.754514337</v>
      </c>
      <c r="G253" s="122">
        <v>16557625.253817298</v>
      </c>
      <c r="H253" s="122">
        <v>2068316.6379109155</v>
      </c>
      <c r="I253" s="123">
        <v>49509704.646242552</v>
      </c>
      <c r="J253" s="122">
        <v>17853577.159278445</v>
      </c>
      <c r="K253" s="122">
        <v>17534231.408090658</v>
      </c>
      <c r="L253" s="122">
        <v>2180603.4776244224</v>
      </c>
      <c r="M253" s="123">
        <v>37568412.044993527</v>
      </c>
      <c r="N253" s="123">
        <v>87078116.691236079</v>
      </c>
    </row>
    <row r="254" spans="1:14">
      <c r="A254" s="119">
        <v>4032</v>
      </c>
      <c r="B254" s="120" t="s">
        <v>1853</v>
      </c>
      <c r="C254" s="121" t="s">
        <v>3093</v>
      </c>
      <c r="D254" t="s">
        <v>3094</v>
      </c>
      <c r="E254" s="79">
        <v>15.6</v>
      </c>
      <c r="F254" s="122">
        <v>0</v>
      </c>
      <c r="G254" s="122">
        <v>0</v>
      </c>
      <c r="H254" s="122">
        <v>0</v>
      </c>
      <c r="I254" s="123">
        <v>0</v>
      </c>
      <c r="J254" s="122">
        <v>55.849230769230772</v>
      </c>
      <c r="K254" s="122">
        <v>350.5194326923077</v>
      </c>
      <c r="L254" s="122">
        <v>370.4317307692308</v>
      </c>
      <c r="M254" s="123">
        <v>776.80039423076926</v>
      </c>
      <c r="N254" s="123">
        <v>776.80039423076926</v>
      </c>
    </row>
    <row r="255" spans="1:14">
      <c r="A255" s="119">
        <v>6221</v>
      </c>
      <c r="B255" s="120" t="s">
        <v>2002</v>
      </c>
      <c r="C255" s="121" t="s">
        <v>3095</v>
      </c>
      <c r="D255" t="s">
        <v>3096</v>
      </c>
      <c r="E255" s="79">
        <v>105.3</v>
      </c>
      <c r="F255" s="122">
        <v>10642047.883219374</v>
      </c>
      <c r="G255" s="122">
        <v>3652788.4432811015</v>
      </c>
      <c r="H255" s="122">
        <v>575476.80011087365</v>
      </c>
      <c r="I255" s="123">
        <v>14870313.12661135</v>
      </c>
      <c r="J255" s="122">
        <v>1667677.1848622984</v>
      </c>
      <c r="K255" s="122">
        <v>4037104.6268907888</v>
      </c>
      <c r="L255" s="122">
        <v>553375.67667758791</v>
      </c>
      <c r="M255" s="123">
        <v>6258157.4884306751</v>
      </c>
      <c r="N255" s="123">
        <v>21128470.615042023</v>
      </c>
    </row>
    <row r="256" spans="1:14">
      <c r="A256" s="119">
        <v>6221</v>
      </c>
      <c r="B256" s="120" t="s">
        <v>2002</v>
      </c>
      <c r="C256" s="121" t="s">
        <v>3095</v>
      </c>
      <c r="D256" t="s">
        <v>3097</v>
      </c>
      <c r="E256" s="79">
        <v>9.7000000000000028</v>
      </c>
      <c r="F256" s="122">
        <v>14151674.98680412</v>
      </c>
      <c r="G256" s="122">
        <v>6099627.6794690704</v>
      </c>
      <c r="H256" s="122">
        <v>1025352.409100515</v>
      </c>
      <c r="I256" s="123">
        <v>21276655.075373705</v>
      </c>
      <c r="J256" s="122">
        <v>5286182.0053608241</v>
      </c>
      <c r="K256" s="122">
        <v>6482165.1127113393</v>
      </c>
      <c r="L256" s="122">
        <v>1046651.579324742</v>
      </c>
      <c r="M256" s="123">
        <v>12814998.697396904</v>
      </c>
      <c r="N256" s="123">
        <v>34091653.772770613</v>
      </c>
    </row>
    <row r="257" spans="1:14">
      <c r="A257" s="119">
        <v>6006</v>
      </c>
      <c r="B257" s="120" t="s">
        <v>1928</v>
      </c>
      <c r="C257" s="121" t="s">
        <v>1974</v>
      </c>
      <c r="D257" t="s">
        <v>3098</v>
      </c>
      <c r="E257" s="79">
        <v>54.8</v>
      </c>
      <c r="F257" s="122">
        <v>44085635.47301095</v>
      </c>
      <c r="G257" s="122">
        <v>16421357.356409673</v>
      </c>
      <c r="H257" s="122">
        <v>2552441.2537135039</v>
      </c>
      <c r="I257" s="123">
        <v>63059434.083134122</v>
      </c>
      <c r="J257" s="122">
        <v>9080117.2246350367</v>
      </c>
      <c r="K257" s="122">
        <v>16350183.330761861</v>
      </c>
      <c r="L257" s="122">
        <v>2574027.5556450728</v>
      </c>
      <c r="M257" s="123">
        <v>28004328.111041974</v>
      </c>
      <c r="N257" s="123">
        <v>91063762.194176093</v>
      </c>
    </row>
    <row r="258" spans="1:14">
      <c r="A258" s="119">
        <v>6006</v>
      </c>
      <c r="B258" s="120" t="s">
        <v>1928</v>
      </c>
      <c r="C258" s="121" t="s">
        <v>1974</v>
      </c>
      <c r="D258" t="s">
        <v>3099</v>
      </c>
      <c r="E258" s="79">
        <v>66.7</v>
      </c>
      <c r="F258" s="122">
        <v>76807.55451274362</v>
      </c>
      <c r="G258" s="122">
        <v>42536.537009745138</v>
      </c>
      <c r="H258" s="122">
        <v>5603.8588830584686</v>
      </c>
      <c r="I258" s="123">
        <v>124947.95040554724</v>
      </c>
      <c r="J258" s="122">
        <v>8706101.6443928014</v>
      </c>
      <c r="K258" s="122">
        <v>16054218.486820091</v>
      </c>
      <c r="L258" s="122">
        <v>2473570.4008920542</v>
      </c>
      <c r="M258" s="123">
        <v>27233890.532104947</v>
      </c>
      <c r="N258" s="123">
        <v>27358838.482510492</v>
      </c>
    </row>
    <row r="259" spans="1:14">
      <c r="A259" s="119">
        <v>6355</v>
      </c>
      <c r="B259" s="120" t="s">
        <v>1853</v>
      </c>
      <c r="C259" s="121" t="s">
        <v>3100</v>
      </c>
      <c r="D259" t="s">
        <v>3101</v>
      </c>
      <c r="E259" s="79">
        <v>44.5</v>
      </c>
      <c r="F259" s="122">
        <v>39978.790539325841</v>
      </c>
      <c r="G259" s="122">
        <v>383258.85554831469</v>
      </c>
      <c r="H259" s="122">
        <v>88649.653278089885</v>
      </c>
      <c r="I259" s="123">
        <v>511887.29936573043</v>
      </c>
      <c r="J259" s="122">
        <v>1058036.5679101124</v>
      </c>
      <c r="K259" s="122">
        <v>381563.06113707862</v>
      </c>
      <c r="L259" s="122">
        <v>87923.187887640452</v>
      </c>
      <c r="M259" s="123">
        <v>1527522.8169348314</v>
      </c>
      <c r="N259" s="123">
        <v>2039410.1163005617</v>
      </c>
    </row>
    <row r="260" spans="1:14">
      <c r="A260" s="119">
        <v>6355</v>
      </c>
      <c r="B260" s="120" t="s">
        <v>1853</v>
      </c>
      <c r="C260" s="121" t="s">
        <v>3100</v>
      </c>
      <c r="D260" t="s">
        <v>3102</v>
      </c>
      <c r="E260" s="79">
        <v>87.1</v>
      </c>
      <c r="F260" s="122">
        <v>35790.558002296209</v>
      </c>
      <c r="G260" s="122">
        <v>291900.88917910453</v>
      </c>
      <c r="H260" s="122">
        <v>67206.93984357061</v>
      </c>
      <c r="I260" s="123">
        <v>394898.38702497131</v>
      </c>
      <c r="J260" s="122">
        <v>797377.92332950642</v>
      </c>
      <c r="K260" s="122">
        <v>299885.29469632608</v>
      </c>
      <c r="L260" s="122">
        <v>77994.275020091867</v>
      </c>
      <c r="M260" s="123">
        <v>1175257.4930459242</v>
      </c>
      <c r="N260" s="123">
        <v>1570155.8800708954</v>
      </c>
    </row>
    <row r="261" spans="1:14">
      <c r="A261" s="119">
        <v>6335</v>
      </c>
      <c r="B261" s="120" t="s">
        <v>1853</v>
      </c>
      <c r="C261" s="121" t="s">
        <v>3103</v>
      </c>
      <c r="D261" t="s">
        <v>3104</v>
      </c>
      <c r="E261" s="79">
        <v>7.2000000000000028</v>
      </c>
      <c r="F261" s="122">
        <v>9278.0115277777732</v>
      </c>
      <c r="G261" s="122">
        <v>18027.309527777768</v>
      </c>
      <c r="H261" s="122">
        <v>1576.5312499999995</v>
      </c>
      <c r="I261" s="123">
        <v>28881.852305555542</v>
      </c>
      <c r="J261" s="122">
        <v>1954.8987499999994</v>
      </c>
      <c r="K261" s="122">
        <v>6481.1449930555527</v>
      </c>
      <c r="L261" s="122">
        <v>1277.0403611111105</v>
      </c>
      <c r="M261" s="123">
        <v>9713.0841041666627</v>
      </c>
      <c r="N261" s="123">
        <v>38594.936409722206</v>
      </c>
    </row>
    <row r="262" spans="1:14">
      <c r="A262" s="119">
        <v>6616</v>
      </c>
      <c r="B262" s="120" t="s">
        <v>2779</v>
      </c>
      <c r="C262" s="121" t="s">
        <v>3105</v>
      </c>
      <c r="D262" t="s">
        <v>3106</v>
      </c>
      <c r="E262" s="79">
        <v>16.7</v>
      </c>
      <c r="F262" s="122">
        <v>5629309.157365269</v>
      </c>
      <c r="G262" s="122">
        <v>5859420.0809191624</v>
      </c>
      <c r="H262" s="122">
        <v>814030.82562485035</v>
      </c>
      <c r="I262" s="123">
        <v>12302760.063909281</v>
      </c>
      <c r="J262" s="122">
        <v>8870618.5326946098</v>
      </c>
      <c r="K262" s="122">
        <v>5828792.988335331</v>
      </c>
      <c r="L262" s="122">
        <v>804304.17371047894</v>
      </c>
      <c r="M262" s="123">
        <v>15503715.694740418</v>
      </c>
      <c r="N262" s="123">
        <v>27806475.758649696</v>
      </c>
    </row>
    <row r="263" spans="1:14">
      <c r="A263" s="119">
        <v>6510</v>
      </c>
      <c r="B263" s="120" t="s">
        <v>1870</v>
      </c>
      <c r="C263" s="121" t="s">
        <v>3107</v>
      </c>
      <c r="D263" t="s">
        <v>3108</v>
      </c>
      <c r="E263" s="79">
        <v>3.5</v>
      </c>
      <c r="F263" s="122">
        <v>209023.58085714284</v>
      </c>
      <c r="G263" s="122">
        <v>1501066.0660285715</v>
      </c>
      <c r="H263" s="122">
        <v>115486.56499999999</v>
      </c>
      <c r="I263" s="123">
        <v>1825576.2118857144</v>
      </c>
      <c r="J263" s="122">
        <v>472771.74800000002</v>
      </c>
      <c r="K263" s="122">
        <v>1382422.5442428573</v>
      </c>
      <c r="L263" s="122">
        <v>99094.821714285732</v>
      </c>
      <c r="M263" s="123">
        <v>1954289.1139571429</v>
      </c>
      <c r="N263" s="123">
        <v>3779865.3258428574</v>
      </c>
    </row>
    <row r="264" spans="1:14">
      <c r="A264" s="119">
        <v>6510</v>
      </c>
      <c r="B264" s="120" t="s">
        <v>1870</v>
      </c>
      <c r="C264" s="121" t="s">
        <v>3107</v>
      </c>
      <c r="D264" t="s">
        <v>3109</v>
      </c>
      <c r="E264" s="79">
        <v>6.8999999999999995</v>
      </c>
      <c r="F264" s="122">
        <v>44083.495072463767</v>
      </c>
      <c r="G264" s="122">
        <v>301933.70155072463</v>
      </c>
      <c r="H264" s="122">
        <v>24869.965434782611</v>
      </c>
      <c r="I264" s="123">
        <v>370887.162057971</v>
      </c>
      <c r="J264" s="122">
        <v>94250.015362318853</v>
      </c>
      <c r="K264" s="122">
        <v>275873.96424637688</v>
      </c>
      <c r="L264" s="122">
        <v>22448.749565217393</v>
      </c>
      <c r="M264" s="123">
        <v>392572.72917391307</v>
      </c>
      <c r="N264" s="123">
        <v>763459.89123188413</v>
      </c>
    </row>
    <row r="265" spans="1:14">
      <c r="A265" s="119">
        <v>6008</v>
      </c>
      <c r="B265" s="120" t="s">
        <v>1928</v>
      </c>
      <c r="C265" s="121" t="s">
        <v>3110</v>
      </c>
      <c r="D265" t="s">
        <v>3111</v>
      </c>
      <c r="E265" s="79">
        <v>4.9000000000000004</v>
      </c>
      <c r="F265" s="122">
        <v>1630575.8112244897</v>
      </c>
      <c r="G265" s="122">
        <v>4300047.5018673474</v>
      </c>
      <c r="H265" s="122">
        <v>699408.45297959168</v>
      </c>
      <c r="I265" s="123">
        <v>6630031.7660714285</v>
      </c>
      <c r="J265" s="122">
        <v>3802870.7242857143</v>
      </c>
      <c r="K265" s="122">
        <v>2920802.0819693878</v>
      </c>
      <c r="L265" s="122">
        <v>522377.29831632652</v>
      </c>
      <c r="M265" s="123">
        <v>7246050.1045714281</v>
      </c>
      <c r="N265" s="123">
        <v>13876081.870642858</v>
      </c>
    </row>
    <row r="266" spans="1:14">
      <c r="A266" s="119">
        <v>6008</v>
      </c>
      <c r="B266" s="120" t="s">
        <v>1928</v>
      </c>
      <c r="C266" s="121" t="s">
        <v>3110</v>
      </c>
      <c r="D266" t="s">
        <v>3112</v>
      </c>
      <c r="E266" s="79">
        <v>0.69999999999999929</v>
      </c>
      <c r="F266" s="122">
        <v>3671366.7142857183</v>
      </c>
      <c r="G266" s="122">
        <v>3022656.1385714319</v>
      </c>
      <c r="H266" s="122">
        <v>437985.3828571433</v>
      </c>
      <c r="I266" s="123">
        <v>7132008.235714294</v>
      </c>
      <c r="J266" s="122">
        <v>3061489.1657142886</v>
      </c>
      <c r="K266" s="122">
        <v>2727102.5388571457</v>
      </c>
      <c r="L266" s="122">
        <v>459013.12657142902</v>
      </c>
      <c r="M266" s="123">
        <v>6247604.8311428633</v>
      </c>
      <c r="N266" s="123">
        <v>13379613.066857157</v>
      </c>
    </row>
    <row r="267" spans="1:14">
      <c r="A267" s="119">
        <v>6008</v>
      </c>
      <c r="B267" s="120" t="s">
        <v>1928</v>
      </c>
      <c r="C267" s="121" t="s">
        <v>3110</v>
      </c>
      <c r="D267" t="s">
        <v>3113</v>
      </c>
      <c r="E267" s="79">
        <v>3.5999999999999996</v>
      </c>
      <c r="F267" s="122">
        <v>1394653.2344444448</v>
      </c>
      <c r="G267" s="122">
        <v>1752799.9589027779</v>
      </c>
      <c r="H267" s="122">
        <v>214681.36311111113</v>
      </c>
      <c r="I267" s="123">
        <v>3362134.5564583335</v>
      </c>
      <c r="J267" s="122">
        <v>608627.24000000011</v>
      </c>
      <c r="K267" s="122">
        <v>1783777.33075</v>
      </c>
      <c r="L267" s="122">
        <v>227509.9332916667</v>
      </c>
      <c r="M267" s="123">
        <v>2619914.5040416666</v>
      </c>
      <c r="N267" s="123">
        <v>5982049.0604999997</v>
      </c>
    </row>
    <row r="268" spans="1:14">
      <c r="A268" s="119">
        <v>6229</v>
      </c>
      <c r="B268" s="120" t="s">
        <v>2002</v>
      </c>
      <c r="C268" s="121" t="s">
        <v>3114</v>
      </c>
      <c r="D268" t="s">
        <v>3115</v>
      </c>
      <c r="E268" s="79">
        <v>95</v>
      </c>
      <c r="F268" s="122">
        <v>9690775.6668210533</v>
      </c>
      <c r="G268" s="122">
        <v>2915235.6321636834</v>
      </c>
      <c r="H268" s="122">
        <v>440487.50903815794</v>
      </c>
      <c r="I268" s="123">
        <v>13046498.808022894</v>
      </c>
      <c r="J268" s="122">
        <v>466804.24275789462</v>
      </c>
      <c r="K268" s="122">
        <v>1913837.1108736836</v>
      </c>
      <c r="L268" s="122">
        <v>304332.23074210522</v>
      </c>
      <c r="M268" s="123">
        <v>2684973.5843736832</v>
      </c>
      <c r="N268" s="123">
        <v>15731472.392396575</v>
      </c>
    </row>
    <row r="269" spans="1:14">
      <c r="A269" s="119">
        <v>6375</v>
      </c>
      <c r="B269" s="120" t="s">
        <v>1853</v>
      </c>
      <c r="C269" s="121" t="s">
        <v>1849</v>
      </c>
      <c r="D269" t="s">
        <v>3116</v>
      </c>
      <c r="E269" s="79">
        <v>84.1</v>
      </c>
      <c r="F269" s="122">
        <v>10088708.853055887</v>
      </c>
      <c r="G269" s="122">
        <v>7758994.3214149829</v>
      </c>
      <c r="H269" s="122">
        <v>748046.64968877519</v>
      </c>
      <c r="I269" s="123">
        <v>18595749.824159645</v>
      </c>
      <c r="J269" s="122">
        <v>9690711.2885255665</v>
      </c>
      <c r="K269" s="122">
        <v>6854453.0335701555</v>
      </c>
      <c r="L269" s="122">
        <v>718600.62725750299</v>
      </c>
      <c r="M269" s="123">
        <v>17263764.949353226</v>
      </c>
      <c r="N269" s="123">
        <v>35859514.77351287</v>
      </c>
    </row>
    <row r="270" spans="1:14">
      <c r="A270" s="119">
        <v>6375</v>
      </c>
      <c r="B270" s="120" t="s">
        <v>1853</v>
      </c>
      <c r="C270" s="121" t="s">
        <v>1849</v>
      </c>
      <c r="D270" t="s">
        <v>3117</v>
      </c>
      <c r="E270" s="79">
        <v>53.400000000000006</v>
      </c>
      <c r="F270" s="122">
        <v>9639103.1885767803</v>
      </c>
      <c r="G270" s="122">
        <v>7656588.0604157289</v>
      </c>
      <c r="H270" s="122">
        <v>731299.33259073028</v>
      </c>
      <c r="I270" s="123">
        <v>18026990.581583239</v>
      </c>
      <c r="J270" s="122">
        <v>10160196.29829588</v>
      </c>
      <c r="K270" s="122">
        <v>6726917.6956750946</v>
      </c>
      <c r="L270" s="122">
        <v>695571.24992640456</v>
      </c>
      <c r="M270" s="123">
        <v>17582685.243897378</v>
      </c>
      <c r="N270" s="123">
        <v>35609675.825480618</v>
      </c>
    </row>
    <row r="271" spans="1:14">
      <c r="A271" s="119">
        <v>6375</v>
      </c>
      <c r="B271" s="120" t="s">
        <v>1853</v>
      </c>
      <c r="C271" s="121" t="s">
        <v>1849</v>
      </c>
      <c r="D271" t="s">
        <v>3118</v>
      </c>
      <c r="E271" s="79">
        <v>20.5</v>
      </c>
      <c r="F271" s="122">
        <v>10520633.010682927</v>
      </c>
      <c r="G271" s="122">
        <v>8450503.8652853668</v>
      </c>
      <c r="H271" s="122">
        <v>797634.62220780482</v>
      </c>
      <c r="I271" s="123">
        <v>19768771.498176098</v>
      </c>
      <c r="J271" s="122">
        <v>11007374.018926829</v>
      </c>
      <c r="K271" s="122">
        <v>7194417.0002585361</v>
      </c>
      <c r="L271" s="122">
        <v>719226.88633707305</v>
      </c>
      <c r="M271" s="123">
        <v>18921017.90552244</v>
      </c>
      <c r="N271" s="123">
        <v>38689789.403698534</v>
      </c>
    </row>
    <row r="272" spans="1:14">
      <c r="A272" s="119">
        <v>6413</v>
      </c>
      <c r="B272" s="120" t="s">
        <v>1870</v>
      </c>
      <c r="C272" s="121" t="s">
        <v>3119</v>
      </c>
      <c r="D272" t="s">
        <v>3120</v>
      </c>
      <c r="E272" s="79">
        <v>82</v>
      </c>
      <c r="F272" s="122">
        <v>6844913.4644634146</v>
      </c>
      <c r="G272" s="122">
        <v>5763795.8095719507</v>
      </c>
      <c r="H272" s="122">
        <v>963677.55382634152</v>
      </c>
      <c r="I272" s="123">
        <v>13572386.827861708</v>
      </c>
      <c r="J272" s="122">
        <v>10710159.509219512</v>
      </c>
      <c r="K272" s="122">
        <v>6764999.2593762204</v>
      </c>
      <c r="L272" s="122">
        <v>1015858.7173207806</v>
      </c>
      <c r="M272" s="123">
        <v>18491017.485916514</v>
      </c>
      <c r="N272" s="123">
        <v>32063404.313778222</v>
      </c>
    </row>
    <row r="273" spans="1:14">
      <c r="A273" s="119">
        <v>6413</v>
      </c>
      <c r="B273" s="120" t="s">
        <v>1870</v>
      </c>
      <c r="C273" s="121" t="s">
        <v>3119</v>
      </c>
      <c r="D273" t="s">
        <v>3121</v>
      </c>
      <c r="E273" s="79">
        <v>47.900000000000006</v>
      </c>
      <c r="F273" s="122">
        <v>6842984.1031941529</v>
      </c>
      <c r="G273" s="122">
        <v>5762274.985312108</v>
      </c>
      <c r="H273" s="122">
        <v>963193.72833924822</v>
      </c>
      <c r="I273" s="123">
        <v>13568452.81684551</v>
      </c>
      <c r="J273" s="122">
        <v>10709398.989812108</v>
      </c>
      <c r="K273" s="122">
        <v>6764637.2098100204</v>
      </c>
      <c r="L273" s="122">
        <v>1015552.1681358035</v>
      </c>
      <c r="M273" s="123">
        <v>18489588.367757931</v>
      </c>
      <c r="N273" s="123">
        <v>32058041.184603442</v>
      </c>
    </row>
    <row r="274" spans="1:14">
      <c r="A274" s="119">
        <v>6361</v>
      </c>
      <c r="B274" s="120" t="s">
        <v>1853</v>
      </c>
      <c r="C274" s="121" t="s">
        <v>3122</v>
      </c>
      <c r="D274" t="s">
        <v>3123</v>
      </c>
      <c r="E274" s="79">
        <v>9.1</v>
      </c>
      <c r="F274" s="122">
        <v>5459079.8580219783</v>
      </c>
      <c r="G274" s="122">
        <v>3566437.3505989015</v>
      </c>
      <c r="H274" s="122">
        <v>431332.13055494509</v>
      </c>
      <c r="I274" s="123">
        <v>9456849.3391758259</v>
      </c>
      <c r="J274" s="122">
        <v>3883144.6873626378</v>
      </c>
      <c r="K274" s="122">
        <v>2547093.2876043958</v>
      </c>
      <c r="L274" s="122">
        <v>309850.45490934071</v>
      </c>
      <c r="M274" s="123">
        <v>6740088.4298763741</v>
      </c>
      <c r="N274" s="123">
        <v>16196937.7690522</v>
      </c>
    </row>
    <row r="275" spans="1:14">
      <c r="A275" s="119">
        <v>6361</v>
      </c>
      <c r="B275" s="120" t="s">
        <v>1853</v>
      </c>
      <c r="C275" s="121" t="s">
        <v>3122</v>
      </c>
      <c r="D275" t="s">
        <v>3124</v>
      </c>
      <c r="E275" s="79">
        <v>7.4</v>
      </c>
      <c r="F275" s="122">
        <v>7470867.7268918911</v>
      </c>
      <c r="G275" s="122">
        <v>4360987.210608107</v>
      </c>
      <c r="H275" s="122">
        <v>573508.90706756758</v>
      </c>
      <c r="I275" s="123">
        <v>12405363.844567567</v>
      </c>
      <c r="J275" s="122">
        <v>5269429.4050000003</v>
      </c>
      <c r="K275" s="122">
        <v>3355989.1757162162</v>
      </c>
      <c r="L275" s="122">
        <v>428789.42875675677</v>
      </c>
      <c r="M275" s="123">
        <v>9054208.0094729718</v>
      </c>
      <c r="N275" s="123">
        <v>21459571.854040541</v>
      </c>
    </row>
    <row r="276" spans="1:14">
      <c r="A276" s="119">
        <v>6361</v>
      </c>
      <c r="B276" s="120" t="s">
        <v>1853</v>
      </c>
      <c r="C276" s="121" t="s">
        <v>3122</v>
      </c>
      <c r="D276" t="s">
        <v>3125</v>
      </c>
      <c r="E276" s="79">
        <v>83.1</v>
      </c>
      <c r="F276" s="122">
        <v>7349260.4746089047</v>
      </c>
      <c r="G276" s="122">
        <v>3782556.7364542712</v>
      </c>
      <c r="H276" s="122">
        <v>470533.93812725629</v>
      </c>
      <c r="I276" s="123">
        <v>11602351.149190433</v>
      </c>
      <c r="J276" s="122">
        <v>3817296.0307340552</v>
      </c>
      <c r="K276" s="122">
        <v>2787437.3352858</v>
      </c>
      <c r="L276" s="122">
        <v>343066.81576865219</v>
      </c>
      <c r="M276" s="123">
        <v>6947800.1817885078</v>
      </c>
      <c r="N276" s="123">
        <v>18550151.330978941</v>
      </c>
    </row>
    <row r="277" spans="1:14">
      <c r="A277" s="119">
        <v>4043</v>
      </c>
      <c r="B277" s="120" t="s">
        <v>1853</v>
      </c>
      <c r="C277" s="121" t="s">
        <v>3126</v>
      </c>
      <c r="D277" t="s">
        <v>3127</v>
      </c>
      <c r="E277" s="79">
        <v>2.1999999999999997</v>
      </c>
      <c r="F277" s="122">
        <v>1381463.4081818182</v>
      </c>
      <c r="G277" s="122">
        <v>351607.94009090913</v>
      </c>
      <c r="H277" s="122">
        <v>19992.024034090911</v>
      </c>
      <c r="I277" s="123">
        <v>1753063.3723068181</v>
      </c>
      <c r="J277" s="122">
        <v>26687.790000000005</v>
      </c>
      <c r="K277" s="122">
        <v>410208.02200000006</v>
      </c>
      <c r="L277" s="122">
        <v>20616.406647727275</v>
      </c>
      <c r="M277" s="123">
        <v>457512.21864772739</v>
      </c>
      <c r="N277" s="123">
        <v>2210575.5909545454</v>
      </c>
    </row>
    <row r="278" spans="1:14">
      <c r="A278" s="119">
        <v>6230</v>
      </c>
      <c r="B278" s="120" t="s">
        <v>2002</v>
      </c>
      <c r="C278" s="121" t="s">
        <v>3128</v>
      </c>
      <c r="D278" t="s">
        <v>3129</v>
      </c>
      <c r="E278" s="79">
        <v>9.5</v>
      </c>
      <c r="F278" s="122">
        <v>314131.30810526316</v>
      </c>
      <c r="G278" s="122">
        <v>102864.38185789472</v>
      </c>
      <c r="H278" s="122">
        <v>14990.116894736842</v>
      </c>
      <c r="I278" s="123">
        <v>431985.80685789476</v>
      </c>
      <c r="J278" s="122">
        <v>119054.84252631578</v>
      </c>
      <c r="K278" s="122">
        <v>172737.1310368421</v>
      </c>
      <c r="L278" s="122">
        <v>26341.123315789475</v>
      </c>
      <c r="M278" s="123">
        <v>318133.0968789474</v>
      </c>
      <c r="N278" s="123">
        <v>750118.9037368421</v>
      </c>
    </row>
    <row r="279" spans="1:14">
      <c r="A279" s="119">
        <v>6513</v>
      </c>
      <c r="B279" s="120" t="s">
        <v>2779</v>
      </c>
      <c r="C279" s="121" t="s">
        <v>3130</v>
      </c>
      <c r="D279" t="s">
        <v>3131</v>
      </c>
      <c r="E279" s="79">
        <v>23.1</v>
      </c>
      <c r="F279" s="122">
        <v>5284259.0252813855</v>
      </c>
      <c r="G279" s="122">
        <v>5695862.6125930734</v>
      </c>
      <c r="H279" s="122">
        <v>780166.41193160159</v>
      </c>
      <c r="I279" s="123">
        <v>11760288.049806062</v>
      </c>
      <c r="J279" s="122">
        <v>8861700.4691774882</v>
      </c>
      <c r="K279" s="122">
        <v>5677333.112506493</v>
      </c>
      <c r="L279" s="122">
        <v>771159.76098484837</v>
      </c>
      <c r="M279" s="123">
        <v>15310193.342668829</v>
      </c>
      <c r="N279" s="123">
        <v>27070481.39247489</v>
      </c>
    </row>
    <row r="280" spans="1:14">
      <c r="A280" s="119">
        <v>6513</v>
      </c>
      <c r="B280" s="120" t="s">
        <v>1870</v>
      </c>
      <c r="C280" s="121" t="s">
        <v>3130</v>
      </c>
      <c r="D280" t="s">
        <v>3132</v>
      </c>
      <c r="E280" s="79">
        <v>61.2</v>
      </c>
      <c r="F280" s="122">
        <v>5364087.1524836607</v>
      </c>
      <c r="G280" s="122">
        <v>5802948.7841111105</v>
      </c>
      <c r="H280" s="122">
        <v>805382.30241748365</v>
      </c>
      <c r="I280" s="123">
        <v>11972418.239012256</v>
      </c>
      <c r="J280" s="122">
        <v>9029290.5307026133</v>
      </c>
      <c r="K280" s="122">
        <v>5786808.1919599669</v>
      </c>
      <c r="L280" s="122">
        <v>792506.334953023</v>
      </c>
      <c r="M280" s="123">
        <v>15608605.057615604</v>
      </c>
      <c r="N280" s="123">
        <v>27581023.296627861</v>
      </c>
    </row>
    <row r="281" spans="1:14">
      <c r="A281" s="119">
        <v>6513</v>
      </c>
      <c r="B281" s="120" t="s">
        <v>1870</v>
      </c>
      <c r="C281" s="121" t="s">
        <v>3130</v>
      </c>
      <c r="D281" t="s">
        <v>3133</v>
      </c>
      <c r="E281" s="79">
        <v>20.599999999999994</v>
      </c>
      <c r="F281" s="122">
        <v>5261128.7883009724</v>
      </c>
      <c r="G281" s="122">
        <v>5724242.9339223318</v>
      </c>
      <c r="H281" s="122">
        <v>800080.63780194183</v>
      </c>
      <c r="I281" s="123">
        <v>11785452.360025248</v>
      </c>
      <c r="J281" s="122">
        <v>8969664.7487378661</v>
      </c>
      <c r="K281" s="122">
        <v>5732835.9665898075</v>
      </c>
      <c r="L281" s="122">
        <v>797929.45854368946</v>
      </c>
      <c r="M281" s="123">
        <v>15500430.173871364</v>
      </c>
      <c r="N281" s="123">
        <v>27285882.533896614</v>
      </c>
    </row>
    <row r="282" spans="1:14">
      <c r="A282" s="119">
        <v>6104</v>
      </c>
      <c r="B282" s="120" t="s">
        <v>1928</v>
      </c>
      <c r="C282" s="121" t="s">
        <v>2079</v>
      </c>
      <c r="D282" t="s">
        <v>3134</v>
      </c>
      <c r="E282" s="79">
        <v>144.80000000000001</v>
      </c>
      <c r="F282" s="122">
        <v>27373545.242341157</v>
      </c>
      <c r="G282" s="122">
        <v>5284820.3826695448</v>
      </c>
      <c r="H282" s="122">
        <v>1199684.577762431</v>
      </c>
      <c r="I282" s="123">
        <v>33858050.202773131</v>
      </c>
      <c r="J282" s="122">
        <v>322499.61314226512</v>
      </c>
      <c r="K282" s="122">
        <v>5312489.2381709246</v>
      </c>
      <c r="L282" s="122">
        <v>1182086.8261671269</v>
      </c>
      <c r="M282" s="123">
        <v>6817075.6774803167</v>
      </c>
      <c r="N282" s="123">
        <v>40675125.880253449</v>
      </c>
    </row>
    <row r="283" spans="1:14">
      <c r="A283" s="119">
        <v>6508</v>
      </c>
      <c r="B283" s="120" t="s">
        <v>1870</v>
      </c>
      <c r="C283" s="121" t="s">
        <v>3135</v>
      </c>
      <c r="D283" t="s">
        <v>3136</v>
      </c>
      <c r="E283" s="79">
        <v>11.7</v>
      </c>
      <c r="F283" s="122">
        <v>3706690.6322222226</v>
      </c>
      <c r="G283" s="122">
        <v>5376930.4928632481</v>
      </c>
      <c r="H283" s="122">
        <v>575450.72298076935</v>
      </c>
      <c r="I283" s="123">
        <v>9659071.8480662387</v>
      </c>
      <c r="J283" s="122">
        <v>4111776.8717948725</v>
      </c>
      <c r="K283" s="122">
        <v>4821503.4938675212</v>
      </c>
      <c r="L283" s="122">
        <v>501601.35570512817</v>
      </c>
      <c r="M283" s="123">
        <v>9434881.7213675231</v>
      </c>
      <c r="N283" s="123">
        <v>19093953.56943376</v>
      </c>
    </row>
    <row r="284" spans="1:14">
      <c r="A284" s="119">
        <v>6508</v>
      </c>
      <c r="B284" s="120" t="s">
        <v>1870</v>
      </c>
      <c r="C284" s="121" t="s">
        <v>3135</v>
      </c>
      <c r="D284" t="s">
        <v>3137</v>
      </c>
      <c r="E284" s="79">
        <v>51.900000000000006</v>
      </c>
      <c r="F284" s="122">
        <v>3716557.4588246625</v>
      </c>
      <c r="G284" s="122">
        <v>5400774.1096531786</v>
      </c>
      <c r="H284" s="122">
        <v>574434.81377793814</v>
      </c>
      <c r="I284" s="123">
        <v>9691766.3822557814</v>
      </c>
      <c r="J284" s="122">
        <v>4118130.4946820806</v>
      </c>
      <c r="K284" s="122">
        <v>4837080.5873025041</v>
      </c>
      <c r="L284" s="122">
        <v>501804.13366184966</v>
      </c>
      <c r="M284" s="123">
        <v>9457015.2156464346</v>
      </c>
      <c r="N284" s="123">
        <v>19148781.597902216</v>
      </c>
    </row>
    <row r="285" spans="1:14">
      <c r="A285" s="119">
        <v>6508</v>
      </c>
      <c r="B285" s="120" t="s">
        <v>1870</v>
      </c>
      <c r="C285" s="121" t="s">
        <v>3135</v>
      </c>
      <c r="D285" t="s">
        <v>3138</v>
      </c>
      <c r="E285" s="79">
        <v>48.1</v>
      </c>
      <c r="F285" s="122">
        <v>3715501.5281912684</v>
      </c>
      <c r="G285" s="122">
        <v>5352175.3333451143</v>
      </c>
      <c r="H285" s="122">
        <v>559270.72925779643</v>
      </c>
      <c r="I285" s="123">
        <v>9626947.5907941796</v>
      </c>
      <c r="J285" s="122">
        <v>4051807.0812266115</v>
      </c>
      <c r="K285" s="122">
        <v>4809078.9596943874</v>
      </c>
      <c r="L285" s="122">
        <v>484228.4736943866</v>
      </c>
      <c r="M285" s="123">
        <v>9345114.5146153849</v>
      </c>
      <c r="N285" s="123">
        <v>18972062.105409566</v>
      </c>
    </row>
    <row r="286" spans="1:14">
      <c r="A286" s="119">
        <v>6508</v>
      </c>
      <c r="B286" s="120" t="s">
        <v>1870</v>
      </c>
      <c r="C286" s="121" t="s">
        <v>3135</v>
      </c>
      <c r="D286" t="s">
        <v>3139</v>
      </c>
      <c r="E286" s="79">
        <v>9.3999999999999915</v>
      </c>
      <c r="F286" s="122">
        <v>1957846.7410638316</v>
      </c>
      <c r="G286" s="122">
        <v>2821689.4194361726</v>
      </c>
      <c r="H286" s="122">
        <v>363774.07730851095</v>
      </c>
      <c r="I286" s="123">
        <v>5143310.2378085162</v>
      </c>
      <c r="J286" s="122">
        <v>2102457.9656382999</v>
      </c>
      <c r="K286" s="122">
        <v>2623326.482276598</v>
      </c>
      <c r="L286" s="122">
        <v>346535.85804255353</v>
      </c>
      <c r="M286" s="123">
        <v>5072320.3059574505</v>
      </c>
      <c r="N286" s="123">
        <v>10215630.543765968</v>
      </c>
    </row>
    <row r="287" spans="1:14">
      <c r="A287" s="119">
        <v>6313</v>
      </c>
      <c r="B287" s="120" t="s">
        <v>1831</v>
      </c>
      <c r="C287" s="121" t="s">
        <v>3140</v>
      </c>
      <c r="D287" t="s">
        <v>3141</v>
      </c>
      <c r="E287" s="79">
        <v>21</v>
      </c>
      <c r="F287" s="122">
        <v>153005.53923809523</v>
      </c>
      <c r="G287" s="122">
        <v>141294.5746047619</v>
      </c>
      <c r="H287" s="122">
        <v>29715.395252380953</v>
      </c>
      <c r="I287" s="123">
        <v>324015.50909523806</v>
      </c>
      <c r="J287" s="122">
        <v>90054.381619047621</v>
      </c>
      <c r="K287" s="122">
        <v>66733.720664285705</v>
      </c>
      <c r="L287" s="122">
        <v>26859.297695238092</v>
      </c>
      <c r="M287" s="123">
        <v>183647.39997857143</v>
      </c>
      <c r="N287" s="123">
        <v>507662.90907380951</v>
      </c>
    </row>
    <row r="288" spans="1:14">
      <c r="A288" s="119">
        <v>6352</v>
      </c>
      <c r="B288" s="120" t="s">
        <v>1853</v>
      </c>
      <c r="C288" s="121" t="s">
        <v>3142</v>
      </c>
      <c r="D288" t="s">
        <v>3143</v>
      </c>
      <c r="E288" s="79">
        <v>73.8</v>
      </c>
      <c r="F288" s="122">
        <v>3955884.6354878047</v>
      </c>
      <c r="G288" s="122">
        <v>3313598.010073171</v>
      </c>
      <c r="H288" s="122">
        <v>434759.5538451898</v>
      </c>
      <c r="I288" s="123">
        <v>7704242.1994061656</v>
      </c>
      <c r="J288" s="122">
        <v>4884260.0447967472</v>
      </c>
      <c r="K288" s="122">
        <v>3178408.2143224934</v>
      </c>
      <c r="L288" s="122">
        <v>385315.69837093505</v>
      </c>
      <c r="M288" s="123">
        <v>8447983.957490176</v>
      </c>
      <c r="N288" s="123">
        <v>16152226.156896343</v>
      </c>
    </row>
    <row r="289" spans="1:14">
      <c r="A289" s="119">
        <v>6352</v>
      </c>
      <c r="B289" s="120" t="s">
        <v>1853</v>
      </c>
      <c r="C289" s="121" t="s">
        <v>3142</v>
      </c>
      <c r="D289" t="s">
        <v>3144</v>
      </c>
      <c r="E289" s="79">
        <v>40</v>
      </c>
      <c r="F289" s="122">
        <v>5408299.50495</v>
      </c>
      <c r="G289" s="122">
        <v>3666992.6657224996</v>
      </c>
      <c r="H289" s="122">
        <v>484804.47156312491</v>
      </c>
      <c r="I289" s="123">
        <v>9560096.6422356255</v>
      </c>
      <c r="J289" s="122">
        <v>4684126.369500001</v>
      </c>
      <c r="K289" s="122">
        <v>3519743.0796900005</v>
      </c>
      <c r="L289" s="122">
        <v>440059.15126625</v>
      </c>
      <c r="M289" s="123">
        <v>8643928.6004562508</v>
      </c>
      <c r="N289" s="123">
        <v>18204025.242691875</v>
      </c>
    </row>
    <row r="290" spans="1:14" ht="15" thickBot="1">
      <c r="A290" s="119">
        <v>6374</v>
      </c>
      <c r="B290" s="120" t="s">
        <v>1853</v>
      </c>
      <c r="C290" s="121" t="s">
        <v>3145</v>
      </c>
      <c r="D290" t="s">
        <v>3146</v>
      </c>
      <c r="E290" s="79">
        <v>14</v>
      </c>
      <c r="F290" s="122">
        <v>4487533.1595000001</v>
      </c>
      <c r="G290" s="122">
        <v>1268576.969292857</v>
      </c>
      <c r="H290" s="122">
        <v>383369.05738678575</v>
      </c>
      <c r="I290" s="123">
        <v>6139479.1861796426</v>
      </c>
      <c r="J290" s="122">
        <v>39614.942857142851</v>
      </c>
      <c r="K290" s="122">
        <v>55215.792750000001</v>
      </c>
      <c r="L290" s="122">
        <v>353194.83595535718</v>
      </c>
      <c r="M290" s="123">
        <v>448025.57156250003</v>
      </c>
      <c r="N290" s="123">
        <v>6587504.7577421423</v>
      </c>
    </row>
    <row r="291" spans="1:14">
      <c r="A291" s="124"/>
      <c r="B291" s="125"/>
      <c r="C291" s="125"/>
      <c r="D291" s="125"/>
      <c r="E291" s="126"/>
      <c r="F291" s="47"/>
      <c r="G291" s="48"/>
      <c r="H291" s="48"/>
      <c r="I291" s="49"/>
      <c r="J291" s="47"/>
      <c r="K291" s="48"/>
      <c r="L291" s="48"/>
      <c r="M291" s="49"/>
      <c r="N291" s="13"/>
    </row>
    <row r="292" spans="1:14">
      <c r="A292" s="127"/>
      <c r="B292" t="s">
        <v>3157</v>
      </c>
      <c r="E292" s="79">
        <v>7794.5000000000027</v>
      </c>
      <c r="F292" s="52">
        <v>9551930.8831899334</v>
      </c>
      <c r="G292" s="53">
        <v>5302562.865716693</v>
      </c>
      <c r="H292" s="53">
        <v>820206.54866469384</v>
      </c>
      <c r="I292" s="54">
        <v>15674700.297571316</v>
      </c>
      <c r="J292" s="52">
        <v>6793066.1882400373</v>
      </c>
      <c r="K292" s="53">
        <v>5527847.6501620179</v>
      </c>
      <c r="L292" s="53">
        <v>838020.88388735778</v>
      </c>
      <c r="M292" s="54">
        <v>13158934.722289415</v>
      </c>
      <c r="N292" s="55">
        <v>28833635.019860737</v>
      </c>
    </row>
    <row r="293" spans="1:14" ht="15" thickBot="1">
      <c r="A293" s="128"/>
      <c r="B293" s="129"/>
      <c r="C293" s="129"/>
      <c r="D293" s="129"/>
      <c r="E293" s="60"/>
      <c r="F293" s="61"/>
      <c r="G293" s="62"/>
      <c r="H293" s="62"/>
      <c r="I293" s="63"/>
      <c r="J293" s="61"/>
      <c r="K293" s="62"/>
      <c r="L293" s="62"/>
      <c r="M293" s="63"/>
      <c r="N293" s="64"/>
    </row>
    <row r="294" spans="1:14" ht="15" thickBot="1">
      <c r="E294" s="130"/>
    </row>
    <row r="295" spans="1:14" ht="21" thickBot="1">
      <c r="D295" s="131" t="s">
        <v>3158</v>
      </c>
      <c r="E295" s="132"/>
      <c r="F295" s="133"/>
      <c r="G295" s="133"/>
      <c r="H295" s="133"/>
      <c r="I295" s="133"/>
      <c r="J295" s="133"/>
      <c r="K295" s="133"/>
      <c r="L295" s="133"/>
      <c r="M295" s="133"/>
      <c r="N295" s="134"/>
    </row>
    <row r="296" spans="1:14" ht="21" thickBot="1">
      <c r="D296" s="13"/>
      <c r="E296" s="71"/>
      <c r="F296" s="135" t="s">
        <v>3156</v>
      </c>
      <c r="G296" s="136"/>
      <c r="H296" s="136"/>
      <c r="I296" s="136"/>
      <c r="J296" s="136"/>
      <c r="K296" s="136"/>
      <c r="L296" s="136"/>
      <c r="M296" s="136"/>
      <c r="N296" s="137"/>
    </row>
    <row r="297" spans="1:14" ht="15.95" thickBot="1">
      <c r="D297" s="17" t="s">
        <v>2755</v>
      </c>
      <c r="E297" s="72" t="s">
        <v>2770</v>
      </c>
      <c r="F297" s="19" t="s">
        <v>2771</v>
      </c>
      <c r="G297" s="20"/>
      <c r="H297" s="20"/>
      <c r="I297" s="21"/>
      <c r="J297" s="19" t="s">
        <v>2772</v>
      </c>
      <c r="K297" s="20"/>
      <c r="L297" s="20"/>
      <c r="M297" s="21"/>
      <c r="N297" s="22" t="s">
        <v>2773</v>
      </c>
    </row>
    <row r="298" spans="1:14" ht="15.95" thickBot="1">
      <c r="D298" s="64"/>
      <c r="E298" s="77" t="s">
        <v>2775</v>
      </c>
      <c r="F298" s="78" t="s">
        <v>2776</v>
      </c>
      <c r="G298" s="27" t="s">
        <v>2777</v>
      </c>
      <c r="H298" s="27" t="s">
        <v>2778</v>
      </c>
      <c r="I298" s="28" t="s">
        <v>2707</v>
      </c>
      <c r="J298" s="29" t="s">
        <v>2776</v>
      </c>
      <c r="K298" s="29" t="s">
        <v>2777</v>
      </c>
      <c r="L298" s="29" t="s">
        <v>2778</v>
      </c>
      <c r="M298" s="29" t="s">
        <v>2707</v>
      </c>
      <c r="N298" s="30" t="s">
        <v>2707</v>
      </c>
    </row>
    <row r="299" spans="1:14">
      <c r="D299" s="119" t="s">
        <v>1928</v>
      </c>
      <c r="E299" s="79">
        <v>1253.3000000000002</v>
      </c>
      <c r="F299" s="138">
        <v>25569283.211381152</v>
      </c>
      <c r="G299" s="139">
        <v>8370647.3776887022</v>
      </c>
      <c r="H299" s="139">
        <v>1511940.6264950729</v>
      </c>
      <c r="I299" s="140">
        <v>35451871.215564921</v>
      </c>
      <c r="J299" s="138">
        <v>4308393.6658549421</v>
      </c>
      <c r="K299" s="139">
        <v>8573071.9788477197</v>
      </c>
      <c r="L299" s="139">
        <v>1560149.2677682117</v>
      </c>
      <c r="M299" s="140">
        <v>14441614.912470879</v>
      </c>
      <c r="N299" s="123">
        <v>49893486.128035799</v>
      </c>
    </row>
    <row r="300" spans="1:14">
      <c r="D300" s="119" t="s">
        <v>2868</v>
      </c>
      <c r="E300" s="79">
        <v>49.599999999999994</v>
      </c>
      <c r="F300" s="141">
        <v>14048612.909193544</v>
      </c>
      <c r="G300" s="122">
        <v>5038011.6454919381</v>
      </c>
      <c r="H300" s="122">
        <v>849739.12771169376</v>
      </c>
      <c r="I300" s="123">
        <v>19936363.682397176</v>
      </c>
      <c r="J300" s="141">
        <v>1905016.4530645167</v>
      </c>
      <c r="K300" s="122">
        <v>4905657.2011260083</v>
      </c>
      <c r="L300" s="122">
        <v>824630.77927167353</v>
      </c>
      <c r="M300" s="123">
        <v>7635304.4334621988</v>
      </c>
      <c r="N300" s="123">
        <v>27571668.115859374</v>
      </c>
    </row>
    <row r="301" spans="1:14">
      <c r="D301" s="119" t="s">
        <v>2002</v>
      </c>
      <c r="E301" s="79">
        <v>1240.4000000000003</v>
      </c>
      <c r="F301" s="141">
        <v>10895433.986006131</v>
      </c>
      <c r="G301" s="122">
        <v>6185701.5770342201</v>
      </c>
      <c r="H301" s="122">
        <v>938820.72389389691</v>
      </c>
      <c r="I301" s="123">
        <v>18019956.286934245</v>
      </c>
      <c r="J301" s="141">
        <v>7609806.6834118022</v>
      </c>
      <c r="K301" s="122">
        <v>6339346.6234120429</v>
      </c>
      <c r="L301" s="122">
        <v>964999.64246905816</v>
      </c>
      <c r="M301" s="123">
        <v>14914152.9492929</v>
      </c>
      <c r="N301" s="123">
        <v>32934109.236227147</v>
      </c>
    </row>
    <row r="302" spans="1:14">
      <c r="D302" s="119" t="s">
        <v>2987</v>
      </c>
      <c r="E302" s="79">
        <v>35.500000000000014</v>
      </c>
      <c r="F302" s="141">
        <v>33442556.882197171</v>
      </c>
      <c r="G302" s="122">
        <v>17252213.650890134</v>
      </c>
      <c r="H302" s="122">
        <v>2191608.4738187315</v>
      </c>
      <c r="I302" s="123">
        <v>52886379.00690604</v>
      </c>
      <c r="J302" s="141">
        <v>17615641.115915485</v>
      </c>
      <c r="K302" s="122">
        <v>18275318.41250281</v>
      </c>
      <c r="L302" s="122">
        <v>2309103.8343795766</v>
      </c>
      <c r="M302" s="123">
        <v>38200063.362797879</v>
      </c>
      <c r="N302" s="123">
        <v>91086442.369703919</v>
      </c>
    </row>
    <row r="303" spans="1:14">
      <c r="D303" s="119" t="s">
        <v>1853</v>
      </c>
      <c r="E303" s="79">
        <v>1752.2999999999995</v>
      </c>
      <c r="F303" s="141">
        <v>7221630.8058660068</v>
      </c>
      <c r="G303" s="122">
        <v>4477939.5627815463</v>
      </c>
      <c r="H303" s="122">
        <v>576156.87037675187</v>
      </c>
      <c r="I303" s="123">
        <v>12275727.239024298</v>
      </c>
      <c r="J303" s="141">
        <v>5708879.5310700256</v>
      </c>
      <c r="K303" s="122">
        <v>4403936.2426629299</v>
      </c>
      <c r="L303" s="122">
        <v>566143.34532752528</v>
      </c>
      <c r="M303" s="123">
        <v>10678959.119060475</v>
      </c>
      <c r="N303" s="123">
        <v>22954686.358084776</v>
      </c>
    </row>
    <row r="304" spans="1:14">
      <c r="D304" s="119" t="s">
        <v>2806</v>
      </c>
      <c r="E304" s="79">
        <v>210.1</v>
      </c>
      <c r="F304" s="141">
        <v>3321920.3598619704</v>
      </c>
      <c r="G304" s="122">
        <v>2970201.2531941929</v>
      </c>
      <c r="H304" s="122">
        <v>488457.55772294389</v>
      </c>
      <c r="I304" s="123">
        <v>6780579.1707791071</v>
      </c>
      <c r="J304" s="141">
        <v>6335213.7653926713</v>
      </c>
      <c r="K304" s="122">
        <v>3354464.0042574964</v>
      </c>
      <c r="L304" s="122">
        <v>513342.47259331518</v>
      </c>
      <c r="M304" s="123">
        <v>10203020.242243482</v>
      </c>
      <c r="N304" s="123">
        <v>16983599.413022589</v>
      </c>
    </row>
    <row r="305" spans="4:14">
      <c r="D305" s="119" t="s">
        <v>1831</v>
      </c>
      <c r="E305" s="79">
        <v>835.3</v>
      </c>
      <c r="F305" s="141">
        <v>2636393.8046498257</v>
      </c>
      <c r="G305" s="122">
        <v>3161983.7912031007</v>
      </c>
      <c r="H305" s="122">
        <v>473314.59050041059</v>
      </c>
      <c r="I305" s="123">
        <v>6271692.186353337</v>
      </c>
      <c r="J305" s="141">
        <v>7245876.6754339775</v>
      </c>
      <c r="K305" s="122">
        <v>3439843.9380950555</v>
      </c>
      <c r="L305" s="122">
        <v>484696.71576202975</v>
      </c>
      <c r="M305" s="123">
        <v>11170417.329291064</v>
      </c>
      <c r="N305" s="123">
        <v>17442109.515644401</v>
      </c>
    </row>
    <row r="306" spans="4:14">
      <c r="D306" s="119" t="s">
        <v>2937</v>
      </c>
      <c r="E306" s="79">
        <v>90.1</v>
      </c>
      <c r="F306" s="141">
        <v>7142401.200077693</v>
      </c>
      <c r="G306" s="122">
        <v>7743091.6085793581</v>
      </c>
      <c r="H306" s="122">
        <v>1121018.0200395114</v>
      </c>
      <c r="I306" s="123">
        <v>16006510.828696564</v>
      </c>
      <c r="J306" s="141">
        <v>17623063.836514983</v>
      </c>
      <c r="K306" s="122">
        <v>8754428.9403429516</v>
      </c>
      <c r="L306" s="122">
        <v>1174933.4889988904</v>
      </c>
      <c r="M306" s="123">
        <v>27552426.265856821</v>
      </c>
      <c r="N306" s="123">
        <v>43558937.094553389</v>
      </c>
    </row>
    <row r="307" spans="4:14">
      <c r="D307" s="119" t="s">
        <v>1870</v>
      </c>
      <c r="E307" s="79">
        <v>1991.3000000000004</v>
      </c>
      <c r="F307" s="141">
        <v>5137975.6341008376</v>
      </c>
      <c r="G307" s="122">
        <v>5006621.224792622</v>
      </c>
      <c r="H307" s="122">
        <v>762894.02416577621</v>
      </c>
      <c r="I307" s="123">
        <v>10907490.883059239</v>
      </c>
      <c r="J307" s="141">
        <v>8917403.00323507</v>
      </c>
      <c r="K307" s="122">
        <v>5516612.6397902621</v>
      </c>
      <c r="L307" s="122">
        <v>785389.31478881661</v>
      </c>
      <c r="M307" s="123">
        <v>15219404.957814146</v>
      </c>
      <c r="N307" s="123">
        <v>26126895.840873387</v>
      </c>
    </row>
    <row r="308" spans="4:14">
      <c r="D308" s="119" t="s">
        <v>2779</v>
      </c>
      <c r="E308" s="79">
        <v>336.60000000000008</v>
      </c>
      <c r="F308" s="141">
        <v>1718550.8980451568</v>
      </c>
      <c r="G308" s="122">
        <v>1561305.5887777775</v>
      </c>
      <c r="H308" s="122">
        <v>255447.06089422159</v>
      </c>
      <c r="I308" s="123">
        <v>3535303.5477171554</v>
      </c>
      <c r="J308" s="141">
        <v>1953520.1533719543</v>
      </c>
      <c r="K308" s="122">
        <v>1537910.4030160427</v>
      </c>
      <c r="L308" s="122">
        <v>244140.28161636952</v>
      </c>
      <c r="M308" s="123">
        <v>3735570.838004366</v>
      </c>
      <c r="N308" s="123">
        <v>7270874.3857215215</v>
      </c>
    </row>
    <row r="309" spans="4:14" ht="15" thickBot="1">
      <c r="D309" s="119" t="s">
        <v>3149</v>
      </c>
      <c r="E309" s="79">
        <v>0</v>
      </c>
      <c r="F309" s="141"/>
      <c r="G309" s="122"/>
      <c r="H309" s="122"/>
      <c r="I309" s="123"/>
      <c r="J309" s="141"/>
      <c r="K309" s="122"/>
      <c r="L309" s="122"/>
      <c r="M309" s="123"/>
      <c r="N309" s="123"/>
    </row>
    <row r="310" spans="4:14">
      <c r="D310" s="13"/>
      <c r="E310" s="126"/>
      <c r="F310" s="47"/>
      <c r="G310" s="48"/>
      <c r="H310" s="48"/>
      <c r="I310" s="49"/>
      <c r="J310" s="47"/>
      <c r="K310" s="48"/>
      <c r="L310" s="48"/>
      <c r="M310" s="49"/>
      <c r="N310" s="13"/>
    </row>
    <row r="311" spans="4:14">
      <c r="D311" s="85" t="s">
        <v>3150</v>
      </c>
      <c r="E311" s="79">
        <v>7794.5000000000009</v>
      </c>
      <c r="F311" s="52">
        <v>9551930.8831899427</v>
      </c>
      <c r="G311" s="53">
        <v>5302562.8657166976</v>
      </c>
      <c r="H311" s="53">
        <v>820206.54866469442</v>
      </c>
      <c r="I311" s="54">
        <v>15674700.297571329</v>
      </c>
      <c r="J311" s="52">
        <v>6793066.1882400401</v>
      </c>
      <c r="K311" s="53">
        <v>5527847.650162017</v>
      </c>
      <c r="L311" s="53">
        <v>838020.88388735801</v>
      </c>
      <c r="M311" s="54">
        <v>13158934.722289413</v>
      </c>
      <c r="N311" s="55">
        <v>28833635.019860744</v>
      </c>
    </row>
    <row r="312" spans="4:14" ht="15" thickBot="1">
      <c r="D312" s="64"/>
      <c r="E312" s="60"/>
      <c r="F312" s="61"/>
      <c r="G312" s="62"/>
      <c r="H312" s="62"/>
      <c r="I312" s="63"/>
      <c r="J312" s="61"/>
      <c r="K312" s="62"/>
      <c r="L312" s="62"/>
      <c r="M312" s="63"/>
      <c r="N312" s="64"/>
    </row>
    <row r="313" spans="4:14" ht="15" thickBot="1"/>
    <row r="314" spans="4:14" ht="21" thickBot="1">
      <c r="D314" s="142" t="s">
        <v>3151</v>
      </c>
      <c r="E314" s="143"/>
      <c r="F314" s="144"/>
      <c r="G314" s="144"/>
      <c r="H314" s="144"/>
      <c r="I314" s="144"/>
      <c r="J314" s="144"/>
      <c r="K314" s="144"/>
      <c r="L314" s="144"/>
      <c r="M314" s="144"/>
      <c r="N314" s="145"/>
    </row>
    <row r="315" spans="4:14" ht="21" thickBot="1">
      <c r="D315" s="11"/>
      <c r="E315" s="90"/>
      <c r="F315" s="146" t="s">
        <v>3156</v>
      </c>
      <c r="G315" s="147"/>
      <c r="H315" s="147"/>
      <c r="I315" s="147"/>
      <c r="J315" s="147"/>
      <c r="K315" s="147"/>
      <c r="L315" s="147"/>
      <c r="M315" s="147"/>
      <c r="N315" s="148"/>
    </row>
    <row r="316" spans="4:14" ht="15.95" thickBot="1">
      <c r="D316" s="31" t="s">
        <v>2769</v>
      </c>
      <c r="E316" s="91" t="s">
        <v>2770</v>
      </c>
      <c r="F316" s="149" t="s">
        <v>2771</v>
      </c>
      <c r="G316" s="150"/>
      <c r="H316" s="150"/>
      <c r="I316" s="151"/>
      <c r="J316" s="149" t="s">
        <v>2772</v>
      </c>
      <c r="K316" s="150"/>
      <c r="L316" s="150"/>
      <c r="M316" s="151"/>
      <c r="N316" s="152" t="s">
        <v>2773</v>
      </c>
    </row>
    <row r="317" spans="4:14" ht="15.95" thickBot="1">
      <c r="D317" s="96"/>
      <c r="E317" s="91" t="s">
        <v>2775</v>
      </c>
      <c r="F317" s="153" t="s">
        <v>2776</v>
      </c>
      <c r="G317" s="154" t="s">
        <v>2777</v>
      </c>
      <c r="H317" s="154" t="s">
        <v>2778</v>
      </c>
      <c r="I317" s="155" t="s">
        <v>2707</v>
      </c>
      <c r="J317" s="156" t="s">
        <v>2776</v>
      </c>
      <c r="K317" s="156" t="s">
        <v>2777</v>
      </c>
      <c r="L317" s="156" t="s">
        <v>2778</v>
      </c>
      <c r="M317" s="156" t="s">
        <v>2707</v>
      </c>
      <c r="N317" s="157" t="s">
        <v>2707</v>
      </c>
    </row>
    <row r="318" spans="4:14" ht="15.6">
      <c r="D318" s="102" t="s">
        <v>2780</v>
      </c>
      <c r="E318" s="158">
        <v>7607.4000000000024</v>
      </c>
      <c r="F318" s="138">
        <v>9753169.0586410519</v>
      </c>
      <c r="G318" s="139">
        <v>5409469.9843507539</v>
      </c>
      <c r="H318" s="139">
        <v>835757.36112016288</v>
      </c>
      <c r="I318" s="140">
        <v>15998396.404111965</v>
      </c>
      <c r="J318" s="139">
        <v>6942120.8427851796</v>
      </c>
      <c r="K318" s="139">
        <v>5640837.7858215822</v>
      </c>
      <c r="L318" s="139">
        <v>854293.11002527282</v>
      </c>
      <c r="M318" s="139">
        <v>13437251.738632036</v>
      </c>
      <c r="N318" s="140">
        <v>29435648.142744001</v>
      </c>
    </row>
    <row r="319" spans="4:14" ht="15.95" thickBot="1">
      <c r="D319" s="104" t="s">
        <v>2785</v>
      </c>
      <c r="E319" s="159">
        <v>187.10000000000002</v>
      </c>
      <c r="F319" s="160">
        <v>1369679.1679208977</v>
      </c>
      <c r="G319" s="161">
        <v>955768.56161865289</v>
      </c>
      <c r="H319" s="161">
        <v>187917.66211346869</v>
      </c>
      <c r="I319" s="162">
        <v>2513365.3916530195</v>
      </c>
      <c r="J319" s="161">
        <v>732572.4469962588</v>
      </c>
      <c r="K319" s="161">
        <v>933720.66984901135</v>
      </c>
      <c r="L319" s="161">
        <v>176399.64860368791</v>
      </c>
      <c r="M319" s="161">
        <v>1842692.7654489581</v>
      </c>
      <c r="N319" s="162">
        <v>4356058.1571019776</v>
      </c>
    </row>
    <row r="320" spans="4:14">
      <c r="D320" s="107"/>
      <c r="E320" s="163"/>
      <c r="F320" s="109"/>
      <c r="G320" s="109"/>
      <c r="H320" s="109"/>
      <c r="I320" s="109"/>
      <c r="J320" s="109"/>
      <c r="K320" s="109"/>
      <c r="L320" s="109"/>
      <c r="M320" s="109"/>
      <c r="N320" s="103"/>
    </row>
    <row r="321" spans="4:14" ht="15.6">
      <c r="D321" s="110" t="s">
        <v>20</v>
      </c>
      <c r="E321" s="108">
        <v>187.10000000000002</v>
      </c>
      <c r="F321" s="66">
        <v>9551930.8831899334</v>
      </c>
      <c r="G321" s="66">
        <v>5302562.8657166939</v>
      </c>
      <c r="H321" s="66">
        <v>820206.54866469395</v>
      </c>
      <c r="I321" s="66">
        <v>15674700.297571318</v>
      </c>
      <c r="J321" s="66">
        <v>6793066.1882400373</v>
      </c>
      <c r="K321" s="66">
        <v>5527847.6501620179</v>
      </c>
      <c r="L321" s="66">
        <v>838020.88388735778</v>
      </c>
      <c r="M321" s="66">
        <v>13158934.722289415</v>
      </c>
      <c r="N321" s="39">
        <v>28833635.019860733</v>
      </c>
    </row>
    <row r="322" spans="4:14" ht="15" thickBot="1">
      <c r="D322" s="112"/>
      <c r="E322" s="58"/>
      <c r="F322" s="58"/>
      <c r="G322" s="58"/>
      <c r="H322" s="58"/>
      <c r="I322" s="58"/>
      <c r="J322" s="58"/>
      <c r="K322" s="58"/>
      <c r="L322" s="58"/>
      <c r="M322" s="58"/>
      <c r="N322" s="59"/>
    </row>
  </sheetData>
  <mergeCells count="1">
    <mergeCell ref="F17:N17"/>
  </mergeCells>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CD94-C5BD-4C59-926E-53895F4DDA53}">
  <dimension ref="A1:H31"/>
  <sheetViews>
    <sheetView workbookViewId="0"/>
  </sheetViews>
  <sheetFormatPr defaultRowHeight="14.45"/>
  <cols>
    <col min="1" max="1" width="9.28515625" bestFit="1" customWidth="1"/>
    <col min="2" max="2" width="35" bestFit="1" customWidth="1"/>
    <col min="3" max="3" width="9.42578125" bestFit="1" customWidth="1"/>
    <col min="4" max="4" width="13.42578125" bestFit="1" customWidth="1"/>
    <col min="5" max="5" width="12.28515625" bestFit="1" customWidth="1"/>
    <col min="6" max="7" width="10.85546875" bestFit="1" customWidth="1"/>
    <col min="8" max="8" width="13.42578125" bestFit="1" customWidth="1"/>
  </cols>
  <sheetData>
    <row r="1" spans="1:8" ht="15.6">
      <c r="A1" s="202">
        <v>2024</v>
      </c>
      <c r="B1" s="172" t="s">
        <v>3159</v>
      </c>
      <c r="C1" s="172" t="s">
        <v>3159</v>
      </c>
      <c r="D1" s="172" t="s">
        <v>3159</v>
      </c>
      <c r="E1" s="172" t="s">
        <v>3159</v>
      </c>
      <c r="F1" s="172" t="s">
        <v>3159</v>
      </c>
      <c r="G1" s="172" t="s">
        <v>3159</v>
      </c>
      <c r="H1" s="172" t="s">
        <v>3159</v>
      </c>
    </row>
    <row r="2" spans="1:8">
      <c r="A2" s="172" t="s">
        <v>3159</v>
      </c>
      <c r="B2" s="172" t="s">
        <v>3159</v>
      </c>
      <c r="C2" s="172" t="s">
        <v>3159</v>
      </c>
      <c r="D2" s="172" t="s">
        <v>3159</v>
      </c>
      <c r="E2" s="172" t="s">
        <v>3159</v>
      </c>
      <c r="F2" s="172" t="s">
        <v>3159</v>
      </c>
      <c r="G2" s="172" t="s">
        <v>3159</v>
      </c>
      <c r="H2" s="172" t="s">
        <v>3159</v>
      </c>
    </row>
    <row r="3" spans="1:8">
      <c r="A3" s="173" t="s">
        <v>3160</v>
      </c>
      <c r="B3" s="174" t="s">
        <v>3161</v>
      </c>
      <c r="C3" s="174" t="s">
        <v>2670</v>
      </c>
      <c r="D3" s="174" t="s">
        <v>3162</v>
      </c>
      <c r="E3" s="174" t="s">
        <v>3163</v>
      </c>
      <c r="F3" s="174" t="s">
        <v>3164</v>
      </c>
      <c r="G3" s="174" t="s">
        <v>3165</v>
      </c>
      <c r="H3" s="174" t="s">
        <v>2707</v>
      </c>
    </row>
    <row r="4" spans="1:8">
      <c r="A4" s="203">
        <v>45689</v>
      </c>
      <c r="B4" s="175" t="s">
        <v>130</v>
      </c>
      <c r="C4" s="175" t="s">
        <v>3166</v>
      </c>
      <c r="D4" s="177">
        <v>1479052</v>
      </c>
      <c r="E4" s="179">
        <v>641097</v>
      </c>
      <c r="F4" s="179">
        <v>26700</v>
      </c>
      <c r="G4" s="178">
        <v>0</v>
      </c>
      <c r="H4" s="180">
        <v>2146849</v>
      </c>
    </row>
    <row r="5" spans="1:8">
      <c r="A5" s="204">
        <v>45690</v>
      </c>
      <c r="B5" s="181" t="s">
        <v>130</v>
      </c>
      <c r="C5" s="181" t="s">
        <v>3167</v>
      </c>
      <c r="D5" s="183">
        <v>826615</v>
      </c>
      <c r="E5" s="185">
        <v>472515</v>
      </c>
      <c r="F5" s="185">
        <v>49273</v>
      </c>
      <c r="G5" s="185">
        <v>34213</v>
      </c>
      <c r="H5" s="187">
        <v>1382616</v>
      </c>
    </row>
    <row r="6" spans="1:8">
      <c r="A6" s="204">
        <v>45691</v>
      </c>
      <c r="B6" s="181" t="s">
        <v>130</v>
      </c>
      <c r="C6" s="181" t="s">
        <v>3168</v>
      </c>
      <c r="D6" s="183">
        <v>3189538</v>
      </c>
      <c r="E6" s="185">
        <v>1026846</v>
      </c>
      <c r="F6" s="185">
        <v>187915</v>
      </c>
      <c r="G6" s="185">
        <v>63539</v>
      </c>
      <c r="H6" s="187">
        <v>4467837</v>
      </c>
    </row>
    <row r="7" spans="1:8">
      <c r="A7" s="204">
        <v>45717</v>
      </c>
      <c r="B7" s="181" t="s">
        <v>3169</v>
      </c>
      <c r="C7" s="181" t="s">
        <v>3166</v>
      </c>
      <c r="D7" s="183">
        <v>3184281</v>
      </c>
      <c r="E7" s="185">
        <v>1546019</v>
      </c>
      <c r="F7" s="185">
        <v>54000</v>
      </c>
      <c r="G7" s="184">
        <v>100</v>
      </c>
      <c r="H7" s="187">
        <v>4784400</v>
      </c>
    </row>
    <row r="8" spans="1:8">
      <c r="A8" s="204">
        <v>45718</v>
      </c>
      <c r="B8" s="181" t="s">
        <v>3169</v>
      </c>
      <c r="C8" s="181" t="s">
        <v>3167</v>
      </c>
      <c r="D8" s="183">
        <v>1502779</v>
      </c>
      <c r="E8" s="185">
        <v>863821</v>
      </c>
      <c r="F8" s="185">
        <v>95126</v>
      </c>
      <c r="G8" s="185">
        <v>56716</v>
      </c>
      <c r="H8" s="187">
        <v>2518442</v>
      </c>
    </row>
    <row r="9" spans="1:8">
      <c r="A9" s="204">
        <v>45719</v>
      </c>
      <c r="B9" s="181" t="s">
        <v>3169</v>
      </c>
      <c r="C9" s="181" t="s">
        <v>3168</v>
      </c>
      <c r="D9" s="183">
        <v>7332787</v>
      </c>
      <c r="E9" s="185">
        <v>2499263</v>
      </c>
      <c r="F9" s="185">
        <v>449851</v>
      </c>
      <c r="G9" s="185">
        <v>170150</v>
      </c>
      <c r="H9" s="187">
        <v>10452051</v>
      </c>
    </row>
    <row r="10" spans="1:8">
      <c r="A10" s="204">
        <v>45727</v>
      </c>
      <c r="B10" s="181" t="s">
        <v>3170</v>
      </c>
      <c r="C10" s="181" t="s">
        <v>3159</v>
      </c>
      <c r="D10" s="188">
        <v>1098710</v>
      </c>
      <c r="E10" s="189">
        <v>401739</v>
      </c>
      <c r="F10" s="189">
        <v>49531</v>
      </c>
      <c r="G10" s="189">
        <v>18481</v>
      </c>
      <c r="H10" s="191">
        <v>1568461</v>
      </c>
    </row>
    <row r="11" spans="1:8">
      <c r="A11" s="181" t="s">
        <v>3171</v>
      </c>
      <c r="B11" s="181" t="s">
        <v>3172</v>
      </c>
      <c r="C11" s="181" t="s">
        <v>3166</v>
      </c>
      <c r="D11" s="183">
        <v>168268112</v>
      </c>
      <c r="E11" s="185">
        <v>68307205</v>
      </c>
      <c r="F11" s="185">
        <v>2596636</v>
      </c>
      <c r="G11" s="184">
        <v>0</v>
      </c>
      <c r="H11" s="187">
        <v>239171952</v>
      </c>
    </row>
    <row r="12" spans="1:8">
      <c r="A12" s="181" t="s">
        <v>3173</v>
      </c>
      <c r="B12" s="181" t="s">
        <v>3172</v>
      </c>
      <c r="C12" s="181" t="s">
        <v>3167</v>
      </c>
      <c r="D12" s="183">
        <v>38980662</v>
      </c>
      <c r="E12" s="185">
        <v>20997098</v>
      </c>
      <c r="F12" s="185">
        <v>1333601</v>
      </c>
      <c r="G12" s="185">
        <v>621425</v>
      </c>
      <c r="H12" s="187">
        <v>61932786</v>
      </c>
    </row>
    <row r="13" spans="1:8">
      <c r="A13" s="181" t="s">
        <v>3174</v>
      </c>
      <c r="B13" s="181" t="s">
        <v>3172</v>
      </c>
      <c r="C13" s="181" t="s">
        <v>3168</v>
      </c>
      <c r="D13" s="183">
        <v>366053685</v>
      </c>
      <c r="E13" s="185">
        <v>90339035</v>
      </c>
      <c r="F13" s="185">
        <v>10613825</v>
      </c>
      <c r="G13" s="185">
        <v>4278957</v>
      </c>
      <c r="H13" s="187">
        <v>471285503</v>
      </c>
    </row>
    <row r="14" spans="1:8">
      <c r="A14" s="204">
        <v>45767</v>
      </c>
      <c r="B14" s="181" t="s">
        <v>220</v>
      </c>
      <c r="C14" s="181" t="s">
        <v>3159</v>
      </c>
      <c r="D14" s="182">
        <v>991</v>
      </c>
      <c r="E14" s="184">
        <v>5</v>
      </c>
      <c r="F14" s="184">
        <v>152</v>
      </c>
      <c r="G14" s="184">
        <v>0</v>
      </c>
      <c r="H14" s="187">
        <v>1148</v>
      </c>
    </row>
    <row r="15" spans="1:8">
      <c r="A15" s="204">
        <v>45809</v>
      </c>
      <c r="B15" s="181" t="s">
        <v>3175</v>
      </c>
      <c r="C15" s="181" t="s">
        <v>3159</v>
      </c>
      <c r="D15" s="188">
        <v>2453909026</v>
      </c>
      <c r="E15" s="189">
        <v>1008723601</v>
      </c>
      <c r="F15" s="189">
        <v>119884488</v>
      </c>
      <c r="G15" s="189">
        <v>42838509</v>
      </c>
      <c r="H15" s="187">
        <v>3625355624</v>
      </c>
    </row>
    <row r="16" spans="1:8">
      <c r="A16" s="181" t="s">
        <v>3176</v>
      </c>
      <c r="B16" s="181" t="s">
        <v>3177</v>
      </c>
      <c r="C16" s="181" t="s">
        <v>3166</v>
      </c>
      <c r="D16" s="183">
        <v>15635924491</v>
      </c>
      <c r="E16" s="185">
        <v>5996546903</v>
      </c>
      <c r="F16" s="185">
        <v>257051570</v>
      </c>
      <c r="G16" s="184">
        <v>0</v>
      </c>
      <c r="H16" s="187">
        <v>21889522964</v>
      </c>
    </row>
    <row r="17" spans="1:8">
      <c r="A17" s="181" t="s">
        <v>3178</v>
      </c>
      <c r="B17" s="181" t="s">
        <v>3177</v>
      </c>
      <c r="C17" s="181" t="s">
        <v>3167</v>
      </c>
      <c r="D17" s="183">
        <v>3213433102</v>
      </c>
      <c r="E17" s="185">
        <v>1812861093</v>
      </c>
      <c r="F17" s="185">
        <v>100367720</v>
      </c>
      <c r="G17" s="185">
        <v>47982081</v>
      </c>
      <c r="H17" s="187">
        <v>5174643996</v>
      </c>
    </row>
    <row r="18" spans="1:8">
      <c r="A18" s="181" t="s">
        <v>3179</v>
      </c>
      <c r="B18" s="181" t="s">
        <v>3177</v>
      </c>
      <c r="C18" s="181" t="s">
        <v>3168</v>
      </c>
      <c r="D18" s="183">
        <v>31224747511</v>
      </c>
      <c r="E18" s="185">
        <v>7613261841</v>
      </c>
      <c r="F18" s="185">
        <v>844689874</v>
      </c>
      <c r="G18" s="185">
        <v>418726195</v>
      </c>
      <c r="H18" s="187">
        <v>40101425421</v>
      </c>
    </row>
    <row r="19" spans="1:8">
      <c r="A19" s="204">
        <v>45812</v>
      </c>
      <c r="B19" s="181" t="s">
        <v>3180</v>
      </c>
      <c r="C19" s="181" t="s">
        <v>3159</v>
      </c>
      <c r="D19" s="188">
        <v>254668362</v>
      </c>
      <c r="E19" s="189">
        <v>92268629</v>
      </c>
      <c r="F19" s="189">
        <v>16799740</v>
      </c>
      <c r="G19" s="189">
        <v>4727421</v>
      </c>
      <c r="H19" s="187">
        <v>368464152</v>
      </c>
    </row>
    <row r="20" spans="1:8">
      <c r="A20" s="181" t="s">
        <v>3159</v>
      </c>
      <c r="B20" s="181" t="s">
        <v>3159</v>
      </c>
      <c r="C20" s="181" t="s">
        <v>3159</v>
      </c>
      <c r="D20" s="182" t="s">
        <v>3159</v>
      </c>
      <c r="E20" s="184" t="s">
        <v>3159</v>
      </c>
      <c r="F20" s="184" t="s">
        <v>3159</v>
      </c>
      <c r="G20" s="184" t="s">
        <v>3159</v>
      </c>
      <c r="H20" s="186" t="s">
        <v>3159</v>
      </c>
    </row>
    <row r="21" spans="1:8">
      <c r="A21" s="204">
        <v>45873</v>
      </c>
      <c r="B21" s="181" t="s">
        <v>3181</v>
      </c>
      <c r="C21" s="181" t="s">
        <v>3159</v>
      </c>
      <c r="D21" s="183">
        <v>121446290</v>
      </c>
      <c r="E21" s="185">
        <v>43607760</v>
      </c>
      <c r="F21" s="185">
        <v>9360113</v>
      </c>
      <c r="G21" s="185">
        <v>2348571</v>
      </c>
      <c r="H21" s="187">
        <v>176762735</v>
      </c>
    </row>
    <row r="22" spans="1:8">
      <c r="A22" s="204">
        <v>45901</v>
      </c>
      <c r="B22" s="181" t="s">
        <v>161</v>
      </c>
      <c r="C22" s="181" t="s">
        <v>3159</v>
      </c>
      <c r="D22" s="183">
        <v>257643</v>
      </c>
      <c r="E22" s="185">
        <v>132071</v>
      </c>
      <c r="F22" s="185">
        <v>14953</v>
      </c>
      <c r="G22" s="185">
        <v>7061</v>
      </c>
      <c r="H22" s="187">
        <v>411727</v>
      </c>
    </row>
    <row r="23" spans="1:8">
      <c r="A23" s="204">
        <v>45902</v>
      </c>
      <c r="B23" s="181" t="s">
        <v>3182</v>
      </c>
      <c r="C23" s="181" t="s">
        <v>3159</v>
      </c>
      <c r="D23" s="188">
        <v>83680</v>
      </c>
      <c r="E23" s="189">
        <v>29269</v>
      </c>
      <c r="F23" s="189">
        <v>3637</v>
      </c>
      <c r="G23" s="189">
        <v>1328</v>
      </c>
      <c r="H23" s="191">
        <v>117914</v>
      </c>
    </row>
    <row r="24" spans="1:8">
      <c r="A24" s="204">
        <v>45962</v>
      </c>
      <c r="B24" s="181" t="s">
        <v>130</v>
      </c>
      <c r="C24" s="181" t="s">
        <v>3183</v>
      </c>
      <c r="D24" s="183">
        <v>68021</v>
      </c>
      <c r="E24" s="185">
        <v>35141</v>
      </c>
      <c r="F24" s="184">
        <v>896</v>
      </c>
      <c r="G24" s="184">
        <v>722</v>
      </c>
      <c r="H24" s="187">
        <v>104780</v>
      </c>
    </row>
    <row r="25" spans="1:8">
      <c r="A25" s="172" t="s">
        <v>3159</v>
      </c>
      <c r="B25" s="172" t="s">
        <v>3159</v>
      </c>
      <c r="C25" s="172" t="s">
        <v>3159</v>
      </c>
      <c r="D25" s="172" t="s">
        <v>3159</v>
      </c>
      <c r="E25" s="172" t="s">
        <v>3159</v>
      </c>
      <c r="F25" s="172" t="s">
        <v>3159</v>
      </c>
      <c r="G25" s="172" t="s">
        <v>3159</v>
      </c>
      <c r="H25" s="172" t="s">
        <v>3159</v>
      </c>
    </row>
    <row r="26" spans="1:8">
      <c r="A26" s="192"/>
      <c r="B26" s="192"/>
      <c r="C26" s="192"/>
      <c r="D26" s="193" t="s">
        <v>3159</v>
      </c>
      <c r="E26" s="194" t="s">
        <v>3159</v>
      </c>
      <c r="F26" s="194" t="s">
        <v>3159</v>
      </c>
      <c r="G26" s="195" t="s">
        <v>3159</v>
      </c>
      <c r="H26" s="192"/>
    </row>
    <row r="27" spans="1:8">
      <c r="A27" s="192"/>
      <c r="B27" s="192"/>
      <c r="C27" s="192"/>
      <c r="D27" s="196" t="s">
        <v>3159</v>
      </c>
      <c r="E27" s="197" t="s">
        <v>3159</v>
      </c>
      <c r="F27" s="197" t="s">
        <v>3159</v>
      </c>
      <c r="G27" s="195" t="s">
        <v>3159</v>
      </c>
      <c r="H27" s="192"/>
    </row>
    <row r="28" spans="1:8">
      <c r="A28" s="192"/>
      <c r="B28" s="192"/>
      <c r="C28" s="192"/>
      <c r="D28" s="196" t="s">
        <v>3159</v>
      </c>
      <c r="E28" s="197" t="s">
        <v>3159</v>
      </c>
      <c r="F28" s="197" t="s">
        <v>3159</v>
      </c>
      <c r="G28" s="195" t="s">
        <v>3159</v>
      </c>
      <c r="H28" s="192"/>
    </row>
    <row r="29" spans="1:8">
      <c r="A29" s="192"/>
      <c r="B29" s="192"/>
      <c r="C29" s="192"/>
      <c r="D29" s="192"/>
      <c r="E29" s="192"/>
      <c r="F29" s="192"/>
      <c r="G29" s="192"/>
      <c r="H29" s="192"/>
    </row>
    <row r="30" spans="1:8">
      <c r="A30" s="192" t="s">
        <v>3184</v>
      </c>
      <c r="B30" s="192"/>
      <c r="C30" s="192"/>
      <c r="D30" s="198" t="s">
        <v>3159</v>
      </c>
      <c r="E30" s="199" t="s">
        <v>3159</v>
      </c>
      <c r="F30" s="199" t="s">
        <v>3159</v>
      </c>
      <c r="G30" s="200" t="s">
        <v>3159</v>
      </c>
      <c r="H30" s="201" t="s">
        <v>3159</v>
      </c>
    </row>
    <row r="31" spans="1:8">
      <c r="A31" s="192"/>
      <c r="B31" s="192"/>
      <c r="C31" s="196" t="s">
        <v>3159</v>
      </c>
      <c r="D31" s="197" t="s">
        <v>3159</v>
      </c>
      <c r="E31" s="197" t="s">
        <v>3159</v>
      </c>
      <c r="F31" s="197" t="s">
        <v>3159</v>
      </c>
      <c r="G31" s="200" t="s">
        <v>3159</v>
      </c>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B817-7293-4C04-AFB1-A25987181C88}">
  <dimension ref="A1:S29"/>
  <sheetViews>
    <sheetView workbookViewId="0"/>
  </sheetViews>
  <sheetFormatPr defaultRowHeight="14.45"/>
  <cols>
    <col min="3" max="3" width="31.85546875" bestFit="1" customWidth="1"/>
  </cols>
  <sheetData>
    <row r="1" spans="1:19">
      <c r="A1" s="172" t="s">
        <v>3159</v>
      </c>
      <c r="B1" s="172" t="s">
        <v>3159</v>
      </c>
      <c r="C1" s="172" t="s">
        <v>3159</v>
      </c>
      <c r="D1" s="172" t="s">
        <v>3159</v>
      </c>
      <c r="E1" s="172" t="s">
        <v>3159</v>
      </c>
      <c r="F1" s="172" t="s">
        <v>3159</v>
      </c>
      <c r="G1" s="172" t="s">
        <v>3159</v>
      </c>
      <c r="H1" s="172" t="s">
        <v>3159</v>
      </c>
      <c r="I1" s="172" t="s">
        <v>3159</v>
      </c>
      <c r="J1" s="172" t="s">
        <v>3159</v>
      </c>
      <c r="K1" s="172" t="s">
        <v>3159</v>
      </c>
      <c r="L1" s="172" t="s">
        <v>3159</v>
      </c>
      <c r="M1" s="172" t="s">
        <v>3159</v>
      </c>
      <c r="N1" s="172" t="s">
        <v>3159</v>
      </c>
      <c r="O1" s="172" t="s">
        <v>3159</v>
      </c>
      <c r="P1" s="172" t="s">
        <v>3159</v>
      </c>
      <c r="Q1" s="172" t="s">
        <v>3159</v>
      </c>
      <c r="R1" s="172" t="s">
        <v>3159</v>
      </c>
      <c r="S1" s="172" t="s">
        <v>3159</v>
      </c>
    </row>
    <row r="2" spans="1:19" ht="20.100000000000001">
      <c r="A2" s="172" t="s">
        <v>3159</v>
      </c>
      <c r="B2" s="172" t="s">
        <v>3159</v>
      </c>
      <c r="C2" s="205" t="s">
        <v>3185</v>
      </c>
      <c r="D2" s="205"/>
      <c r="E2" s="172" t="s">
        <v>3159</v>
      </c>
      <c r="F2" s="172" t="s">
        <v>3159</v>
      </c>
      <c r="G2" s="172" t="s">
        <v>3159</v>
      </c>
      <c r="H2" s="172" t="s">
        <v>3159</v>
      </c>
      <c r="I2" s="172" t="s">
        <v>3159</v>
      </c>
      <c r="J2" s="172" t="s">
        <v>3159</v>
      </c>
      <c r="K2" s="172" t="s">
        <v>3159</v>
      </c>
      <c r="L2" s="172" t="s">
        <v>3159</v>
      </c>
      <c r="M2" s="172" t="s">
        <v>3159</v>
      </c>
      <c r="N2" s="172" t="s">
        <v>3159</v>
      </c>
      <c r="O2" s="172" t="s">
        <v>3159</v>
      </c>
      <c r="P2" s="172" t="s">
        <v>3159</v>
      </c>
      <c r="Q2" s="172" t="s">
        <v>3159</v>
      </c>
      <c r="R2" s="172" t="s">
        <v>3159</v>
      </c>
      <c r="S2" s="172" t="s">
        <v>3159</v>
      </c>
    </row>
    <row r="3" spans="1:19">
      <c r="A3" s="172" t="s">
        <v>3159</v>
      </c>
      <c r="B3" s="172" t="s">
        <v>3159</v>
      </c>
      <c r="C3" s="172" t="s">
        <v>3159</v>
      </c>
      <c r="D3" s="172" t="s">
        <v>3159</v>
      </c>
      <c r="E3" s="172" t="s">
        <v>3159</v>
      </c>
      <c r="F3" s="172" t="s">
        <v>3159</v>
      </c>
      <c r="G3" s="172" t="s">
        <v>3159</v>
      </c>
      <c r="H3" s="172" t="s">
        <v>3159</v>
      </c>
      <c r="I3" s="172" t="s">
        <v>3159</v>
      </c>
      <c r="J3" s="172" t="s">
        <v>3159</v>
      </c>
      <c r="K3" s="172" t="s">
        <v>3159</v>
      </c>
      <c r="L3" s="172" t="s">
        <v>3159</v>
      </c>
      <c r="M3" s="172" t="s">
        <v>3159</v>
      </c>
      <c r="N3" s="172" t="s">
        <v>3159</v>
      </c>
      <c r="O3" s="172" t="s">
        <v>3159</v>
      </c>
      <c r="P3" s="172" t="s">
        <v>3159</v>
      </c>
      <c r="Q3" s="172" t="s">
        <v>3159</v>
      </c>
      <c r="R3" s="172" t="s">
        <v>3159</v>
      </c>
      <c r="S3" s="172" t="s">
        <v>3159</v>
      </c>
    </row>
    <row r="4" spans="1:19">
      <c r="A4" s="172" t="s">
        <v>3159</v>
      </c>
      <c r="B4" s="206" t="s">
        <v>3186</v>
      </c>
      <c r="C4" s="207" t="s">
        <v>3187</v>
      </c>
      <c r="D4" s="207" t="s">
        <v>3188</v>
      </c>
      <c r="E4" s="207" t="s">
        <v>3189</v>
      </c>
      <c r="F4" s="207" t="s">
        <v>3190</v>
      </c>
      <c r="G4" s="207" t="s">
        <v>3191</v>
      </c>
      <c r="H4" s="207" t="s">
        <v>3192</v>
      </c>
      <c r="I4" s="207" t="s">
        <v>3193</v>
      </c>
      <c r="J4" s="207" t="s">
        <v>3194</v>
      </c>
      <c r="K4" s="207" t="s">
        <v>3195</v>
      </c>
      <c r="L4" s="207" t="s">
        <v>3196</v>
      </c>
      <c r="M4" s="207" t="s">
        <v>3197</v>
      </c>
      <c r="N4" s="207" t="s">
        <v>3198</v>
      </c>
      <c r="O4" s="207" t="s">
        <v>3199</v>
      </c>
      <c r="P4" s="207" t="s">
        <v>3200</v>
      </c>
      <c r="Q4" s="207" t="s">
        <v>3201</v>
      </c>
      <c r="R4" s="207" t="s">
        <v>3202</v>
      </c>
      <c r="S4" s="207" t="s">
        <v>3203</v>
      </c>
    </row>
    <row r="5" spans="1:19">
      <c r="A5" s="172" t="s">
        <v>3159</v>
      </c>
      <c r="B5" s="208">
        <v>2023</v>
      </c>
      <c r="C5" s="208" t="s">
        <v>3204</v>
      </c>
      <c r="D5" s="208">
        <v>0</v>
      </c>
      <c r="E5" s="208">
        <v>0</v>
      </c>
      <c r="F5" s="208">
        <v>0</v>
      </c>
      <c r="G5" s="208">
        <v>0</v>
      </c>
      <c r="H5" s="208">
        <v>0</v>
      </c>
      <c r="I5" s="208">
        <v>0</v>
      </c>
      <c r="J5" s="208">
        <v>0</v>
      </c>
      <c r="K5" s="208">
        <v>0</v>
      </c>
      <c r="L5" s="208">
        <v>0</v>
      </c>
      <c r="M5" s="208">
        <v>0</v>
      </c>
      <c r="N5" s="208">
        <v>0</v>
      </c>
      <c r="O5" s="208">
        <v>0</v>
      </c>
      <c r="P5" s="208">
        <v>0</v>
      </c>
      <c r="Q5" s="208">
        <v>0</v>
      </c>
      <c r="R5" s="208">
        <v>0</v>
      </c>
      <c r="S5" s="208">
        <v>0</v>
      </c>
    </row>
    <row r="6" spans="1:19">
      <c r="A6" s="172" t="s">
        <v>3159</v>
      </c>
      <c r="B6" s="209">
        <v>2024</v>
      </c>
      <c r="C6" s="209" t="s">
        <v>3205</v>
      </c>
      <c r="D6" s="209">
        <v>458514.31</v>
      </c>
      <c r="E6" s="209">
        <v>204051.73</v>
      </c>
      <c r="F6" s="209">
        <v>190734.04</v>
      </c>
      <c r="G6" s="209">
        <v>89419.22</v>
      </c>
      <c r="H6" s="209">
        <v>422327.29</v>
      </c>
      <c r="I6" s="209">
        <v>110923.84</v>
      </c>
      <c r="J6" s="209">
        <v>176376.74</v>
      </c>
      <c r="K6" s="209">
        <v>91421.87</v>
      </c>
      <c r="L6" s="209">
        <v>75912.960000000006</v>
      </c>
      <c r="M6" s="209">
        <v>79489.81</v>
      </c>
      <c r="N6" s="209">
        <v>21166.15</v>
      </c>
      <c r="O6" s="209">
        <v>102.22</v>
      </c>
      <c r="P6" s="209">
        <v>64192.480000000003</v>
      </c>
      <c r="Q6" s="209">
        <v>62448.82</v>
      </c>
      <c r="R6" s="209">
        <v>18117.990000000002</v>
      </c>
      <c r="S6" s="209">
        <v>102.22</v>
      </c>
    </row>
    <row r="7" spans="1:19">
      <c r="A7" s="172" t="s">
        <v>3159</v>
      </c>
      <c r="B7" s="209">
        <v>2024</v>
      </c>
      <c r="C7" s="209" t="s">
        <v>3206</v>
      </c>
      <c r="D7" s="209">
        <v>5565919.6299999999</v>
      </c>
      <c r="E7" s="209">
        <v>2398870.67</v>
      </c>
      <c r="F7" s="209">
        <v>953800.71</v>
      </c>
      <c r="G7" s="209">
        <v>119048.24</v>
      </c>
      <c r="H7" s="209">
        <v>5769135.7999999998</v>
      </c>
      <c r="I7" s="209">
        <v>2172334.33</v>
      </c>
      <c r="J7" s="209">
        <v>905610.95</v>
      </c>
      <c r="K7" s="209">
        <v>127143.54</v>
      </c>
      <c r="L7" s="209">
        <v>2278064.41</v>
      </c>
      <c r="M7" s="209">
        <v>1226475.93</v>
      </c>
      <c r="N7" s="209">
        <v>359292.96</v>
      </c>
      <c r="O7" s="209">
        <v>1191.51</v>
      </c>
      <c r="P7" s="209">
        <v>2041317.35</v>
      </c>
      <c r="Q7" s="209">
        <v>239880.86</v>
      </c>
      <c r="R7" s="209">
        <v>97705.279999999999</v>
      </c>
      <c r="S7" s="209">
        <v>1629.76</v>
      </c>
    </row>
    <row r="8" spans="1:19">
      <c r="A8" s="172" t="s">
        <v>3159</v>
      </c>
      <c r="B8" s="209">
        <v>2024</v>
      </c>
      <c r="C8" s="209" t="s">
        <v>3207</v>
      </c>
      <c r="D8" s="209">
        <v>1904949.99</v>
      </c>
      <c r="E8" s="209">
        <v>1212034.6499999999</v>
      </c>
      <c r="F8" s="209">
        <v>50766.3</v>
      </c>
      <c r="G8" s="209">
        <v>3264.3</v>
      </c>
      <c r="H8" s="209">
        <v>1732252.27</v>
      </c>
      <c r="I8" s="209">
        <v>1098224.27</v>
      </c>
      <c r="J8" s="209">
        <v>51392.98</v>
      </c>
      <c r="K8" s="209">
        <v>3635.27</v>
      </c>
      <c r="L8" s="209">
        <v>5632058.0700000003</v>
      </c>
      <c r="M8" s="209">
        <v>6391681.0199999996</v>
      </c>
      <c r="N8" s="209">
        <v>24659.82</v>
      </c>
      <c r="O8" s="209">
        <v>73535.789999999994</v>
      </c>
      <c r="P8" s="209">
        <v>5833888.8499999996</v>
      </c>
      <c r="Q8" s="209">
        <v>5525792.3200000003</v>
      </c>
      <c r="R8" s="209">
        <v>22676.17</v>
      </c>
      <c r="S8" s="209">
        <v>82910.740000000005</v>
      </c>
    </row>
    <row r="9" spans="1:19">
      <c r="A9" s="172" t="s">
        <v>3159</v>
      </c>
      <c r="B9" s="209">
        <v>2024</v>
      </c>
      <c r="C9" s="209" t="s">
        <v>3208</v>
      </c>
      <c r="D9" s="209">
        <v>1530073.53</v>
      </c>
      <c r="E9" s="209">
        <v>1180466.03</v>
      </c>
      <c r="F9" s="209">
        <v>45390.720000000001</v>
      </c>
      <c r="G9" s="209">
        <v>4621.3900000000003</v>
      </c>
      <c r="H9" s="209">
        <v>1447347.87</v>
      </c>
      <c r="I9" s="209">
        <v>1115798.76</v>
      </c>
      <c r="J9" s="209">
        <v>39541.86</v>
      </c>
      <c r="K9" s="209">
        <v>4849.54</v>
      </c>
      <c r="L9" s="209">
        <v>1184029.6399999999</v>
      </c>
      <c r="M9" s="209">
        <v>661111.68000000005</v>
      </c>
      <c r="N9" s="209">
        <v>24235.37</v>
      </c>
      <c r="O9" s="209">
        <v>7289.68</v>
      </c>
      <c r="P9" s="209">
        <v>1302186.23</v>
      </c>
      <c r="Q9" s="209">
        <v>688961.02</v>
      </c>
      <c r="R9" s="209">
        <v>30888.78</v>
      </c>
      <c r="S9" s="209">
        <v>8022.57</v>
      </c>
    </row>
    <row r="10" spans="1:19">
      <c r="A10" s="172" t="s">
        <v>3159</v>
      </c>
      <c r="B10" s="209">
        <v>2024</v>
      </c>
      <c r="C10" s="209" t="s">
        <v>3209</v>
      </c>
      <c r="D10" s="209">
        <v>49209433.68</v>
      </c>
      <c r="E10" s="209">
        <v>14516820.210000001</v>
      </c>
      <c r="F10" s="209">
        <v>294494.03000000003</v>
      </c>
      <c r="G10" s="209">
        <v>5075.13</v>
      </c>
      <c r="H10" s="209">
        <v>38588794.799999997</v>
      </c>
      <c r="I10" s="209">
        <v>13252503.02</v>
      </c>
      <c r="J10" s="209">
        <v>272534.03000000003</v>
      </c>
      <c r="K10" s="209">
        <v>10259.92</v>
      </c>
      <c r="L10" s="209">
        <v>89049066.340000004</v>
      </c>
      <c r="M10" s="209">
        <v>20150797.27</v>
      </c>
      <c r="N10" s="209">
        <v>1492382.02</v>
      </c>
      <c r="O10" s="209">
        <v>92685</v>
      </c>
      <c r="P10" s="209">
        <v>89536278.849999994</v>
      </c>
      <c r="Q10" s="209">
        <v>20410651.640000001</v>
      </c>
      <c r="R10" s="209">
        <v>1560717.27</v>
      </c>
      <c r="S10" s="209">
        <v>90997.8</v>
      </c>
    </row>
    <row r="11" spans="1:19">
      <c r="A11" s="172" t="s">
        <v>3159</v>
      </c>
      <c r="B11" s="209">
        <v>2024</v>
      </c>
      <c r="C11" s="209" t="s">
        <v>3210</v>
      </c>
      <c r="D11" s="209">
        <v>83827.59</v>
      </c>
      <c r="E11" s="209">
        <v>27617.27</v>
      </c>
      <c r="F11" s="209">
        <v>528.15</v>
      </c>
      <c r="G11" s="209">
        <v>0</v>
      </c>
      <c r="H11" s="209">
        <v>83741.36</v>
      </c>
      <c r="I11" s="209">
        <v>26721.360000000001</v>
      </c>
      <c r="J11" s="209">
        <v>548.70000000000005</v>
      </c>
      <c r="K11" s="209">
        <v>0</v>
      </c>
      <c r="L11" s="209">
        <v>162502.37</v>
      </c>
      <c r="M11" s="209">
        <v>318273.91999999998</v>
      </c>
      <c r="N11" s="209">
        <v>0</v>
      </c>
      <c r="O11" s="209">
        <v>0</v>
      </c>
      <c r="P11" s="209">
        <v>168592.47</v>
      </c>
      <c r="Q11" s="209">
        <v>319727.13</v>
      </c>
      <c r="R11" s="209">
        <v>0</v>
      </c>
      <c r="S11" s="209">
        <v>0</v>
      </c>
    </row>
    <row r="12" spans="1:19">
      <c r="A12" s="172" t="s">
        <v>3159</v>
      </c>
      <c r="B12" s="209">
        <v>2024</v>
      </c>
      <c r="C12" s="209" t="s">
        <v>3211</v>
      </c>
      <c r="D12" s="209">
        <v>6773.05</v>
      </c>
      <c r="E12" s="209">
        <v>16844.990000000002</v>
      </c>
      <c r="F12" s="209">
        <v>0</v>
      </c>
      <c r="G12" s="209">
        <v>0</v>
      </c>
      <c r="H12" s="209">
        <v>8210.66</v>
      </c>
      <c r="I12" s="209">
        <v>16915.560000000001</v>
      </c>
      <c r="J12" s="209">
        <v>0</v>
      </c>
      <c r="K12" s="209">
        <v>0</v>
      </c>
      <c r="L12" s="209">
        <v>24868.45</v>
      </c>
      <c r="M12" s="209">
        <v>385192.32</v>
      </c>
      <c r="N12" s="209">
        <v>15.84</v>
      </c>
      <c r="O12" s="209">
        <v>0</v>
      </c>
      <c r="P12" s="209">
        <v>22276.59</v>
      </c>
      <c r="Q12" s="209">
        <v>76193.070000000007</v>
      </c>
      <c r="R12" s="209">
        <v>0</v>
      </c>
      <c r="S12" s="209">
        <v>0</v>
      </c>
    </row>
    <row r="13" spans="1:19">
      <c r="A13" s="172" t="s">
        <v>3159</v>
      </c>
      <c r="B13" s="209">
        <v>2024</v>
      </c>
      <c r="C13" s="209" t="s">
        <v>3212</v>
      </c>
      <c r="D13" s="209">
        <v>989.04</v>
      </c>
      <c r="E13" s="209">
        <v>2773.24</v>
      </c>
      <c r="F13" s="209">
        <v>0</v>
      </c>
      <c r="G13" s="209">
        <v>0</v>
      </c>
      <c r="H13" s="209">
        <v>1026</v>
      </c>
      <c r="I13" s="209">
        <v>2667.27</v>
      </c>
      <c r="J13" s="209">
        <v>0</v>
      </c>
      <c r="K13" s="209">
        <v>0</v>
      </c>
      <c r="L13" s="209">
        <v>1857416.11</v>
      </c>
      <c r="M13" s="209">
        <v>32102.11</v>
      </c>
      <c r="N13" s="209">
        <v>2808.22</v>
      </c>
      <c r="O13" s="209">
        <v>0</v>
      </c>
      <c r="P13" s="209">
        <v>1847588.03</v>
      </c>
      <c r="Q13" s="209">
        <v>98806.44</v>
      </c>
      <c r="R13" s="209">
        <v>2985</v>
      </c>
      <c r="S13" s="209">
        <v>0</v>
      </c>
    </row>
    <row r="14" spans="1:19">
      <c r="A14" s="172" t="s">
        <v>3159</v>
      </c>
      <c r="B14" s="209">
        <v>2024</v>
      </c>
      <c r="C14" s="209" t="s">
        <v>3213</v>
      </c>
      <c r="D14" s="209">
        <v>0</v>
      </c>
      <c r="E14" s="209">
        <v>0</v>
      </c>
      <c r="F14" s="209">
        <v>0</v>
      </c>
      <c r="G14" s="209">
        <v>0</v>
      </c>
      <c r="H14" s="209">
        <v>12.84</v>
      </c>
      <c r="I14" s="209">
        <v>0</v>
      </c>
      <c r="J14" s="209">
        <v>0</v>
      </c>
      <c r="K14" s="209">
        <v>0</v>
      </c>
      <c r="L14" s="209">
        <v>0</v>
      </c>
      <c r="M14" s="209">
        <v>0</v>
      </c>
      <c r="N14" s="209">
        <v>554.4</v>
      </c>
      <c r="O14" s="209">
        <v>0</v>
      </c>
      <c r="P14" s="209">
        <v>96.48</v>
      </c>
      <c r="Q14" s="209">
        <v>0</v>
      </c>
      <c r="R14" s="209">
        <v>568.24</v>
      </c>
      <c r="S14" s="209">
        <v>0</v>
      </c>
    </row>
    <row r="15" spans="1:19">
      <c r="A15" s="172" t="s">
        <v>3159</v>
      </c>
      <c r="B15" s="209">
        <v>2024</v>
      </c>
      <c r="C15" s="209" t="s">
        <v>3214</v>
      </c>
      <c r="D15" s="209">
        <v>5851606.8700000001</v>
      </c>
      <c r="E15" s="209">
        <v>1349916.83</v>
      </c>
      <c r="F15" s="209">
        <v>3146.2</v>
      </c>
      <c r="G15" s="209">
        <v>286349.71000000002</v>
      </c>
      <c r="H15" s="209">
        <v>489509.1</v>
      </c>
      <c r="I15" s="209">
        <v>47497.5</v>
      </c>
      <c r="J15" s="209">
        <v>961.34</v>
      </c>
      <c r="K15" s="209">
        <v>72938.38</v>
      </c>
      <c r="L15" s="209">
        <v>29867427.34</v>
      </c>
      <c r="M15" s="209">
        <v>4381212.54</v>
      </c>
      <c r="N15" s="209">
        <v>14757.64</v>
      </c>
      <c r="O15" s="209">
        <v>1270162.3799999999</v>
      </c>
      <c r="P15" s="209">
        <v>2132088.75</v>
      </c>
      <c r="Q15" s="209">
        <v>168852.03</v>
      </c>
      <c r="R15" s="209">
        <v>8253.41</v>
      </c>
      <c r="S15" s="209">
        <v>282634.31</v>
      </c>
    </row>
    <row r="16" spans="1:19">
      <c r="A16" s="172" t="s">
        <v>3159</v>
      </c>
      <c r="B16" s="209">
        <v>2024</v>
      </c>
      <c r="C16" s="209" t="s">
        <v>3215</v>
      </c>
      <c r="D16" s="209">
        <v>4548597.5599999996</v>
      </c>
      <c r="E16" s="209">
        <v>1435675.17</v>
      </c>
      <c r="F16" s="209">
        <v>891.93</v>
      </c>
      <c r="G16" s="209">
        <v>30867.05</v>
      </c>
      <c r="H16" s="209">
        <v>1607514.36</v>
      </c>
      <c r="I16" s="209">
        <v>95626.78</v>
      </c>
      <c r="J16" s="209">
        <v>1723.78</v>
      </c>
      <c r="K16" s="209">
        <v>25145.37</v>
      </c>
      <c r="L16" s="209">
        <v>25350660.68</v>
      </c>
      <c r="M16" s="209">
        <v>8575881.0099999998</v>
      </c>
      <c r="N16" s="209">
        <v>3887.49</v>
      </c>
      <c r="O16" s="209">
        <v>160240.82</v>
      </c>
      <c r="P16" s="209">
        <v>10089682.560000001</v>
      </c>
      <c r="Q16" s="209">
        <v>1336902.3400000001</v>
      </c>
      <c r="R16" s="209">
        <v>11802.02</v>
      </c>
      <c r="S16" s="209">
        <v>137584.14000000001</v>
      </c>
    </row>
    <row r="17" spans="1:19">
      <c r="A17" s="172" t="s">
        <v>3159</v>
      </c>
      <c r="B17" s="209">
        <v>2024</v>
      </c>
      <c r="C17" s="209" t="s">
        <v>3216</v>
      </c>
      <c r="D17" s="209">
        <v>10866.13</v>
      </c>
      <c r="E17" s="209">
        <v>27157.360000000001</v>
      </c>
      <c r="F17" s="209">
        <v>379.36</v>
      </c>
      <c r="G17" s="209">
        <v>0</v>
      </c>
      <c r="H17" s="209">
        <v>30957.98</v>
      </c>
      <c r="I17" s="209">
        <v>42699.67</v>
      </c>
      <c r="J17" s="209">
        <v>400.66</v>
      </c>
      <c r="K17" s="209">
        <v>0</v>
      </c>
      <c r="L17" s="209">
        <v>0</v>
      </c>
      <c r="M17" s="209">
        <v>0</v>
      </c>
      <c r="N17" s="209">
        <v>0</v>
      </c>
      <c r="O17" s="209">
        <v>0</v>
      </c>
      <c r="P17" s="209">
        <v>229.68</v>
      </c>
      <c r="Q17" s="209">
        <v>426.36</v>
      </c>
      <c r="R17" s="209">
        <v>0</v>
      </c>
      <c r="S17" s="209">
        <v>0</v>
      </c>
    </row>
    <row r="18" spans="1:19">
      <c r="A18" s="172" t="s">
        <v>3159</v>
      </c>
      <c r="B18" s="209">
        <v>2024</v>
      </c>
      <c r="C18" s="209" t="s">
        <v>3217</v>
      </c>
      <c r="D18" s="209">
        <v>8861835.1500000004</v>
      </c>
      <c r="E18" s="209">
        <v>2615125.16</v>
      </c>
      <c r="F18" s="209">
        <v>931347.71</v>
      </c>
      <c r="G18" s="209">
        <v>285846.65999999997</v>
      </c>
      <c r="H18" s="209">
        <v>9111978.4900000002</v>
      </c>
      <c r="I18" s="209">
        <v>2517204.91</v>
      </c>
      <c r="J18" s="209">
        <v>955899.56</v>
      </c>
      <c r="K18" s="209">
        <v>286130.95</v>
      </c>
      <c r="L18" s="209">
        <v>3117257.46</v>
      </c>
      <c r="M18" s="209">
        <v>1338868.1599999999</v>
      </c>
      <c r="N18" s="209">
        <v>108335.41</v>
      </c>
      <c r="O18" s="209">
        <v>50737.47</v>
      </c>
      <c r="P18" s="209">
        <v>3393322.42</v>
      </c>
      <c r="Q18" s="209">
        <v>1210064.05</v>
      </c>
      <c r="R18" s="209">
        <v>123589.75999999999</v>
      </c>
      <c r="S18" s="209">
        <v>66930.47</v>
      </c>
    </row>
    <row r="19" spans="1:19">
      <c r="A19" s="172" t="s">
        <v>3159</v>
      </c>
      <c r="B19" s="209">
        <v>2024</v>
      </c>
      <c r="C19" s="209" t="s">
        <v>3218</v>
      </c>
      <c r="D19" s="209">
        <v>0</v>
      </c>
      <c r="E19" s="209">
        <v>0</v>
      </c>
      <c r="F19" s="209">
        <v>0</v>
      </c>
      <c r="G19" s="209">
        <v>0</v>
      </c>
      <c r="H19" s="209">
        <v>0</v>
      </c>
      <c r="I19" s="209">
        <v>1801.29</v>
      </c>
      <c r="J19" s="209">
        <v>0</v>
      </c>
      <c r="K19" s="209">
        <v>0</v>
      </c>
      <c r="L19" s="209">
        <v>8089259.3700000001</v>
      </c>
      <c r="M19" s="209">
        <v>1478830.21</v>
      </c>
      <c r="N19" s="209">
        <v>277720.58</v>
      </c>
      <c r="O19" s="209">
        <v>231936.22</v>
      </c>
      <c r="P19" s="209">
        <v>8375966.1600000001</v>
      </c>
      <c r="Q19" s="209">
        <v>1667683.95</v>
      </c>
      <c r="R19" s="209">
        <v>298228.77</v>
      </c>
      <c r="S19" s="209">
        <v>236514.92</v>
      </c>
    </row>
    <row r="20" spans="1:19">
      <c r="A20" s="172" t="s">
        <v>3159</v>
      </c>
      <c r="B20" s="209">
        <v>2024</v>
      </c>
      <c r="C20" s="209" t="s">
        <v>3219</v>
      </c>
      <c r="D20" s="209">
        <v>20430.52</v>
      </c>
      <c r="E20" s="209">
        <v>14478.96</v>
      </c>
      <c r="F20" s="209">
        <v>0</v>
      </c>
      <c r="G20" s="209">
        <v>0</v>
      </c>
      <c r="H20" s="209">
        <v>164143.63</v>
      </c>
      <c r="I20" s="209">
        <v>135571.65</v>
      </c>
      <c r="J20" s="209">
        <v>0</v>
      </c>
      <c r="K20" s="209">
        <v>0</v>
      </c>
      <c r="L20" s="209">
        <v>71194735.450000003</v>
      </c>
      <c r="M20" s="209">
        <v>27290266.989999998</v>
      </c>
      <c r="N20" s="209">
        <v>2401956.1</v>
      </c>
      <c r="O20" s="209">
        <v>306054.32</v>
      </c>
      <c r="P20" s="209">
        <v>70829803.659999996</v>
      </c>
      <c r="Q20" s="209">
        <v>28878402.57</v>
      </c>
      <c r="R20" s="209">
        <v>2654959.9500000002</v>
      </c>
      <c r="S20" s="209">
        <v>317118.12</v>
      </c>
    </row>
    <row r="21" spans="1:19">
      <c r="A21" s="172" t="s">
        <v>3159</v>
      </c>
      <c r="B21" s="209">
        <v>2024</v>
      </c>
      <c r="C21" s="209" t="s">
        <v>3220</v>
      </c>
      <c r="D21" s="209">
        <v>6173.6</v>
      </c>
      <c r="E21" s="209">
        <v>6394.65</v>
      </c>
      <c r="F21" s="209">
        <v>580.83000000000004</v>
      </c>
      <c r="G21" s="209">
        <v>0</v>
      </c>
      <c r="H21" s="209">
        <v>6280.92</v>
      </c>
      <c r="I21" s="209">
        <v>6346.22</v>
      </c>
      <c r="J21" s="209">
        <v>777.43</v>
      </c>
      <c r="K21" s="209">
        <v>0</v>
      </c>
      <c r="L21" s="209">
        <v>93409.59</v>
      </c>
      <c r="M21" s="209">
        <v>2154.58</v>
      </c>
      <c r="N21" s="209">
        <v>0</v>
      </c>
      <c r="O21" s="209">
        <v>0</v>
      </c>
      <c r="P21" s="209">
        <v>7250.55</v>
      </c>
      <c r="Q21" s="209">
        <v>3230.46</v>
      </c>
      <c r="R21" s="209">
        <v>0</v>
      </c>
      <c r="S21" s="209">
        <v>0</v>
      </c>
    </row>
    <row r="22" spans="1:19">
      <c r="A22" s="172" t="s">
        <v>3159</v>
      </c>
      <c r="B22" s="209">
        <v>2024</v>
      </c>
      <c r="C22" s="209" t="s">
        <v>3221</v>
      </c>
      <c r="D22" s="209">
        <v>908702.16</v>
      </c>
      <c r="E22" s="209">
        <v>434128.16</v>
      </c>
      <c r="F22" s="209">
        <v>33322.22</v>
      </c>
      <c r="G22" s="209">
        <v>14491.96</v>
      </c>
      <c r="H22" s="209">
        <v>919941.15</v>
      </c>
      <c r="I22" s="209">
        <v>396271.81</v>
      </c>
      <c r="J22" s="209">
        <v>16236.51</v>
      </c>
      <c r="K22" s="209">
        <v>9428.52</v>
      </c>
      <c r="L22" s="209">
        <v>35874.589999999997</v>
      </c>
      <c r="M22" s="209">
        <v>19826.060000000001</v>
      </c>
      <c r="N22" s="209">
        <v>66.790000000000006</v>
      </c>
      <c r="O22" s="209">
        <v>2009.77</v>
      </c>
      <c r="P22" s="209">
        <v>189974.79</v>
      </c>
      <c r="Q22" s="209">
        <v>97863.57</v>
      </c>
      <c r="R22" s="209">
        <v>33.450000000000003</v>
      </c>
      <c r="S22" s="209">
        <v>5894.01</v>
      </c>
    </row>
    <row r="23" spans="1:19">
      <c r="A23" s="172" t="s">
        <v>3159</v>
      </c>
      <c r="B23" s="209">
        <v>2024</v>
      </c>
      <c r="C23" s="209" t="s">
        <v>3222</v>
      </c>
      <c r="D23" s="209">
        <v>9543.92</v>
      </c>
      <c r="E23" s="209">
        <v>2712.08</v>
      </c>
      <c r="F23" s="209">
        <v>24597.96</v>
      </c>
      <c r="G23" s="209">
        <v>1740.52</v>
      </c>
      <c r="H23" s="209">
        <v>62290.41</v>
      </c>
      <c r="I23" s="209">
        <v>36508.04</v>
      </c>
      <c r="J23" s="209">
        <v>28161.09</v>
      </c>
      <c r="K23" s="209">
        <v>2420.23</v>
      </c>
      <c r="L23" s="209">
        <v>2838.98</v>
      </c>
      <c r="M23" s="209">
        <v>531</v>
      </c>
      <c r="N23" s="209">
        <v>0</v>
      </c>
      <c r="O23" s="209">
        <v>0</v>
      </c>
      <c r="P23" s="209">
        <v>28639.93</v>
      </c>
      <c r="Q23" s="209">
        <v>4073.93</v>
      </c>
      <c r="R23" s="209">
        <v>1550.53</v>
      </c>
      <c r="S23" s="209">
        <v>0</v>
      </c>
    </row>
    <row r="24" spans="1:19">
      <c r="A24" s="172" t="s">
        <v>3159</v>
      </c>
      <c r="B24" s="172" t="s">
        <v>3159</v>
      </c>
      <c r="C24" s="172" t="s">
        <v>3159</v>
      </c>
      <c r="D24" s="172" t="s">
        <v>3159</v>
      </c>
      <c r="E24" s="172" t="s">
        <v>3159</v>
      </c>
      <c r="F24" s="172" t="s">
        <v>3159</v>
      </c>
      <c r="G24" s="172" t="s">
        <v>3159</v>
      </c>
      <c r="H24" s="172" t="s">
        <v>3159</v>
      </c>
      <c r="I24" s="172" t="s">
        <v>3159</v>
      </c>
      <c r="J24" s="172" t="s">
        <v>3159</v>
      </c>
      <c r="K24" s="172" t="s">
        <v>3159</v>
      </c>
      <c r="L24" s="172" t="s">
        <v>3159</v>
      </c>
      <c r="M24" s="172" t="s">
        <v>3159</v>
      </c>
      <c r="N24" s="172" t="s">
        <v>3159</v>
      </c>
      <c r="O24" s="172" t="s">
        <v>3159</v>
      </c>
      <c r="P24" s="172" t="s">
        <v>3159</v>
      </c>
      <c r="Q24" s="172" t="s">
        <v>3159</v>
      </c>
      <c r="R24" s="172" t="s">
        <v>3159</v>
      </c>
      <c r="S24" s="172" t="s">
        <v>3159</v>
      </c>
    </row>
    <row r="25" spans="1:19">
      <c r="A25" s="192"/>
      <c r="B25" s="192"/>
      <c r="C25" s="192"/>
      <c r="D25" s="192"/>
      <c r="E25" s="192"/>
      <c r="F25" s="192"/>
      <c r="G25" s="192"/>
      <c r="H25" s="192"/>
      <c r="I25" s="192"/>
      <c r="J25" s="192"/>
      <c r="K25" s="192"/>
      <c r="L25" s="192"/>
      <c r="M25" s="192"/>
      <c r="N25" s="192"/>
      <c r="O25" s="192"/>
      <c r="P25" s="192"/>
      <c r="Q25" s="192"/>
      <c r="R25" s="192"/>
      <c r="S25" s="192"/>
    </row>
    <row r="26" spans="1:19">
      <c r="A26" s="192"/>
      <c r="B26" s="192"/>
      <c r="C26" s="192"/>
      <c r="D26" s="192"/>
      <c r="E26" s="192"/>
      <c r="F26" s="192"/>
      <c r="G26" s="192"/>
      <c r="H26" s="192"/>
      <c r="I26" s="192"/>
      <c r="J26" s="192"/>
      <c r="K26" s="192"/>
      <c r="L26" s="192"/>
      <c r="M26" s="192"/>
      <c r="N26" s="192"/>
      <c r="O26" s="192"/>
      <c r="P26" s="192"/>
      <c r="Q26" s="192"/>
      <c r="R26" s="192"/>
      <c r="S26" s="192"/>
    </row>
    <row r="27" spans="1:19">
      <c r="A27" s="192"/>
      <c r="B27" s="192" t="s">
        <v>3223</v>
      </c>
      <c r="C27" s="192"/>
      <c r="D27" s="192"/>
      <c r="E27" s="192"/>
      <c r="F27" s="192"/>
      <c r="G27" s="192"/>
      <c r="H27" s="192"/>
      <c r="I27" s="192"/>
      <c r="J27" s="192"/>
      <c r="K27" s="192"/>
      <c r="L27" s="192"/>
      <c r="M27" s="192"/>
      <c r="N27" s="192"/>
      <c r="O27" s="192"/>
      <c r="P27" s="192"/>
      <c r="Q27" s="192"/>
      <c r="R27" s="192"/>
      <c r="S27" s="192"/>
    </row>
    <row r="28" spans="1:19">
      <c r="A28" s="192"/>
      <c r="B28" s="192"/>
      <c r="C28" s="192"/>
      <c r="D28" s="192"/>
      <c r="E28" s="192"/>
      <c r="F28" s="192"/>
      <c r="G28" s="192"/>
      <c r="H28" s="192"/>
      <c r="I28" s="192"/>
      <c r="J28" s="192"/>
      <c r="K28" s="192"/>
      <c r="L28" s="192"/>
      <c r="M28" s="192"/>
      <c r="N28" s="192"/>
      <c r="O28" s="192"/>
      <c r="P28" s="192"/>
      <c r="Q28" s="192"/>
      <c r="R28" s="192"/>
      <c r="S28" s="192"/>
    </row>
    <row r="29" spans="1:19">
      <c r="A29" s="192"/>
      <c r="B29" s="192"/>
      <c r="C29" s="192"/>
      <c r="D29" s="192"/>
      <c r="E29" s="192"/>
      <c r="F29" s="192"/>
      <c r="G29" s="192"/>
      <c r="H29" s="192"/>
      <c r="I29" s="192"/>
      <c r="J29" s="192"/>
      <c r="K29" s="192"/>
      <c r="L29" s="192"/>
      <c r="M29" s="192"/>
      <c r="N29" s="192"/>
      <c r="O29" s="192"/>
      <c r="P29" s="192"/>
      <c r="Q29" s="192"/>
      <c r="R29" s="192"/>
      <c r="S29" s="192"/>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6B238-AA86-4F1C-A4EF-CD1DE77AF651}">
  <dimension ref="A1"/>
  <sheetViews>
    <sheetView workbookViewId="0"/>
  </sheetViews>
  <sheetFormatPr defaultRowHeight="14.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265A-2CAA-455E-AB86-4E3E5766B1AF}">
  <dimension ref="A1:F7"/>
  <sheetViews>
    <sheetView workbookViewId="0">
      <selection activeCell="G26" sqref="G25:G26"/>
    </sheetView>
  </sheetViews>
  <sheetFormatPr defaultRowHeight="14.45"/>
  <cols>
    <col min="1" max="1" width="23.28515625" customWidth="1"/>
  </cols>
  <sheetData>
    <row r="1" spans="1:6" ht="15.6">
      <c r="A1" s="202">
        <v>2024</v>
      </c>
      <c r="B1" s="172" t="s">
        <v>3224</v>
      </c>
      <c r="C1" s="172" t="s">
        <v>3159</v>
      </c>
      <c r="D1" s="172" t="s">
        <v>3159</v>
      </c>
      <c r="E1" s="172" t="s">
        <v>3159</v>
      </c>
      <c r="F1" s="172" t="s">
        <v>3159</v>
      </c>
    </row>
    <row r="2" spans="1:6">
      <c r="A2" s="172" t="s">
        <v>3159</v>
      </c>
      <c r="B2" s="172" t="s">
        <v>3159</v>
      </c>
      <c r="C2" s="172" t="s">
        <v>3159</v>
      </c>
      <c r="D2" s="172" t="s">
        <v>3159</v>
      </c>
      <c r="E2" s="172" t="s">
        <v>3159</v>
      </c>
      <c r="F2" s="172" t="s">
        <v>3159</v>
      </c>
    </row>
    <row r="3" spans="1:6">
      <c r="A3" s="211" t="s">
        <v>3225</v>
      </c>
      <c r="B3" s="212" t="s">
        <v>3162</v>
      </c>
      <c r="C3" s="212" t="s">
        <v>3163</v>
      </c>
      <c r="D3" s="212" t="s">
        <v>3164</v>
      </c>
      <c r="E3" s="212" t="s">
        <v>3165</v>
      </c>
      <c r="F3" s="212" t="s">
        <v>2707</v>
      </c>
    </row>
    <row r="4" spans="1:6">
      <c r="A4" s="213" t="s">
        <v>3166</v>
      </c>
      <c r="B4" s="176">
        <v>269487</v>
      </c>
      <c r="C4" s="178">
        <v>191142</v>
      </c>
      <c r="D4" s="178">
        <v>8378</v>
      </c>
      <c r="E4" s="178">
        <v>0</v>
      </c>
      <c r="F4" s="190">
        <v>469007</v>
      </c>
    </row>
    <row r="5" spans="1:6">
      <c r="A5" s="214" t="s">
        <v>3167</v>
      </c>
      <c r="B5" s="182">
        <v>441632</v>
      </c>
      <c r="C5" s="184">
        <v>177204</v>
      </c>
      <c r="D5" s="184">
        <v>25048</v>
      </c>
      <c r="E5" s="184">
        <v>6884</v>
      </c>
      <c r="F5" s="190">
        <v>650768</v>
      </c>
    </row>
    <row r="6" spans="1:6">
      <c r="A6" s="214" t="s">
        <v>3168</v>
      </c>
      <c r="B6" s="182">
        <v>617993</v>
      </c>
      <c r="C6" s="184">
        <v>322897</v>
      </c>
      <c r="D6" s="184">
        <v>48590</v>
      </c>
      <c r="E6" s="184">
        <v>27150</v>
      </c>
      <c r="F6" s="190">
        <v>1016630</v>
      </c>
    </row>
    <row r="7" spans="1:6">
      <c r="A7" s="214" t="s">
        <v>2707</v>
      </c>
      <c r="B7" s="215">
        <v>1329112</v>
      </c>
      <c r="C7" s="190">
        <v>691243</v>
      </c>
      <c r="D7" s="190">
        <v>82016</v>
      </c>
      <c r="E7" s="190">
        <v>34034</v>
      </c>
      <c r="F7" s="190">
        <v>2136405</v>
      </c>
    </row>
  </sheetData>
  <pageMargins left="0.7" right="0.7" top="0.75" bottom="0.75" header="0.3" footer="0.3"/>
  <headerFooter>
    <oddFooter>&amp;L_x000D_&amp;1#&amp;"Aptos"&amp;8&amp;K000000 Classified as CPKC Confidential</oddFooter>
  </headerFooter>
  <customProperties>
    <customPr name="EpmWorksheetKeyString_G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9063940477F64EB6CEF878D699F5C4" ma:contentTypeVersion="22" ma:contentTypeDescription="Create a new document." ma:contentTypeScope="" ma:versionID="110e11e1c9a562ca7887bae16f9ffa7b">
  <xsd:schema xmlns:xsd="http://www.w3.org/2001/XMLSchema" xmlns:xs="http://www.w3.org/2001/XMLSchema" xmlns:p="http://schemas.microsoft.com/office/2006/metadata/properties" xmlns:ns1="http://schemas.microsoft.com/sharepoint/v3" xmlns:ns2="b536bf0b-725a-47d3-b0e1-242d3296728c" xmlns:ns3="bdcc5648-e43a-41d6-a9f9-9acc67d4f7bd" targetNamespace="http://schemas.microsoft.com/office/2006/metadata/properties" ma:root="true" ma:fieldsID="42bf2946315171fb6ea58f00528478fb" ns1:_="" ns2:_="" ns3:_="">
    <xsd:import namespace="http://schemas.microsoft.com/sharepoint/v3"/>
    <xsd:import namespace="b536bf0b-725a-47d3-b0e1-242d3296728c"/>
    <xsd:import namespace="bdcc5648-e43a-41d6-a9f9-9acc67d4f7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DeliveryandPriority" minOccurs="0"/>
                <xsd:element ref="ns2:ProjectState" minOccurs="0"/>
                <xsd:element ref="ns2:CreationDate" minOccurs="0"/>
                <xsd:element ref="ns2:Comments" minOccurs="0"/>
                <xsd:element ref="ns2:_Flow_SignoffStatus" minOccurs="0"/>
                <xsd:element ref="ns2:ProjectManage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8" nillable="true" ma:displayName="Unified Compliance Policy Properties" ma:hidden="true" ma:internalName="_ip_UnifiedCompliancePolicyProperties">
      <xsd:simpleType>
        <xsd:restriction base="dms:Note"/>
      </xsd:simpleType>
    </xsd:element>
    <xsd:element name="_ip_UnifiedCompliancePolicyUIAction" ma:index="2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36bf0b-725a-47d3-b0e1-242d329672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6f73a0c-6363-4529-83c3-d0bca5bd967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DeliveryandPriority" ma:index="21" nillable="true" ma:displayName="Delivery and Priority" ma:default="Priority 1 - Delivery Aug" ma:format="Dropdown" ma:internalName="DeliveryandPriority">
      <xsd:simpleType>
        <xsd:union memberTypes="dms:Text">
          <xsd:simpleType>
            <xsd:restriction base="dms:Choice">
              <xsd:enumeration value="Priority 1 - Delivery Aug"/>
              <xsd:enumeration value="Priority 2 Sept"/>
              <xsd:enumeration value="Priority 3 Oct"/>
              <xsd:enumeration value="Priority 4 Nov"/>
            </xsd:restriction>
          </xsd:simpleType>
        </xsd:union>
      </xsd:simpleType>
    </xsd:element>
    <xsd:element name="ProjectState" ma:index="22" nillable="true" ma:displayName="Project State" ma:default="Not Started" ma:format="RadioButtons" ma:internalName="ProjectState">
      <xsd:simpleType>
        <xsd:restriction base="dms:Choice">
          <xsd:enumeration value="Not Started"/>
          <xsd:enumeration value="In Progress"/>
          <xsd:enumeration value="Completed"/>
          <xsd:enumeration value="Cancelled"/>
        </xsd:restriction>
      </xsd:simpleType>
    </xsd:element>
    <xsd:element name="CreationDate" ma:index="23" nillable="true" ma:displayName="Creation Date" ma:description="Date the artifact was created" ma:format="DateOnly" ma:internalName="CreationDate">
      <xsd:simpleType>
        <xsd:restriction base="dms:DateTime"/>
      </xsd:simpleType>
    </xsd:element>
    <xsd:element name="Comments" ma:index="24" nillable="true" ma:displayName="Comments" ma:format="Dropdown" ma:internalName="Comments">
      <xsd:simpleType>
        <xsd:restriction base="dms:Note">
          <xsd:maxLength value="255"/>
        </xsd:restriction>
      </xsd:simpleType>
    </xsd:element>
    <xsd:element name="_Flow_SignoffStatus" ma:index="25" nillable="true" ma:displayName="Sign-off status" ma:internalName="_x0024_Resources_x003a_core_x002c_Signoff_Status">
      <xsd:simpleType>
        <xsd:restriction base="dms:Text"/>
      </xsd:simpleType>
    </xsd:element>
    <xsd:element name="ProjectManager" ma:index="26" nillable="true" ma:displayName="Project Manager" ma:format="Dropdown" ma:list="UserInfo" ma:SharePointGroup="0" ma:internalName="ProjectManag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cc5648-e43a-41d6-a9f9-9acc67d4f7b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e8653b7-ee75-4196-941e-14ece72e91e4}" ma:internalName="TaxCatchAll" ma:showField="CatchAllData" ma:web="bdcc5648-e43a-41d6-a9f9-9acc67d4f7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eliveryandPriority xmlns="b536bf0b-725a-47d3-b0e1-242d3296728c">Priority 1 - Delivery Aug</DeliveryandPriority>
    <ProjectState xmlns="b536bf0b-725a-47d3-b0e1-242d3296728c">Not Started</ProjectState>
    <lcf76f155ced4ddcb4097134ff3c332f xmlns="b536bf0b-725a-47d3-b0e1-242d3296728c">
      <Terms xmlns="http://schemas.microsoft.com/office/infopath/2007/PartnerControls"/>
    </lcf76f155ced4ddcb4097134ff3c332f>
    <TaxCatchAll xmlns="bdcc5648-e43a-41d6-a9f9-9acc67d4f7bd" xsi:nil="true"/>
    <Comments xmlns="b536bf0b-725a-47d3-b0e1-242d3296728c" xsi:nil="true"/>
    <CreationDate xmlns="b536bf0b-725a-47d3-b0e1-242d3296728c" xsi:nil="true"/>
    <_Flow_SignoffStatus xmlns="b536bf0b-725a-47d3-b0e1-242d3296728c" xsi:nil="true"/>
    <ProjectManager xmlns="b536bf0b-725a-47d3-b0e1-242d3296728c">
      <UserInfo>
        <DisplayName/>
        <AccountId xsi:nil="true"/>
        <AccountType/>
      </UserInfo>
    </ProjectManager>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17C4C-0720-4FFA-BB4B-04A9AD6BFD88}"/>
</file>

<file path=customXml/itemProps2.xml><?xml version="1.0" encoding="utf-8"?>
<ds:datastoreItem xmlns:ds="http://schemas.openxmlformats.org/officeDocument/2006/customXml" ds:itemID="{5819C991-FC47-4CC6-A4AD-88BA34969E50}"/>
</file>

<file path=customXml/itemProps3.xml><?xml version="1.0" encoding="utf-8"?>
<ds:datastoreItem xmlns:ds="http://schemas.openxmlformats.org/officeDocument/2006/customXml" ds:itemID="{5C57A988-62C5-4915-BD11-103243053CC1}"/>
</file>

<file path=docMetadata/LabelInfo.xml><?xml version="1.0" encoding="utf-8"?>
<clbl:labelList xmlns:clbl="http://schemas.microsoft.com/office/2020/mipLabelMetadata">
  <clbl:label id="{b92bcd00-5f5c-41ad-8fd9-7aa118906bcf}" enabled="1" method="Standard" siteId="{90ed61fe-5f1b-4123-96ba-241fd24058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Naveen Nalluri</cp:lastModifiedBy>
  <cp:revision/>
  <dcterms:created xsi:type="dcterms:W3CDTF">2025-09-18T19:54:36Z</dcterms:created>
  <dcterms:modified xsi:type="dcterms:W3CDTF">2025-12-15T21:19:46Z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0x010100899063940477F64EB6CEF878D699F5C4</vt:lpwstr>
  </property>
  <property fmtid="{D5CDD505-2E9C-101B-9397-08002B2CF9AE}" pid="3" name="MediaServiceImageTags">
    <vt:lpwstr/>
  </property>
</Properties>
</file>